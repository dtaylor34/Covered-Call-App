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etup" sheetId="1" state="visible" r:id="rId3"/>
    <sheet name="Summary" sheetId="2" state="visible" r:id="rId4"/>
    <sheet name="Transactions" sheetId="3" state="visible" r:id="rId5"/>
    <sheet name="Lots" sheetId="4" state="visible" r:id="rId6"/>
    <sheet name="Positions" sheetId="5" state="visible" r:id="rId7"/>
    <sheet name="Reconcile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I1" authorId="0">
      <text>
        <r>
          <rPr>
            <sz val="10"/>
            <rFont val="Arial"/>
            <family val="2"/>
          </rPr>
          <t xml:space="preserve">Enter fees so Cash matches Schwab's Amount column for reconciliation.</t>
        </r>
      </text>
    </comment>
    <comment ref="J1" authorId="0">
      <text>
        <r>
          <rPr>
            <sz val="10"/>
            <rFont val="Arial"/>
            <family val="2"/>
          </rPr>
          <t xml:space="preserve">Formula: cash in (+) or out (-). Calls use a 100-share multiplier.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I1" authorId="0">
      <text>
        <r>
          <rPr>
            <sz val="10"/>
            <rFont val="Arial"/>
            <family val="2"/>
          </rPr>
          <t xml:space="preserve">Cost per share minus net premium kept on this lot. Only sell calls at or above this.</t>
        </r>
      </text>
    </comment>
    <comment ref="K1" authorId="0">
      <text>
        <r>
          <rPr>
            <sz val="10"/>
            <rFont val="Arial"/>
            <family val="2"/>
          </rPr>
          <t xml:space="preserve">Optional. Leave blank to use the live price the app writes to Positions. In Google Sheets, =GOOGLEFINANCE(B2) works here.</t>
        </r>
      </text>
    </comment>
    <comment ref="P1" authorId="0">
      <text>
        <r>
          <rPr>
            <sz val="10"/>
            <rFont val="Arial"/>
            <family val="2"/>
          </rPr>
          <t xml:space="preserve">Lowest strike at or above both effective cost and today's price, rounded to the usual strike step.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K1" authorId="0">
      <text>
        <r>
          <rPr>
            <sz val="10"/>
            <rFont val="Arial"/>
            <family val="2"/>
          </rPr>
          <t xml:space="preserve">Live inputs K:O are written by the app on each sync. The values in row 2 are from the Sep 21 fill screenshot.</t>
        </r>
      </text>
    </comment>
  </commentList>
</comments>
</file>

<file path=xl/sharedStrings.xml><?xml version="1.0" encoding="utf-8"?>
<sst xmlns="http://schemas.openxmlformats.org/spreadsheetml/2006/main" count="182" uniqueCount="159">
  <si>
    <t xml:space="preserve">Covered Calls ledger: setup</t>
  </si>
  <si>
    <t xml:space="preserve">Last app sync</t>
  </si>
  <si>
    <t xml:space="preserve">The app writes this timestamp every time it syncs.</t>
  </si>
  <si>
    <t xml:space="preserve">Connect</t>
  </si>
  <si>
    <t xml:space="preserve">1</t>
  </si>
  <si>
    <t xml:space="preserve">Import this file into Google Sheets (File &gt; Import &gt; Upload, or open it in Drive and choose File &gt; Save as Google Sheets).</t>
  </si>
  <si>
    <t xml:space="preserve">2</t>
  </si>
  <si>
    <t xml:space="preserve">Copy the Sheet ID from the URL: the long code between /d/ and /edit. Pasting the whole URL into the app also works.</t>
  </si>
  <si>
    <t xml:space="preserve">3</t>
  </si>
  <si>
    <t xml:space="preserve">In the app, open Settings &gt; Google Sheet. It shows the app's service account email. Share this sheet with that email as an Editor.</t>
  </si>
  <si>
    <t xml:space="preserve">4</t>
  </si>
  <si>
    <t xml:space="preserve">Paste the Sheet ID and press Connect. New trades, closes and price updates then sync automatically.</t>
  </si>
  <si>
    <t xml:space="preserve">What the app writes</t>
  </si>
  <si>
    <t xml:space="preserve">Transactions</t>
  </si>
  <si>
    <t xml:space="preserve">Appends one row per fill into columns A:I and K:M, plus the Lot ID in O. Column J (cash) and N (Schwab check) are formulas; leave them.</t>
  </si>
  <si>
    <t xml:space="preserve">Lots</t>
  </si>
  <si>
    <t xml:space="preserve">Adds each new Lot ID in column A. Everything else on Lots is formulas, except K (price override).</t>
  </si>
  <si>
    <t xml:space="preserve">Positions</t>
  </si>
  <si>
    <t xml:space="preserve">Adds the Position ID in column A for new positions and updates live inputs K:O (stock price, call mark, GTC, stoplight, time).</t>
  </si>
  <si>
    <t xml:space="preserve">Setup</t>
  </si>
  <si>
    <t xml:space="preserve">Writes the last sync time in B3.</t>
  </si>
  <si>
    <t xml:space="preserve">Rule</t>
  </si>
  <si>
    <t xml:space="preserve">Keep tab names and column order as they are. Add your own tabs or columns to the right freely.</t>
  </si>
  <si>
    <t xml:space="preserve">Legend</t>
  </si>
  <si>
    <t xml:space="preserve">Blue text</t>
  </si>
  <si>
    <t xml:space="preserve">Inputs: typed by you or written by the app.</t>
  </si>
  <si>
    <t xml:space="preserve">Black text</t>
  </si>
  <si>
    <t xml:space="preserve">Formulas. Do not overwrite.</t>
  </si>
  <si>
    <t xml:space="preserve">Yellow fill</t>
  </si>
  <si>
    <t xml:space="preserve">Assumptions to set yourself (tax year, tax rates).</t>
  </si>
  <si>
    <t xml:space="preserve">Actions</t>
  </si>
  <si>
    <t xml:space="preserve">Buy shares, Sell shares, Sell call, Buy to close, Expired, Assigned. Quantity sign: + for buys, - for sells (shares in shares, calls in contracts).</t>
  </si>
  <si>
    <t xml:space="preserve">Called away</t>
  </si>
  <si>
    <t xml:space="preserve">Record two rows: Assigned (call, +contracts, price 0) and Sell shares (-shares at the strike). Put the delivered lot's ID on the Sell shares row.</t>
  </si>
  <si>
    <t xml:space="preserve">Every row carries a Lot ID. A lot is one purchase of shares; calls and closes on those shares use the same Lot ID. Effective cost = cost minus premium kept on that lot.</t>
  </si>
  <si>
    <t xml:space="preserve">Live prices</t>
  </si>
  <si>
    <t xml:space="preserve">In Google Sheets you can type =GOOGLEFINANCE(B2) into Lots column K to price free lots automatically.</t>
  </si>
  <si>
    <t xml:space="preserve">Tax note</t>
  </si>
  <si>
    <t xml:space="preserve">Premium from calls that expire or are bought back is a short-term gain when the call closes. If assigned, it is added to the share sale price. Estimates only, not tax advice.</t>
  </si>
  <si>
    <t xml:space="preserve">Covered Calls: summary</t>
  </si>
  <si>
    <t xml:space="preserve">Tax year</t>
  </si>
  <si>
    <t xml:space="preserve">Set the year to report.</t>
  </si>
  <si>
    <t xml:space="preserve">Year starts</t>
  </si>
  <si>
    <t xml:space="preserve">Next year starts</t>
  </si>
  <si>
    <t xml:space="preserve">Federal marginal rate</t>
  </si>
  <si>
    <t xml:space="preserve">Placeholder. Set your own federal bracket.</t>
  </si>
  <si>
    <t xml:space="preserve">California rate</t>
  </si>
  <si>
    <t xml:space="preserve">Placeholder. California taxes gains as ordinary income.</t>
  </si>
  <si>
    <t xml:space="preserve">Add 3.8% NIIT?</t>
  </si>
  <si>
    <t xml:space="preserve">No</t>
  </si>
  <si>
    <t xml:space="preserve">Yes if your income is over the net investment income tax threshold.</t>
  </si>
  <si>
    <t xml:space="preserve">Combined rate</t>
  </si>
  <si>
    <t xml:space="preserve">Realized this year</t>
  </si>
  <si>
    <t xml:space="preserve">Premium collected (calls sold this year)</t>
  </si>
  <si>
    <t xml:space="preserve">All calls sold, open or closed.</t>
  </si>
  <si>
    <t xml:space="preserve">Buy backs paid this year</t>
  </si>
  <si>
    <t xml:space="preserve">Realized premium (closed positions)</t>
  </si>
  <si>
    <t xml:space="preserve">Premium minus buy back, for positions closed this year.</t>
  </si>
  <si>
    <t xml:space="preserve">Realized stock gains (called away)</t>
  </si>
  <si>
    <t xml:space="preserve">Sale price minus the cost of the lot actually delivered.</t>
  </si>
  <si>
    <t xml:space="preserve">Realized total</t>
  </si>
  <si>
    <t xml:space="preserve">Est. tax on realized premium</t>
  </si>
  <si>
    <t xml:space="preserve">Est. tax on realized total</t>
  </si>
  <si>
    <t xml:space="preserve">Open right now</t>
  </si>
  <si>
    <t xml:space="preserve">Open positions</t>
  </si>
  <si>
    <t xml:space="preserve">Share cost used</t>
  </si>
  <si>
    <t xml:space="preserve">Premium collected</t>
  </si>
  <si>
    <t xml:space="preserve">Buy back all calls now</t>
  </si>
  <si>
    <t xml:space="preserve">Premium kept if closed now</t>
  </si>
  <si>
    <t xml:space="preserve">If you closed everything</t>
  </si>
  <si>
    <t xml:space="preserve">Shares plus calls, at the live prices on Positions.</t>
  </si>
  <si>
    <t xml:space="preserve">Account health</t>
  </si>
  <si>
    <t xml:space="preserve">Share value plus premium kept, vs. share cost. 100% is even.</t>
  </si>
  <si>
    <t xml:space="preserve">Est. tax on open premium if closed now</t>
  </si>
  <si>
    <t xml:space="preserve">Not owed until each call closes.</t>
  </si>
  <si>
    <t xml:space="preserve">Year to date</t>
  </si>
  <si>
    <t xml:space="preserve">Realized + open, before tax</t>
  </si>
  <si>
    <t xml:space="preserve">After est. tax</t>
  </si>
  <si>
    <t xml:space="preserve">Return on open share cost</t>
  </si>
  <si>
    <t xml:space="preserve">Shares (all lots)</t>
  </si>
  <si>
    <t xml:space="preserve">Shares held</t>
  </si>
  <si>
    <t xml:space="preserve">Paid for shares held</t>
  </si>
  <si>
    <t xml:space="preserve">Worth now</t>
  </si>
  <si>
    <t xml:space="preserve">Uses Lots column L: live price from Positions, or your override.</t>
  </si>
  <si>
    <t xml:space="preserve">Up or down vs. cost</t>
  </si>
  <si>
    <t xml:space="preserve">Lots under cost</t>
  </si>
  <si>
    <t xml:space="preserve">Hold these, or only sell calls at or above their effective cost.</t>
  </si>
  <si>
    <t xml:space="preserve">Free lots (no call)</t>
  </si>
  <si>
    <t xml:space="preserve">Date</t>
  </si>
  <si>
    <t xml:space="preserve">Action</t>
  </si>
  <si>
    <t xml:space="preserve">Symbol</t>
  </si>
  <si>
    <t xml:space="preserve">Position ID</t>
  </si>
  <si>
    <t xml:space="preserve">Qty</t>
  </si>
  <si>
    <t xml:space="preserve">Strike</t>
  </si>
  <si>
    <t xml:space="preserve">Expiry</t>
  </si>
  <si>
    <t xml:space="preserve">Price</t>
  </si>
  <si>
    <t xml:space="preserve">Fees</t>
  </si>
  <si>
    <t xml:space="preserve">Cash +/-</t>
  </si>
  <si>
    <t xml:space="preserve">Source</t>
  </si>
  <si>
    <t xml:space="preserve">Note</t>
  </si>
  <si>
    <t xml:space="preserve">Txn ID</t>
  </si>
  <si>
    <t xml:space="preserve">In Schwab export?</t>
  </si>
  <si>
    <t xml:space="preserve">Lot ID</t>
  </si>
  <si>
    <t xml:space="preserve">Buy shares</t>
  </si>
  <si>
    <t xml:space="preserve">PFE</t>
  </si>
  <si>
    <t xml:space="preserve">pfe-28-2026-10-16</t>
  </si>
  <si>
    <t xml:space="preserve">Manual</t>
  </si>
  <si>
    <t xml:space="preserve">First covered call test trade</t>
  </si>
  <si>
    <t xml:space="preserve">pfe-28-2026-10-16:open-shares</t>
  </si>
  <si>
    <t xml:space="preserve">pfe-a</t>
  </si>
  <si>
    <t xml:space="preserve">Sell call</t>
  </si>
  <si>
    <t xml:space="preserve">Oct 16 $28 call</t>
  </si>
  <si>
    <t xml:space="preserve">pfe-28-2026-10-16:open-call</t>
  </si>
  <si>
    <t xml:space="preserve">Bought</t>
  </si>
  <si>
    <t xml:space="preserve">Shares bought</t>
  </si>
  <si>
    <t xml:space="preserve">Cost / share</t>
  </si>
  <si>
    <t xml:space="preserve">Shares sold</t>
  </si>
  <si>
    <t xml:space="preserve">Premium kept (net)</t>
  </si>
  <si>
    <t xml:space="preserve">Effective cost / share</t>
  </si>
  <si>
    <t xml:space="preserve">Price (from Positions)</t>
  </si>
  <si>
    <t xml:space="preserve">Price override</t>
  </si>
  <si>
    <t xml:space="preserve">Price used</t>
  </si>
  <si>
    <t xml:space="preserve">Up / down vs. cost</t>
  </si>
  <si>
    <t xml:space="preserve">Status</t>
  </si>
  <si>
    <t xml:space="preserve">Lowest strike to sell</t>
  </si>
  <si>
    <t xml:space="preserve">Wash-sale watch</t>
  </si>
  <si>
    <t xml:space="preserve">Realized stock gain</t>
  </si>
  <si>
    <t xml:space="preserve">Last sold</t>
  </si>
  <si>
    <t xml:space="preserve">Cost of shares held</t>
  </si>
  <si>
    <t xml:space="preserve">Contracts open</t>
  </si>
  <si>
    <t xml:space="preserve">Shares covered</t>
  </si>
  <si>
    <t xml:space="preserve">Share cost</t>
  </si>
  <si>
    <t xml:space="preserve">Buy backs paid</t>
  </si>
  <si>
    <t xml:space="preserve">Live stock price</t>
  </si>
  <si>
    <t xml:space="preserve">Live call mark</t>
  </si>
  <si>
    <t xml:space="preserve">GTC buy back</t>
  </si>
  <si>
    <t xml:space="preserve">Stoplight</t>
  </si>
  <si>
    <t xml:space="preserve">Last updated</t>
  </si>
  <si>
    <t xml:space="preserve">Buy back now</t>
  </si>
  <si>
    <t xml:space="preserve">Stock value now</t>
  </si>
  <si>
    <t xml:space="preserve">If closed now</t>
  </si>
  <si>
    <t xml:space="preserve">Health</t>
  </si>
  <si>
    <t xml:space="preserve">Closed on</t>
  </si>
  <si>
    <t xml:space="preserve">Realized premium</t>
  </si>
  <si>
    <t xml:space="preserve">Yellow</t>
  </si>
  <si>
    <t xml:space="preserve">2026-09-21 13:00</t>
  </si>
  <si>
    <t xml:space="preserve">Description</t>
  </si>
  <si>
    <t xml:space="preserve">Quantity</t>
  </si>
  <si>
    <t xml:space="preserve">Fees &amp; Comm</t>
  </si>
  <si>
    <t xml:space="preserve">Amount</t>
  </si>
  <si>
    <t xml:space="preserve">Date (parsed)</t>
  </si>
  <si>
    <t xml:space="preserve">In ledger?</t>
  </si>
  <si>
    <t xml:space="preserve">How to reconcile</t>
  </si>
  <si>
    <t xml:space="preserve">1. Schwab &gt; Accounts &gt; History &gt; Export (CSV).</t>
  </si>
  <si>
    <t xml:space="preserve">2. Paste the data rows (not the header) into A2:H, matching these columns.</t>
  </si>
  <si>
    <t xml:space="preserve">3. Column J flags Schwab fills missing from your ledger.</t>
  </si>
  <si>
    <t xml:space="preserve">4. Transactions column N flags ledger rows not yet in the export.</t>
  </si>
  <si>
    <t xml:space="preserve">Matching uses date + cash amount (within 1 cent), so enter fees in Transactions.</t>
  </si>
  <si>
    <t xml:space="preserve">If Schwab's columns differ, move them to match A:H before pasting.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</si>
</sst>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yyyy\-mm\-dd\ hh:mm"/>
    <numFmt numFmtId="166" formatCode="0"/>
    <numFmt numFmtId="167" formatCode="mm/dd/yyyy"/>
    <numFmt numFmtId="168" formatCode="0.0%"/>
    <numFmt numFmtId="169" formatCode="@"/>
    <numFmt numFmtId="170" formatCode="\$#,##0.00;&quot;($&quot;#,##0.00\);\-"/>
    <numFmt numFmtId="171" formatCode="0.00%"/>
    <numFmt numFmtId="172" formatCode="#,##0"/>
    <numFmt numFmtId="173" formatCode="0.00"/>
    <numFmt numFmtId="174" formatCode="0.00##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9"/>
      <color rgb="FF5E5B53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FEBE1"/>
        <bgColor rgb="FFE4E0D6"/>
      </patternFill>
    </fill>
    <fill>
      <patternFill patternType="solid">
        <fgColor rgb="FFFFFF00"/>
        <bgColor rgb="FFFFFF00"/>
      </patternFill>
    </fill>
    <fill>
      <patternFill patternType="solid">
        <fgColor rgb="FF1A1A17"/>
        <bgColor rgb="FF0033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7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>
          <bgColor rgb="FFD6E2FA"/>
        </patternFill>
      </fill>
    </dxf>
    <dxf>
      <fill>
        <patternFill>
          <bgColor rgb="FFFFF1B8"/>
        </patternFill>
      </fill>
    </dxf>
    <dxf>
      <fill>
        <patternFill>
          <bgColor rgb="FFE4E0D6"/>
        </patternFill>
      </fill>
    </dxf>
    <dxf>
      <fill>
        <patternFill>
          <bgColor rgb="FFF8C9B6"/>
        </patternFill>
      </fill>
    </dxf>
    <dxf>
      <font>
        <name val="Arial"/>
        <charset val="1"/>
        <family val="0"/>
        <color rgb="FFB45309"/>
      </font>
    </dxf>
    <dxf>
      <fill>
        <patternFill>
          <bgColor rgb="FFC8E6C9"/>
        </patternFill>
      </fill>
    </dxf>
    <dxf>
      <font>
        <name val="Arial"/>
        <charset val="1"/>
        <family val="0"/>
        <color rgb="FF8A867C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A867C"/>
      <rgbColor rgb="FF9999FF"/>
      <rgbColor rgb="FF993366"/>
      <rgbColor rgb="FFFFF1B8"/>
      <rgbColor rgb="FFEFEBE1"/>
      <rgbColor rgb="FF660066"/>
      <rgbColor rgb="FFFF8080"/>
      <rgbColor rgb="FF0066CC"/>
      <rgbColor rgb="FFD6E2F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4E0D6"/>
      <rgbColor rgb="FFC8E6C9"/>
      <rgbColor rgb="FFFFFF99"/>
      <rgbColor rgb="FF99CCFF"/>
      <rgbColor rgb="FFFF99CC"/>
      <rgbColor rgb="FFCC99FF"/>
      <rgbColor rgb="FFF8C9B6"/>
      <rgbColor rgb="FF3366FF"/>
      <rgbColor rgb="FF33CCCC"/>
      <rgbColor rgb="FF99CC00"/>
      <rgbColor rgb="FFFFCC00"/>
      <rgbColor rgb="FFFF9900"/>
      <rgbColor rgb="FFFF6600"/>
      <rgbColor rgb="FF5E5B53"/>
      <rgbColor rgb="FF969696"/>
      <rgbColor rgb="FF003366"/>
      <rgbColor rgb="FF339966"/>
      <rgbColor rgb="FF003300"/>
      <rgbColor rgb="FF1A1A17"/>
      <rgbColor rgb="FFB45309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1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2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3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00"/>
    <col collapsed="false" customWidth="true" hidden="false" outlineLevel="0" max="3" min="3" style="0" width="50"/>
  </cols>
  <sheetData>
    <row r="1" customFormat="false" ht="17.3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3"/>
      <c r="C3" s="4" t="s">
        <v>2</v>
      </c>
    </row>
    <row r="5" customFormat="false" ht="15" hidden="false" customHeight="false" outlineLevel="0" collapsed="false">
      <c r="A5" s="5" t="s">
        <v>3</v>
      </c>
      <c r="B5" s="6"/>
    </row>
    <row r="6" customFormat="false" ht="15" hidden="false" customHeight="false" outlineLevel="0" collapsed="false">
      <c r="A6" s="2" t="s">
        <v>4</v>
      </c>
      <c r="B6" s="7" t="s">
        <v>5</v>
      </c>
    </row>
    <row r="7" customFormat="false" ht="15" hidden="false" customHeight="false" outlineLevel="0" collapsed="false">
      <c r="A7" s="2" t="s">
        <v>6</v>
      </c>
      <c r="B7" s="7" t="s">
        <v>7</v>
      </c>
    </row>
    <row r="8" customFormat="false" ht="23.85" hidden="false" customHeight="false" outlineLevel="0" collapsed="false">
      <c r="A8" s="2" t="s">
        <v>8</v>
      </c>
      <c r="B8" s="7" t="s">
        <v>9</v>
      </c>
    </row>
    <row r="9" customFormat="false" ht="15" hidden="false" customHeight="false" outlineLevel="0" collapsed="false">
      <c r="A9" s="2" t="s">
        <v>10</v>
      </c>
      <c r="B9" s="7" t="s">
        <v>11</v>
      </c>
    </row>
    <row r="10" customFormat="false" ht="15" hidden="false" customHeight="false" outlineLevel="0" collapsed="false">
      <c r="A10" s="2"/>
      <c r="B10" s="7"/>
    </row>
    <row r="11" customFormat="false" ht="15" hidden="false" customHeight="false" outlineLevel="0" collapsed="false">
      <c r="A11" s="5" t="s">
        <v>12</v>
      </c>
      <c r="B11" s="6"/>
    </row>
    <row r="12" customFormat="false" ht="23.85" hidden="false" customHeight="false" outlineLevel="0" collapsed="false">
      <c r="A12" s="2" t="s">
        <v>13</v>
      </c>
      <c r="B12" s="7" t="s">
        <v>14</v>
      </c>
    </row>
    <row r="13" customFormat="false" ht="15" hidden="false" customHeight="false" outlineLevel="0" collapsed="false">
      <c r="A13" s="2" t="s">
        <v>15</v>
      </c>
      <c r="B13" s="7" t="s">
        <v>16</v>
      </c>
    </row>
    <row r="14" customFormat="false" ht="15" hidden="false" customHeight="false" outlineLevel="0" collapsed="false">
      <c r="A14" s="2" t="s">
        <v>17</v>
      </c>
      <c r="B14" s="7" t="s">
        <v>18</v>
      </c>
    </row>
    <row r="15" customFormat="false" ht="15" hidden="false" customHeight="false" outlineLevel="0" collapsed="false">
      <c r="A15" s="2" t="s">
        <v>19</v>
      </c>
      <c r="B15" s="7" t="s">
        <v>20</v>
      </c>
    </row>
    <row r="16" customFormat="false" ht="15" hidden="false" customHeight="false" outlineLevel="0" collapsed="false">
      <c r="A16" s="2" t="s">
        <v>21</v>
      </c>
      <c r="B16" s="7" t="s">
        <v>22</v>
      </c>
    </row>
    <row r="17" customFormat="false" ht="15" hidden="false" customHeight="false" outlineLevel="0" collapsed="false">
      <c r="A17" s="2"/>
      <c r="B17" s="7"/>
    </row>
    <row r="18" customFormat="false" ht="15" hidden="false" customHeight="false" outlineLevel="0" collapsed="false">
      <c r="A18" s="5" t="s">
        <v>23</v>
      </c>
      <c r="B18" s="6"/>
    </row>
    <row r="19" customFormat="false" ht="15" hidden="false" customHeight="false" outlineLevel="0" collapsed="false">
      <c r="A19" s="2" t="s">
        <v>24</v>
      </c>
      <c r="B19" s="7" t="s">
        <v>25</v>
      </c>
    </row>
    <row r="20" customFormat="false" ht="15" hidden="false" customHeight="false" outlineLevel="0" collapsed="false">
      <c r="A20" s="2" t="s">
        <v>26</v>
      </c>
      <c r="B20" s="7" t="s">
        <v>27</v>
      </c>
    </row>
    <row r="21" customFormat="false" ht="15" hidden="false" customHeight="false" outlineLevel="0" collapsed="false">
      <c r="A21" s="2" t="s">
        <v>28</v>
      </c>
      <c r="B21" s="7" t="s">
        <v>29</v>
      </c>
    </row>
    <row r="22" customFormat="false" ht="15" hidden="false" customHeight="false" outlineLevel="0" collapsed="false">
      <c r="A22" s="2"/>
      <c r="B22" s="7"/>
    </row>
    <row r="23" customFormat="false" ht="23.85" hidden="false" customHeight="false" outlineLevel="0" collapsed="false">
      <c r="A23" s="2" t="s">
        <v>30</v>
      </c>
      <c r="B23" s="7" t="s">
        <v>31</v>
      </c>
    </row>
    <row r="24" customFormat="false" ht="23.85" hidden="false" customHeight="false" outlineLevel="0" collapsed="false">
      <c r="A24" s="2" t="s">
        <v>32</v>
      </c>
      <c r="B24" s="7" t="s">
        <v>33</v>
      </c>
    </row>
    <row r="25" customFormat="false" ht="23.85" hidden="false" customHeight="false" outlineLevel="0" collapsed="false">
      <c r="A25" s="2" t="s">
        <v>15</v>
      </c>
      <c r="B25" s="7" t="s">
        <v>34</v>
      </c>
    </row>
    <row r="26" customFormat="false" ht="15" hidden="false" customHeight="false" outlineLevel="0" collapsed="false">
      <c r="A26" s="2" t="s">
        <v>35</v>
      </c>
      <c r="B26" s="7" t="s">
        <v>36</v>
      </c>
    </row>
    <row r="27" customFormat="false" ht="23.85" hidden="false" customHeight="false" outlineLevel="0" collapsed="false">
      <c r="A27" s="2" t="s">
        <v>37</v>
      </c>
      <c r="B27" s="7" t="s">
        <v>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6"/>
    <col collapsed="false" customWidth="true" hidden="false" outlineLevel="0" max="3" min="3" style="0" width="62"/>
  </cols>
  <sheetData>
    <row r="1" customFormat="false" ht="17.35" hidden="false" customHeight="false" outlineLevel="0" collapsed="false">
      <c r="A1" s="1" t="s">
        <v>39</v>
      </c>
    </row>
    <row r="3" customFormat="false" ht="15" hidden="false" customHeight="false" outlineLevel="0" collapsed="false">
      <c r="A3" s="8" t="s">
        <v>40</v>
      </c>
      <c r="B3" s="9" t="n">
        <v>2026</v>
      </c>
      <c r="C3" s="4" t="s">
        <v>41</v>
      </c>
    </row>
    <row r="4" customFormat="false" ht="15" hidden="false" customHeight="false" outlineLevel="0" collapsed="false">
      <c r="A4" s="8" t="s">
        <v>42</v>
      </c>
      <c r="B4" s="10" t="n">
        <f aca="false">DATE(B3,1,1)</f>
        <v>46023</v>
      </c>
    </row>
    <row r="5" customFormat="false" ht="15" hidden="false" customHeight="false" outlineLevel="0" collapsed="false">
      <c r="A5" s="8" t="s">
        <v>43</v>
      </c>
      <c r="B5" s="10" t="n">
        <f aca="false">DATE(B3+1,1,1)</f>
        <v>46388</v>
      </c>
    </row>
    <row r="7" customFormat="false" ht="15" hidden="false" customHeight="false" outlineLevel="0" collapsed="false">
      <c r="A7" s="8" t="s">
        <v>44</v>
      </c>
      <c r="B7" s="11" t="n">
        <v>0.24</v>
      </c>
      <c r="C7" s="4" t="s">
        <v>45</v>
      </c>
    </row>
    <row r="8" customFormat="false" ht="15" hidden="false" customHeight="false" outlineLevel="0" collapsed="false">
      <c r="A8" s="8" t="s">
        <v>46</v>
      </c>
      <c r="B8" s="11" t="n">
        <v>0.093</v>
      </c>
      <c r="C8" s="4" t="s">
        <v>47</v>
      </c>
    </row>
    <row r="9" customFormat="false" ht="15" hidden="false" customHeight="false" outlineLevel="0" collapsed="false">
      <c r="A9" s="8" t="s">
        <v>48</v>
      </c>
      <c r="B9" s="12" t="s">
        <v>49</v>
      </c>
      <c r="C9" s="4" t="s">
        <v>50</v>
      </c>
    </row>
    <row r="10" customFormat="false" ht="15" hidden="false" customHeight="false" outlineLevel="0" collapsed="false">
      <c r="A10" s="8" t="s">
        <v>51</v>
      </c>
      <c r="B10" s="13" t="n">
        <f aca="false">B7+B8+IF(B9="Yes",0.038,0)</f>
        <v>0.333</v>
      </c>
    </row>
    <row r="12" customFormat="false" ht="15" hidden="false" customHeight="false" outlineLevel="0" collapsed="false">
      <c r="A12" s="5" t="s">
        <v>52</v>
      </c>
      <c r="B12" s="6"/>
      <c r="C12" s="6"/>
    </row>
    <row r="13" customFormat="false" ht="15" hidden="false" customHeight="false" outlineLevel="0" collapsed="false">
      <c r="A13" s="8" t="s">
        <v>53</v>
      </c>
      <c r="B13" s="14" t="n">
        <f aca="false">SUMIFS(Transactions!$J:$J,Transactions!$B:$B,"Sell call",Transactions!$A:$A,"&gt;="&amp;B4,Transactions!$A:$A,"&lt;"&amp;B5)</f>
        <v>55</v>
      </c>
      <c r="C13" s="4" t="s">
        <v>54</v>
      </c>
    </row>
    <row r="14" customFormat="false" ht="15" hidden="false" customHeight="false" outlineLevel="0" collapsed="false">
      <c r="A14" s="8" t="s">
        <v>55</v>
      </c>
      <c r="B14" s="14" t="n">
        <f aca="false">-SUMIFS(Transactions!$J:$J,Transactions!$B:$B,"Buy to close",Transactions!$A:$A,"&gt;="&amp;B4,Transactions!$A:$A,"&lt;"&amp;B5)</f>
        <v>-0</v>
      </c>
    </row>
    <row r="15" customFormat="false" ht="15" hidden="false" customHeight="false" outlineLevel="0" collapsed="false">
      <c r="A15" s="8" t="s">
        <v>56</v>
      </c>
      <c r="B15" s="14" t="n">
        <f aca="false">SUMIFS(Positions!$V:$V,Positions!$U:$U,"&gt;="&amp;B4,Positions!$U:$U,"&lt;"&amp;B5)</f>
        <v>0</v>
      </c>
      <c r="C15" s="4" t="s">
        <v>57</v>
      </c>
    </row>
    <row r="16" customFormat="false" ht="15" hidden="false" customHeight="false" outlineLevel="0" collapsed="false">
      <c r="A16" s="8" t="s">
        <v>58</v>
      </c>
      <c r="B16" s="14" t="n">
        <f aca="false">SUMIFS(Lots!$R:$R,Lots!$S:$S,"&gt;="&amp;B4,Lots!$S:$S,"&lt;"&amp;B5)</f>
        <v>0</v>
      </c>
      <c r="C16" s="4" t="s">
        <v>59</v>
      </c>
    </row>
    <row r="17" customFormat="false" ht="15" hidden="false" customHeight="false" outlineLevel="0" collapsed="false">
      <c r="A17" s="2" t="s">
        <v>60</v>
      </c>
      <c r="B17" s="15" t="n">
        <f aca="false">B15+B16</f>
        <v>0</v>
      </c>
    </row>
    <row r="18" customFormat="false" ht="15" hidden="false" customHeight="false" outlineLevel="0" collapsed="false">
      <c r="A18" s="8" t="s">
        <v>61</v>
      </c>
      <c r="B18" s="14" t="n">
        <f aca="false">MAX(0,B15)*B10</f>
        <v>0</v>
      </c>
    </row>
    <row r="19" customFormat="false" ht="15" hidden="false" customHeight="false" outlineLevel="0" collapsed="false">
      <c r="A19" s="8" t="s">
        <v>62</v>
      </c>
      <c r="B19" s="14" t="n">
        <f aca="false">MAX(0,B17)*B10</f>
        <v>0</v>
      </c>
    </row>
    <row r="21" customFormat="false" ht="15" hidden="false" customHeight="false" outlineLevel="0" collapsed="false">
      <c r="A21" s="5" t="s">
        <v>63</v>
      </c>
      <c r="B21" s="6"/>
      <c r="C21" s="6"/>
    </row>
    <row r="22" customFormat="false" ht="15" hidden="false" customHeight="false" outlineLevel="0" collapsed="false">
      <c r="A22" s="8" t="s">
        <v>64</v>
      </c>
      <c r="B22" s="16" t="n">
        <f aca="false">COUNTIF(Positions!$C:$C,"Open")</f>
        <v>1</v>
      </c>
    </row>
    <row r="23" customFormat="false" ht="15" hidden="false" customHeight="false" outlineLevel="0" collapsed="false">
      <c r="A23" s="8" t="s">
        <v>65</v>
      </c>
      <c r="B23" s="14" t="n">
        <f aca="false">SUMIFS(Positions!$H:$H,Positions!$C:$C,"Open")</f>
        <v>2780</v>
      </c>
    </row>
    <row r="24" customFormat="false" ht="15" hidden="false" customHeight="false" outlineLevel="0" collapsed="false">
      <c r="A24" s="8" t="s">
        <v>66</v>
      </c>
      <c r="B24" s="14" t="n">
        <f aca="false">SUMIFS(Positions!$I:$I,Positions!$C:$C,"Open")</f>
        <v>55</v>
      </c>
    </row>
    <row r="25" customFormat="false" ht="15" hidden="false" customHeight="false" outlineLevel="0" collapsed="false">
      <c r="A25" s="8" t="s">
        <v>67</v>
      </c>
      <c r="B25" s="14" t="n">
        <f aca="false">SUM(Positions!$P:$P)</f>
        <v>57</v>
      </c>
    </row>
    <row r="26" customFormat="false" ht="15" hidden="false" customHeight="false" outlineLevel="0" collapsed="false">
      <c r="A26" s="8" t="s">
        <v>68</v>
      </c>
      <c r="B26" s="14" t="n">
        <f aca="false">SUM(Positions!$Q:$Q)</f>
        <v>-1.99999999999999</v>
      </c>
    </row>
    <row r="27" customFormat="false" ht="15" hidden="false" customHeight="false" outlineLevel="0" collapsed="false">
      <c r="A27" s="2" t="s">
        <v>69</v>
      </c>
      <c r="B27" s="15" t="n">
        <f aca="false">SUM(Positions!$S:$S)</f>
        <v>-4.49999999999999</v>
      </c>
      <c r="C27" s="4" t="s">
        <v>70</v>
      </c>
    </row>
    <row r="28" customFormat="false" ht="15" hidden="false" customHeight="false" outlineLevel="0" collapsed="false">
      <c r="A28" s="8" t="s">
        <v>71</v>
      </c>
      <c r="B28" s="13" t="n">
        <f aca="false">IF(SUMIFS(Positions!$H:$H,Positions!$T:$T,"&lt;&gt;")=0,"",(SUM(Positions!$R:$R)+B26)/SUMIFS(Positions!$H:$H,Positions!$T:$T,"&lt;&gt;"))</f>
        <v>0.998381294964029</v>
      </c>
      <c r="C28" s="4" t="s">
        <v>72</v>
      </c>
    </row>
    <row r="29" customFormat="false" ht="15" hidden="false" customHeight="false" outlineLevel="0" collapsed="false">
      <c r="A29" s="8" t="s">
        <v>73</v>
      </c>
      <c r="B29" s="14" t="n">
        <f aca="false">MAX(0,B26)*B10</f>
        <v>0</v>
      </c>
      <c r="C29" s="4" t="s">
        <v>74</v>
      </c>
    </row>
    <row r="31" customFormat="false" ht="15" hidden="false" customHeight="false" outlineLevel="0" collapsed="false">
      <c r="A31" s="5" t="s">
        <v>75</v>
      </c>
      <c r="B31" s="6"/>
      <c r="C31" s="6"/>
    </row>
    <row r="32" customFormat="false" ht="15" hidden="false" customHeight="false" outlineLevel="0" collapsed="false">
      <c r="A32" s="8" t="s">
        <v>76</v>
      </c>
      <c r="B32" s="14" t="n">
        <f aca="false">B17+B27</f>
        <v>-4.49999999999999</v>
      </c>
    </row>
    <row r="33" customFormat="false" ht="15" hidden="false" customHeight="false" outlineLevel="0" collapsed="false">
      <c r="A33" s="2" t="s">
        <v>77</v>
      </c>
      <c r="B33" s="15" t="n">
        <f aca="false">B32-MAX(0,B32)*B10</f>
        <v>-4.49999999999999</v>
      </c>
    </row>
    <row r="34" customFormat="false" ht="15" hidden="false" customHeight="false" outlineLevel="0" collapsed="false">
      <c r="A34" s="8" t="s">
        <v>78</v>
      </c>
      <c r="B34" s="17" t="n">
        <f aca="false">IF(B23=0,"",B32/B23)</f>
        <v>-0.00161870503597122</v>
      </c>
    </row>
    <row r="36" customFormat="false" ht="15" hidden="false" customHeight="false" outlineLevel="0" collapsed="false">
      <c r="A36" s="5" t="s">
        <v>79</v>
      </c>
      <c r="B36" s="6"/>
      <c r="C36" s="6"/>
    </row>
    <row r="37" customFormat="false" ht="15" hidden="false" customHeight="false" outlineLevel="0" collapsed="false">
      <c r="A37" s="8" t="s">
        <v>80</v>
      </c>
      <c r="B37" s="18" t="n">
        <f aca="false">SUM(Lots!$G:$G)</f>
        <v>100</v>
      </c>
    </row>
    <row r="38" customFormat="false" ht="15" hidden="false" customHeight="false" outlineLevel="0" collapsed="false">
      <c r="A38" s="8" t="s">
        <v>81</v>
      </c>
      <c r="B38" s="14" t="n">
        <f aca="false">SUM(Lots!$T:$T)</f>
        <v>2780</v>
      </c>
    </row>
    <row r="39" customFormat="false" ht="15" hidden="false" customHeight="false" outlineLevel="0" collapsed="false">
      <c r="A39" s="8" t="s">
        <v>82</v>
      </c>
      <c r="B39" s="14" t="n">
        <f aca="false">SUM(Lots!$M:$M)</f>
        <v>2777.5</v>
      </c>
      <c r="C39" s="4" t="s">
        <v>83</v>
      </c>
    </row>
    <row r="40" customFormat="false" ht="15" hidden="false" customHeight="false" outlineLevel="0" collapsed="false">
      <c r="A40" s="2" t="s">
        <v>84</v>
      </c>
      <c r="B40" s="15" t="n">
        <f aca="false">SUM(Lots!$N:$N)</f>
        <v>-2.50000000000021</v>
      </c>
    </row>
    <row r="41" customFormat="false" ht="15" hidden="false" customHeight="false" outlineLevel="0" collapsed="false">
      <c r="A41" s="8" t="s">
        <v>85</v>
      </c>
      <c r="B41" s="16" t="n">
        <f aca="false">COUNTIF(Lots!$N:$N,"&lt;0")</f>
        <v>1</v>
      </c>
      <c r="C41" s="4" t="s">
        <v>86</v>
      </c>
    </row>
    <row r="42" customFormat="false" ht="15" hidden="false" customHeight="false" outlineLevel="0" collapsed="false">
      <c r="A42" s="8" t="s">
        <v>87</v>
      </c>
      <c r="B42" s="16" t="n">
        <f aca="false">COUNTIF(Lots!$O:$O,"Free")</f>
        <v>0</v>
      </c>
    </row>
  </sheetData>
  <dataValidations count="1">
    <dataValidation allowBlank="false" errorStyle="stop" operator="between" showDropDown="false" showErrorMessage="false" showInputMessage="false" sqref="B9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  <col collapsed="false" customWidth="true" hidden="false" outlineLevel="0" max="3" min="3" style="0" width="9"/>
    <col collapsed="false" customWidth="true" hidden="false" outlineLevel="0" max="4" min="4" style="0" width="22"/>
    <col collapsed="false" customWidth="true" hidden="false" outlineLevel="0" max="5" min="5" style="0" width="8"/>
    <col collapsed="false" customWidth="true" hidden="false" outlineLevel="0" max="6" min="6" style="0" width="9"/>
    <col collapsed="false" customWidth="true" hidden="false" outlineLevel="0" max="7" min="7" style="0" width="12"/>
    <col collapsed="false" customWidth="true" hidden="false" outlineLevel="0" max="9" min="8" style="0" width="9"/>
    <col collapsed="false" customWidth="true" hidden="false" outlineLevel="0" max="10" min="10" style="0" width="12"/>
    <col collapsed="false" customWidth="true" hidden="false" outlineLevel="0" max="11" min="11" style="0" width="10"/>
    <col collapsed="false" customWidth="true" hidden="false" outlineLevel="0" max="12" min="12" style="0" width="28"/>
    <col collapsed="false" customWidth="true" hidden="false" outlineLevel="0" max="13" min="13" style="0" width="30"/>
    <col collapsed="false" customWidth="true" hidden="false" outlineLevel="0" max="14" min="14" style="0" width="18"/>
    <col collapsed="false" customWidth="true" hidden="false" outlineLevel="0" max="15" min="15" style="0" width="14"/>
  </cols>
  <sheetData>
    <row r="1" customFormat="false" ht="15" hidden="false" customHeight="false" outlineLevel="0" collapsed="false">
      <c r="A1" s="19" t="s">
        <v>88</v>
      </c>
      <c r="B1" s="19" t="s">
        <v>89</v>
      </c>
      <c r="C1" s="19" t="s">
        <v>90</v>
      </c>
      <c r="D1" s="19" t="s">
        <v>91</v>
      </c>
      <c r="E1" s="19" t="s">
        <v>92</v>
      </c>
      <c r="F1" s="19" t="s">
        <v>93</v>
      </c>
      <c r="G1" s="19" t="s">
        <v>94</v>
      </c>
      <c r="H1" s="19" t="s">
        <v>95</v>
      </c>
      <c r="I1" s="19" t="s">
        <v>96</v>
      </c>
      <c r="J1" s="19" t="s">
        <v>97</v>
      </c>
      <c r="K1" s="19" t="s">
        <v>98</v>
      </c>
      <c r="L1" s="19" t="s">
        <v>99</v>
      </c>
      <c r="M1" s="19" t="s">
        <v>100</v>
      </c>
      <c r="N1" s="19" t="s">
        <v>101</v>
      </c>
      <c r="O1" s="19" t="s">
        <v>102</v>
      </c>
    </row>
    <row r="2" customFormat="false" ht="15" hidden="false" customHeight="false" outlineLevel="0" collapsed="false">
      <c r="A2" s="20" t="n">
        <v>46286</v>
      </c>
      <c r="B2" s="21" t="s">
        <v>103</v>
      </c>
      <c r="C2" s="21" t="s">
        <v>104</v>
      </c>
      <c r="D2" s="21" t="s">
        <v>105</v>
      </c>
      <c r="E2" s="21" t="n">
        <v>100</v>
      </c>
      <c r="F2" s="22"/>
      <c r="G2" s="20"/>
      <c r="H2" s="23" t="n">
        <v>27.8</v>
      </c>
      <c r="I2" s="24" t="n">
        <v>0</v>
      </c>
      <c r="J2" s="14" t="n">
        <f aca="false">IF(C2="","",-E2*H2*IF(OR(B2="Sell call",B2="Buy to close",B2="Expired",B2="Assigned"),100,1)-I2)</f>
        <v>-2780</v>
      </c>
      <c r="K2" s="21" t="s">
        <v>106</v>
      </c>
      <c r="L2" s="21" t="s">
        <v>107</v>
      </c>
      <c r="M2" s="21" t="s">
        <v>108</v>
      </c>
      <c r="N2" s="8" t="str">
        <f aca="false">IF(A2="","",IF(COUNTIFS(Reconcile!$I:$I,A2,Reconcile!$H:$H,"&gt;="&amp;(J2-0.01),Reconcile!$H:$H,"&lt;="&amp;(J2+0.01))&gt;0,"Yes","Not yet"))</f>
        <v>Not yet</v>
      </c>
      <c r="O2" s="21" t="s">
        <v>109</v>
      </c>
    </row>
    <row r="3" customFormat="false" ht="15" hidden="false" customHeight="false" outlineLevel="0" collapsed="false">
      <c r="A3" s="20" t="n">
        <v>46286</v>
      </c>
      <c r="B3" s="21" t="s">
        <v>110</v>
      </c>
      <c r="C3" s="21" t="s">
        <v>104</v>
      </c>
      <c r="D3" s="21" t="s">
        <v>105</v>
      </c>
      <c r="E3" s="21" t="n">
        <v>-1</v>
      </c>
      <c r="F3" s="22" t="n">
        <v>28</v>
      </c>
      <c r="G3" s="20" t="n">
        <v>46311</v>
      </c>
      <c r="H3" s="23" t="n">
        <v>0.55</v>
      </c>
      <c r="I3" s="24" t="n">
        <v>0</v>
      </c>
      <c r="J3" s="14" t="n">
        <f aca="false">IF(C3="","",-E3*H3*IF(OR(B3="Sell call",B3="Buy to close",B3="Expired",B3="Assigned"),100,1)-I3)</f>
        <v>55</v>
      </c>
      <c r="K3" s="21" t="s">
        <v>106</v>
      </c>
      <c r="L3" s="21" t="s">
        <v>111</v>
      </c>
      <c r="M3" s="21" t="s">
        <v>112</v>
      </c>
      <c r="N3" s="8" t="str">
        <f aca="false">IF(A3="","",IF(COUNTIFS(Reconcile!$I:$I,A3,Reconcile!$H:$H,"&gt;="&amp;(J3-0.01),Reconcile!$H:$H,"&lt;="&amp;(J3+0.01))&gt;0,"Yes","Not yet"))</f>
        <v>Not yet</v>
      </c>
      <c r="O3" s="21" t="s">
        <v>109</v>
      </c>
    </row>
    <row r="4" customFormat="false" ht="15" hidden="false" customHeight="false" outlineLevel="0" collapsed="false">
      <c r="A4" s="20"/>
      <c r="B4" s="21"/>
      <c r="C4" s="21"/>
      <c r="D4" s="21"/>
      <c r="E4" s="21"/>
      <c r="F4" s="22"/>
      <c r="G4" s="20"/>
      <c r="H4" s="23"/>
      <c r="I4" s="24"/>
      <c r="J4" s="14" t="str">
        <f aca="false">IF(C4="","",-E4*H4*IF(OR(B4="Sell call",B4="Buy to close",B4="Expired",B4="Assigned"),100,1)-I4)</f>
        <v/>
      </c>
      <c r="K4" s="21"/>
      <c r="L4" s="21"/>
      <c r="M4" s="21"/>
      <c r="N4" s="8" t="str">
        <f aca="false">IF(A4="","",IF(COUNTIFS(Reconcile!$I:$I,A4,Reconcile!$H:$H,"&gt;="&amp;(J4-0.01),Reconcile!$H:$H,"&lt;="&amp;(J4+0.01))&gt;0,"Yes","Not yet"))</f>
        <v/>
      </c>
      <c r="O4" s="21"/>
    </row>
    <row r="5" customFormat="false" ht="15" hidden="false" customHeight="false" outlineLevel="0" collapsed="false">
      <c r="A5" s="20"/>
      <c r="B5" s="21"/>
      <c r="C5" s="21"/>
      <c r="D5" s="21"/>
      <c r="E5" s="21"/>
      <c r="F5" s="22"/>
      <c r="G5" s="20"/>
      <c r="H5" s="23"/>
      <c r="I5" s="24"/>
      <c r="J5" s="14" t="str">
        <f aca="false">IF(C5="","",-E5*H5*IF(OR(B5="Sell call",B5="Buy to close",B5="Expired",B5="Assigned"),100,1)-I5)</f>
        <v/>
      </c>
      <c r="K5" s="21"/>
      <c r="L5" s="21"/>
      <c r="M5" s="21"/>
      <c r="N5" s="8" t="str">
        <f aca="false">IF(A5="","",IF(COUNTIFS(Reconcile!$I:$I,A5,Reconcile!$H:$H,"&gt;="&amp;(J5-0.01),Reconcile!$H:$H,"&lt;="&amp;(J5+0.01))&gt;0,"Yes","Not yet"))</f>
        <v/>
      </c>
      <c r="O5" s="21"/>
    </row>
    <row r="6" customFormat="false" ht="15" hidden="false" customHeight="false" outlineLevel="0" collapsed="false">
      <c r="A6" s="20"/>
      <c r="B6" s="21"/>
      <c r="C6" s="21"/>
      <c r="D6" s="21"/>
      <c r="E6" s="21"/>
      <c r="F6" s="22"/>
      <c r="G6" s="20"/>
      <c r="H6" s="23"/>
      <c r="I6" s="24"/>
      <c r="J6" s="14" t="str">
        <f aca="false">IF(C6="","",-E6*H6*IF(OR(B6="Sell call",B6="Buy to close",B6="Expired",B6="Assigned"),100,1)-I6)</f>
        <v/>
      </c>
      <c r="K6" s="21"/>
      <c r="L6" s="21"/>
      <c r="M6" s="21"/>
      <c r="N6" s="8" t="str">
        <f aca="false">IF(A6="","",IF(COUNTIFS(Reconcile!$I:$I,A6,Reconcile!$H:$H,"&gt;="&amp;(J6-0.01),Reconcile!$H:$H,"&lt;="&amp;(J6+0.01))&gt;0,"Yes","Not yet"))</f>
        <v/>
      </c>
      <c r="O6" s="21"/>
    </row>
    <row r="7" customFormat="false" ht="15" hidden="false" customHeight="false" outlineLevel="0" collapsed="false">
      <c r="A7" s="20"/>
      <c r="B7" s="21"/>
      <c r="C7" s="21"/>
      <c r="D7" s="21"/>
      <c r="E7" s="21"/>
      <c r="F7" s="22"/>
      <c r="G7" s="20"/>
      <c r="H7" s="23"/>
      <c r="I7" s="24"/>
      <c r="J7" s="14" t="str">
        <f aca="false">IF(C7="","",-E7*H7*IF(OR(B7="Sell call",B7="Buy to close",B7="Expired",B7="Assigned"),100,1)-I7)</f>
        <v/>
      </c>
      <c r="K7" s="21"/>
      <c r="L7" s="21"/>
      <c r="M7" s="21"/>
      <c r="N7" s="8" t="str">
        <f aca="false">IF(A7="","",IF(COUNTIFS(Reconcile!$I:$I,A7,Reconcile!$H:$H,"&gt;="&amp;(J7-0.01),Reconcile!$H:$H,"&lt;="&amp;(J7+0.01))&gt;0,"Yes","Not yet"))</f>
        <v/>
      </c>
      <c r="O7" s="21"/>
    </row>
    <row r="8" customFormat="false" ht="15" hidden="false" customHeight="false" outlineLevel="0" collapsed="false">
      <c r="A8" s="20"/>
      <c r="B8" s="21"/>
      <c r="C8" s="21"/>
      <c r="D8" s="21"/>
      <c r="E8" s="21"/>
      <c r="F8" s="22"/>
      <c r="G8" s="20"/>
      <c r="H8" s="23"/>
      <c r="I8" s="24"/>
      <c r="J8" s="14" t="str">
        <f aca="false">IF(C8="","",-E8*H8*IF(OR(B8="Sell call",B8="Buy to close",B8="Expired",B8="Assigned"),100,1)-I8)</f>
        <v/>
      </c>
      <c r="K8" s="21"/>
      <c r="L8" s="21"/>
      <c r="M8" s="21"/>
      <c r="N8" s="8" t="str">
        <f aca="false">IF(A8="","",IF(COUNTIFS(Reconcile!$I:$I,A8,Reconcile!$H:$H,"&gt;="&amp;(J8-0.01),Reconcile!$H:$H,"&lt;="&amp;(J8+0.01))&gt;0,"Yes","Not yet"))</f>
        <v/>
      </c>
      <c r="O8" s="21"/>
    </row>
    <row r="9" customFormat="false" ht="15" hidden="false" customHeight="false" outlineLevel="0" collapsed="false">
      <c r="A9" s="20"/>
      <c r="B9" s="21"/>
      <c r="C9" s="21"/>
      <c r="D9" s="21"/>
      <c r="E9" s="21"/>
      <c r="F9" s="22"/>
      <c r="G9" s="20"/>
      <c r="H9" s="23"/>
      <c r="I9" s="24"/>
      <c r="J9" s="14" t="str">
        <f aca="false">IF(C9="","",-E9*H9*IF(OR(B9="Sell call",B9="Buy to close",B9="Expired",B9="Assigned"),100,1)-I9)</f>
        <v/>
      </c>
      <c r="K9" s="21"/>
      <c r="L9" s="21"/>
      <c r="M9" s="21"/>
      <c r="N9" s="8" t="str">
        <f aca="false">IF(A9="","",IF(COUNTIFS(Reconcile!$I:$I,A9,Reconcile!$H:$H,"&gt;="&amp;(J9-0.01),Reconcile!$H:$H,"&lt;="&amp;(J9+0.01))&gt;0,"Yes","Not yet"))</f>
        <v/>
      </c>
      <c r="O9" s="21"/>
    </row>
    <row r="10" customFormat="false" ht="15" hidden="false" customHeight="false" outlineLevel="0" collapsed="false">
      <c r="A10" s="20"/>
      <c r="B10" s="21"/>
      <c r="C10" s="21"/>
      <c r="D10" s="21"/>
      <c r="E10" s="21"/>
      <c r="F10" s="22"/>
      <c r="G10" s="20"/>
      <c r="H10" s="23"/>
      <c r="I10" s="24"/>
      <c r="J10" s="14" t="str">
        <f aca="false">IF(C10="","",-E10*H10*IF(OR(B10="Sell call",B10="Buy to close",B10="Expired",B10="Assigned"),100,1)-I10)</f>
        <v/>
      </c>
      <c r="K10" s="21"/>
      <c r="L10" s="21"/>
      <c r="M10" s="21"/>
      <c r="N10" s="8" t="str">
        <f aca="false">IF(A10="","",IF(COUNTIFS(Reconcile!$I:$I,A10,Reconcile!$H:$H,"&gt;="&amp;(J10-0.01),Reconcile!$H:$H,"&lt;="&amp;(J10+0.01))&gt;0,"Yes","Not yet"))</f>
        <v/>
      </c>
      <c r="O10" s="21"/>
    </row>
    <row r="11" customFormat="false" ht="15" hidden="false" customHeight="false" outlineLevel="0" collapsed="false">
      <c r="A11" s="20"/>
      <c r="B11" s="21"/>
      <c r="C11" s="21"/>
      <c r="D11" s="21"/>
      <c r="E11" s="21"/>
      <c r="F11" s="22"/>
      <c r="G11" s="20"/>
      <c r="H11" s="23"/>
      <c r="I11" s="24"/>
      <c r="J11" s="14" t="str">
        <f aca="false">IF(C11="","",-E11*H11*IF(OR(B11="Sell call",B11="Buy to close",B11="Expired",B11="Assigned"),100,1)-I11)</f>
        <v/>
      </c>
      <c r="K11" s="21"/>
      <c r="L11" s="21"/>
      <c r="M11" s="21"/>
      <c r="N11" s="8" t="str">
        <f aca="false">IF(A11="","",IF(COUNTIFS(Reconcile!$I:$I,A11,Reconcile!$H:$H,"&gt;="&amp;(J11-0.01),Reconcile!$H:$H,"&lt;="&amp;(J11+0.01))&gt;0,"Yes","Not yet"))</f>
        <v/>
      </c>
      <c r="O11" s="21"/>
    </row>
    <row r="12" customFormat="false" ht="15" hidden="false" customHeight="false" outlineLevel="0" collapsed="false">
      <c r="A12" s="20"/>
      <c r="B12" s="21"/>
      <c r="C12" s="21"/>
      <c r="D12" s="21"/>
      <c r="E12" s="21"/>
      <c r="F12" s="22"/>
      <c r="G12" s="20"/>
      <c r="H12" s="23"/>
      <c r="I12" s="24"/>
      <c r="J12" s="14" t="str">
        <f aca="false">IF(C12="","",-E12*H12*IF(OR(B12="Sell call",B12="Buy to close",B12="Expired",B12="Assigned"),100,1)-I12)</f>
        <v/>
      </c>
      <c r="K12" s="21"/>
      <c r="L12" s="21"/>
      <c r="M12" s="21"/>
      <c r="N12" s="8" t="str">
        <f aca="false">IF(A12="","",IF(COUNTIFS(Reconcile!$I:$I,A12,Reconcile!$H:$H,"&gt;="&amp;(J12-0.01),Reconcile!$H:$H,"&lt;="&amp;(J12+0.01))&gt;0,"Yes","Not yet"))</f>
        <v/>
      </c>
      <c r="O12" s="21"/>
    </row>
    <row r="13" customFormat="false" ht="15" hidden="false" customHeight="false" outlineLevel="0" collapsed="false">
      <c r="A13" s="20"/>
      <c r="B13" s="21"/>
      <c r="C13" s="21"/>
      <c r="D13" s="21"/>
      <c r="E13" s="21"/>
      <c r="F13" s="22"/>
      <c r="G13" s="20"/>
      <c r="H13" s="23"/>
      <c r="I13" s="24"/>
      <c r="J13" s="14" t="str">
        <f aca="false">IF(C13="","",-E13*H13*IF(OR(B13="Sell call",B13="Buy to close",B13="Expired",B13="Assigned"),100,1)-I13)</f>
        <v/>
      </c>
      <c r="K13" s="21"/>
      <c r="L13" s="21"/>
      <c r="M13" s="21"/>
      <c r="N13" s="8" t="str">
        <f aca="false">IF(A13="","",IF(COUNTIFS(Reconcile!$I:$I,A13,Reconcile!$H:$H,"&gt;="&amp;(J13-0.01),Reconcile!$H:$H,"&lt;="&amp;(J13+0.01))&gt;0,"Yes","Not yet"))</f>
        <v/>
      </c>
      <c r="O13" s="21"/>
    </row>
    <row r="14" customFormat="false" ht="15" hidden="false" customHeight="false" outlineLevel="0" collapsed="false">
      <c r="A14" s="20"/>
      <c r="B14" s="21"/>
      <c r="C14" s="21"/>
      <c r="D14" s="21"/>
      <c r="E14" s="21"/>
      <c r="F14" s="22"/>
      <c r="G14" s="20"/>
      <c r="H14" s="23"/>
      <c r="I14" s="24"/>
      <c r="J14" s="14" t="str">
        <f aca="false">IF(C14="","",-E14*H14*IF(OR(B14="Sell call",B14="Buy to close",B14="Expired",B14="Assigned"),100,1)-I14)</f>
        <v/>
      </c>
      <c r="K14" s="21"/>
      <c r="L14" s="21"/>
      <c r="M14" s="21"/>
      <c r="N14" s="8" t="str">
        <f aca="false">IF(A14="","",IF(COUNTIFS(Reconcile!$I:$I,A14,Reconcile!$H:$H,"&gt;="&amp;(J14-0.01),Reconcile!$H:$H,"&lt;="&amp;(J14+0.01))&gt;0,"Yes","Not yet"))</f>
        <v/>
      </c>
      <c r="O14" s="21"/>
    </row>
    <row r="15" customFormat="false" ht="15" hidden="false" customHeight="false" outlineLevel="0" collapsed="false">
      <c r="A15" s="20"/>
      <c r="B15" s="21"/>
      <c r="C15" s="21"/>
      <c r="D15" s="21"/>
      <c r="E15" s="21"/>
      <c r="F15" s="22"/>
      <c r="G15" s="20"/>
      <c r="H15" s="23"/>
      <c r="I15" s="24"/>
      <c r="J15" s="14" t="str">
        <f aca="false">IF(C15="","",-E15*H15*IF(OR(B15="Sell call",B15="Buy to close",B15="Expired",B15="Assigned"),100,1)-I15)</f>
        <v/>
      </c>
      <c r="K15" s="21"/>
      <c r="L15" s="21"/>
      <c r="M15" s="21"/>
      <c r="N15" s="8" t="str">
        <f aca="false">IF(A15="","",IF(COUNTIFS(Reconcile!$I:$I,A15,Reconcile!$H:$H,"&gt;="&amp;(J15-0.01),Reconcile!$H:$H,"&lt;="&amp;(J15+0.01))&gt;0,"Yes","Not yet"))</f>
        <v/>
      </c>
      <c r="O15" s="21"/>
    </row>
    <row r="16" customFormat="false" ht="15" hidden="false" customHeight="false" outlineLevel="0" collapsed="false">
      <c r="A16" s="20"/>
      <c r="B16" s="21"/>
      <c r="C16" s="21"/>
      <c r="D16" s="21"/>
      <c r="E16" s="21"/>
      <c r="F16" s="22"/>
      <c r="G16" s="20"/>
      <c r="H16" s="23"/>
      <c r="I16" s="24"/>
      <c r="J16" s="14" t="str">
        <f aca="false">IF(C16="","",-E16*H16*IF(OR(B16="Sell call",B16="Buy to close",B16="Expired",B16="Assigned"),100,1)-I16)</f>
        <v/>
      </c>
      <c r="K16" s="21"/>
      <c r="L16" s="21"/>
      <c r="M16" s="21"/>
      <c r="N16" s="8" t="str">
        <f aca="false">IF(A16="","",IF(COUNTIFS(Reconcile!$I:$I,A16,Reconcile!$H:$H,"&gt;="&amp;(J16-0.01),Reconcile!$H:$H,"&lt;="&amp;(J16+0.01))&gt;0,"Yes","Not yet"))</f>
        <v/>
      </c>
      <c r="O16" s="21"/>
    </row>
    <row r="17" customFormat="false" ht="15" hidden="false" customHeight="false" outlineLevel="0" collapsed="false">
      <c r="A17" s="20"/>
      <c r="B17" s="21"/>
      <c r="C17" s="21"/>
      <c r="D17" s="21"/>
      <c r="E17" s="21"/>
      <c r="F17" s="22"/>
      <c r="G17" s="20"/>
      <c r="H17" s="23"/>
      <c r="I17" s="24"/>
      <c r="J17" s="14" t="str">
        <f aca="false">IF(C17="","",-E17*H17*IF(OR(B17="Sell call",B17="Buy to close",B17="Expired",B17="Assigned"),100,1)-I17)</f>
        <v/>
      </c>
      <c r="K17" s="21"/>
      <c r="L17" s="21"/>
      <c r="M17" s="21"/>
      <c r="N17" s="8" t="str">
        <f aca="false">IF(A17="","",IF(COUNTIFS(Reconcile!$I:$I,A17,Reconcile!$H:$H,"&gt;="&amp;(J17-0.01),Reconcile!$H:$H,"&lt;="&amp;(J17+0.01))&gt;0,"Yes","Not yet"))</f>
        <v/>
      </c>
      <c r="O17" s="21"/>
    </row>
    <row r="18" customFormat="false" ht="15" hidden="false" customHeight="false" outlineLevel="0" collapsed="false">
      <c r="A18" s="20"/>
      <c r="B18" s="21"/>
      <c r="C18" s="21"/>
      <c r="D18" s="21"/>
      <c r="E18" s="21"/>
      <c r="F18" s="22"/>
      <c r="G18" s="20"/>
      <c r="H18" s="23"/>
      <c r="I18" s="24"/>
      <c r="J18" s="14" t="str">
        <f aca="false">IF(C18="","",-E18*H18*IF(OR(B18="Sell call",B18="Buy to close",B18="Expired",B18="Assigned"),100,1)-I18)</f>
        <v/>
      </c>
      <c r="K18" s="21"/>
      <c r="L18" s="21"/>
      <c r="M18" s="21"/>
      <c r="N18" s="8" t="str">
        <f aca="false">IF(A18="","",IF(COUNTIFS(Reconcile!$I:$I,A18,Reconcile!$H:$H,"&gt;="&amp;(J18-0.01),Reconcile!$H:$H,"&lt;="&amp;(J18+0.01))&gt;0,"Yes","Not yet"))</f>
        <v/>
      </c>
      <c r="O18" s="21"/>
    </row>
    <row r="19" customFormat="false" ht="15" hidden="false" customHeight="false" outlineLevel="0" collapsed="false">
      <c r="A19" s="20"/>
      <c r="B19" s="21"/>
      <c r="C19" s="21"/>
      <c r="D19" s="21"/>
      <c r="E19" s="21"/>
      <c r="F19" s="22"/>
      <c r="G19" s="20"/>
      <c r="H19" s="23"/>
      <c r="I19" s="24"/>
      <c r="J19" s="14" t="str">
        <f aca="false">IF(C19="","",-E19*H19*IF(OR(B19="Sell call",B19="Buy to close",B19="Expired",B19="Assigned"),100,1)-I19)</f>
        <v/>
      </c>
      <c r="K19" s="21"/>
      <c r="L19" s="21"/>
      <c r="M19" s="21"/>
      <c r="N19" s="8" t="str">
        <f aca="false">IF(A19="","",IF(COUNTIFS(Reconcile!$I:$I,A19,Reconcile!$H:$H,"&gt;="&amp;(J19-0.01),Reconcile!$H:$H,"&lt;="&amp;(J19+0.01))&gt;0,"Yes","Not yet"))</f>
        <v/>
      </c>
      <c r="O19" s="21"/>
    </row>
    <row r="20" customFormat="false" ht="15" hidden="false" customHeight="false" outlineLevel="0" collapsed="false">
      <c r="A20" s="20"/>
      <c r="B20" s="21"/>
      <c r="C20" s="21"/>
      <c r="D20" s="21"/>
      <c r="E20" s="21"/>
      <c r="F20" s="22"/>
      <c r="G20" s="20"/>
      <c r="H20" s="23"/>
      <c r="I20" s="24"/>
      <c r="J20" s="14" t="str">
        <f aca="false">IF(C20="","",-E20*H20*IF(OR(B20="Sell call",B20="Buy to close",B20="Expired",B20="Assigned"),100,1)-I20)</f>
        <v/>
      </c>
      <c r="K20" s="21"/>
      <c r="L20" s="21"/>
      <c r="M20" s="21"/>
      <c r="N20" s="8" t="str">
        <f aca="false">IF(A20="","",IF(COUNTIFS(Reconcile!$I:$I,A20,Reconcile!$H:$H,"&gt;="&amp;(J20-0.01),Reconcile!$H:$H,"&lt;="&amp;(J20+0.01))&gt;0,"Yes","Not yet"))</f>
        <v/>
      </c>
      <c r="O20" s="21"/>
    </row>
    <row r="21" customFormat="false" ht="15" hidden="false" customHeight="false" outlineLevel="0" collapsed="false">
      <c r="A21" s="20"/>
      <c r="B21" s="21"/>
      <c r="C21" s="21"/>
      <c r="D21" s="21"/>
      <c r="E21" s="21"/>
      <c r="F21" s="22"/>
      <c r="G21" s="20"/>
      <c r="H21" s="23"/>
      <c r="I21" s="24"/>
      <c r="J21" s="14" t="str">
        <f aca="false">IF(C21="","",-E21*H21*IF(OR(B21="Sell call",B21="Buy to close",B21="Expired",B21="Assigned"),100,1)-I21)</f>
        <v/>
      </c>
      <c r="K21" s="21"/>
      <c r="L21" s="21"/>
      <c r="M21" s="21"/>
      <c r="N21" s="8" t="str">
        <f aca="false">IF(A21="","",IF(COUNTIFS(Reconcile!$I:$I,A21,Reconcile!$H:$H,"&gt;="&amp;(J21-0.01),Reconcile!$H:$H,"&lt;="&amp;(J21+0.01))&gt;0,"Yes","Not yet"))</f>
        <v/>
      </c>
      <c r="O21" s="21"/>
    </row>
    <row r="22" customFormat="false" ht="15" hidden="false" customHeight="false" outlineLevel="0" collapsed="false">
      <c r="A22" s="20"/>
      <c r="B22" s="21"/>
      <c r="C22" s="21"/>
      <c r="D22" s="21"/>
      <c r="E22" s="21"/>
      <c r="F22" s="22"/>
      <c r="G22" s="20"/>
      <c r="H22" s="23"/>
      <c r="I22" s="24"/>
      <c r="J22" s="14" t="str">
        <f aca="false">IF(C22="","",-E22*H22*IF(OR(B22="Sell call",B22="Buy to close",B22="Expired",B22="Assigned"),100,1)-I22)</f>
        <v/>
      </c>
      <c r="K22" s="21"/>
      <c r="L22" s="21"/>
      <c r="M22" s="21"/>
      <c r="N22" s="8" t="str">
        <f aca="false">IF(A22="","",IF(COUNTIFS(Reconcile!$I:$I,A22,Reconcile!$H:$H,"&gt;="&amp;(J22-0.01),Reconcile!$H:$H,"&lt;="&amp;(J22+0.01))&gt;0,"Yes","Not yet"))</f>
        <v/>
      </c>
      <c r="O22" s="21"/>
    </row>
    <row r="23" customFormat="false" ht="15" hidden="false" customHeight="false" outlineLevel="0" collapsed="false">
      <c r="A23" s="20"/>
      <c r="B23" s="21"/>
      <c r="C23" s="21"/>
      <c r="D23" s="21"/>
      <c r="E23" s="21"/>
      <c r="F23" s="22"/>
      <c r="G23" s="20"/>
      <c r="H23" s="23"/>
      <c r="I23" s="24"/>
      <c r="J23" s="14" t="str">
        <f aca="false">IF(C23="","",-E23*H23*IF(OR(B23="Sell call",B23="Buy to close",B23="Expired",B23="Assigned"),100,1)-I23)</f>
        <v/>
      </c>
      <c r="K23" s="21"/>
      <c r="L23" s="21"/>
      <c r="M23" s="21"/>
      <c r="N23" s="8" t="str">
        <f aca="false">IF(A23="","",IF(COUNTIFS(Reconcile!$I:$I,A23,Reconcile!$H:$H,"&gt;="&amp;(J23-0.01),Reconcile!$H:$H,"&lt;="&amp;(J23+0.01))&gt;0,"Yes","Not yet"))</f>
        <v/>
      </c>
      <c r="O23" s="21"/>
    </row>
    <row r="24" customFormat="false" ht="15" hidden="false" customHeight="false" outlineLevel="0" collapsed="false">
      <c r="A24" s="20"/>
      <c r="B24" s="21"/>
      <c r="C24" s="21"/>
      <c r="D24" s="21"/>
      <c r="E24" s="21"/>
      <c r="F24" s="22"/>
      <c r="G24" s="20"/>
      <c r="H24" s="23"/>
      <c r="I24" s="24"/>
      <c r="J24" s="14" t="str">
        <f aca="false">IF(C24="","",-E24*H24*IF(OR(B24="Sell call",B24="Buy to close",B24="Expired",B24="Assigned"),100,1)-I24)</f>
        <v/>
      </c>
      <c r="K24" s="21"/>
      <c r="L24" s="21"/>
      <c r="M24" s="21"/>
      <c r="N24" s="8" t="str">
        <f aca="false">IF(A24="","",IF(COUNTIFS(Reconcile!$I:$I,A24,Reconcile!$H:$H,"&gt;="&amp;(J24-0.01),Reconcile!$H:$H,"&lt;="&amp;(J24+0.01))&gt;0,"Yes","Not yet"))</f>
        <v/>
      </c>
      <c r="O24" s="21"/>
    </row>
    <row r="25" customFormat="false" ht="15" hidden="false" customHeight="false" outlineLevel="0" collapsed="false">
      <c r="A25" s="20"/>
      <c r="B25" s="21"/>
      <c r="C25" s="21"/>
      <c r="D25" s="21"/>
      <c r="E25" s="21"/>
      <c r="F25" s="22"/>
      <c r="G25" s="20"/>
      <c r="H25" s="23"/>
      <c r="I25" s="24"/>
      <c r="J25" s="14" t="str">
        <f aca="false">IF(C25="","",-E25*H25*IF(OR(B25="Sell call",B25="Buy to close",B25="Expired",B25="Assigned"),100,1)-I25)</f>
        <v/>
      </c>
      <c r="K25" s="21"/>
      <c r="L25" s="21"/>
      <c r="M25" s="21"/>
      <c r="N25" s="8" t="str">
        <f aca="false">IF(A25="","",IF(COUNTIFS(Reconcile!$I:$I,A25,Reconcile!$H:$H,"&gt;="&amp;(J25-0.01),Reconcile!$H:$H,"&lt;="&amp;(J25+0.01))&gt;0,"Yes","Not yet"))</f>
        <v/>
      </c>
      <c r="O25" s="21"/>
    </row>
    <row r="26" customFormat="false" ht="15" hidden="false" customHeight="false" outlineLevel="0" collapsed="false">
      <c r="A26" s="20"/>
      <c r="B26" s="21"/>
      <c r="C26" s="21"/>
      <c r="D26" s="21"/>
      <c r="E26" s="21"/>
      <c r="F26" s="22"/>
      <c r="G26" s="20"/>
      <c r="H26" s="23"/>
      <c r="I26" s="24"/>
      <c r="J26" s="14" t="str">
        <f aca="false">IF(C26="","",-E26*H26*IF(OR(B26="Sell call",B26="Buy to close",B26="Expired",B26="Assigned"),100,1)-I26)</f>
        <v/>
      </c>
      <c r="K26" s="21"/>
      <c r="L26" s="21"/>
      <c r="M26" s="21"/>
      <c r="N26" s="8" t="str">
        <f aca="false">IF(A26="","",IF(COUNTIFS(Reconcile!$I:$I,A26,Reconcile!$H:$H,"&gt;="&amp;(J26-0.01),Reconcile!$H:$H,"&lt;="&amp;(J26+0.01))&gt;0,"Yes","Not yet"))</f>
        <v/>
      </c>
      <c r="O26" s="21"/>
    </row>
    <row r="27" customFormat="false" ht="15" hidden="false" customHeight="false" outlineLevel="0" collapsed="false">
      <c r="A27" s="20"/>
      <c r="B27" s="21"/>
      <c r="C27" s="21"/>
      <c r="D27" s="21"/>
      <c r="E27" s="21"/>
      <c r="F27" s="22"/>
      <c r="G27" s="20"/>
      <c r="H27" s="23"/>
      <c r="I27" s="24"/>
      <c r="J27" s="14" t="str">
        <f aca="false">IF(C27="","",-E27*H27*IF(OR(B27="Sell call",B27="Buy to close",B27="Expired",B27="Assigned"),100,1)-I27)</f>
        <v/>
      </c>
      <c r="K27" s="21"/>
      <c r="L27" s="21"/>
      <c r="M27" s="21"/>
      <c r="N27" s="8" t="str">
        <f aca="false">IF(A27="","",IF(COUNTIFS(Reconcile!$I:$I,A27,Reconcile!$H:$H,"&gt;="&amp;(J27-0.01),Reconcile!$H:$H,"&lt;="&amp;(J27+0.01))&gt;0,"Yes","Not yet"))</f>
        <v/>
      </c>
      <c r="O27" s="21"/>
    </row>
    <row r="28" customFormat="false" ht="15" hidden="false" customHeight="false" outlineLevel="0" collapsed="false">
      <c r="A28" s="20"/>
      <c r="B28" s="21"/>
      <c r="C28" s="21"/>
      <c r="D28" s="21"/>
      <c r="E28" s="21"/>
      <c r="F28" s="22"/>
      <c r="G28" s="20"/>
      <c r="H28" s="23"/>
      <c r="I28" s="24"/>
      <c r="J28" s="14" t="str">
        <f aca="false">IF(C28="","",-E28*H28*IF(OR(B28="Sell call",B28="Buy to close",B28="Expired",B28="Assigned"),100,1)-I28)</f>
        <v/>
      </c>
      <c r="K28" s="21"/>
      <c r="L28" s="21"/>
      <c r="M28" s="21"/>
      <c r="N28" s="8" t="str">
        <f aca="false">IF(A28="","",IF(COUNTIFS(Reconcile!$I:$I,A28,Reconcile!$H:$H,"&gt;="&amp;(J28-0.01),Reconcile!$H:$H,"&lt;="&amp;(J28+0.01))&gt;0,"Yes","Not yet"))</f>
        <v/>
      </c>
      <c r="O28" s="21"/>
    </row>
    <row r="29" customFormat="false" ht="15" hidden="false" customHeight="false" outlineLevel="0" collapsed="false">
      <c r="A29" s="20"/>
      <c r="B29" s="21"/>
      <c r="C29" s="21"/>
      <c r="D29" s="21"/>
      <c r="E29" s="21"/>
      <c r="F29" s="22"/>
      <c r="G29" s="20"/>
      <c r="H29" s="23"/>
      <c r="I29" s="24"/>
      <c r="J29" s="14" t="str">
        <f aca="false">IF(C29="","",-E29*H29*IF(OR(B29="Sell call",B29="Buy to close",B29="Expired",B29="Assigned"),100,1)-I29)</f>
        <v/>
      </c>
      <c r="K29" s="21"/>
      <c r="L29" s="21"/>
      <c r="M29" s="21"/>
      <c r="N29" s="8" t="str">
        <f aca="false">IF(A29="","",IF(COUNTIFS(Reconcile!$I:$I,A29,Reconcile!$H:$H,"&gt;="&amp;(J29-0.01),Reconcile!$H:$H,"&lt;="&amp;(J29+0.01))&gt;0,"Yes","Not yet"))</f>
        <v/>
      </c>
      <c r="O29" s="21"/>
    </row>
    <row r="30" customFormat="false" ht="15" hidden="false" customHeight="false" outlineLevel="0" collapsed="false">
      <c r="A30" s="20"/>
      <c r="B30" s="21"/>
      <c r="C30" s="21"/>
      <c r="D30" s="21"/>
      <c r="E30" s="21"/>
      <c r="F30" s="22"/>
      <c r="G30" s="20"/>
      <c r="H30" s="23"/>
      <c r="I30" s="24"/>
      <c r="J30" s="14" t="str">
        <f aca="false">IF(C30="","",-E30*H30*IF(OR(B30="Sell call",B30="Buy to close",B30="Expired",B30="Assigned"),100,1)-I30)</f>
        <v/>
      </c>
      <c r="K30" s="21"/>
      <c r="L30" s="21"/>
      <c r="M30" s="21"/>
      <c r="N30" s="8" t="str">
        <f aca="false">IF(A30="","",IF(COUNTIFS(Reconcile!$I:$I,A30,Reconcile!$H:$H,"&gt;="&amp;(J30-0.01),Reconcile!$H:$H,"&lt;="&amp;(J30+0.01))&gt;0,"Yes","Not yet"))</f>
        <v/>
      </c>
      <c r="O30" s="21"/>
    </row>
    <row r="31" customFormat="false" ht="15" hidden="false" customHeight="false" outlineLevel="0" collapsed="false">
      <c r="A31" s="20"/>
      <c r="B31" s="21"/>
      <c r="C31" s="21"/>
      <c r="D31" s="21"/>
      <c r="E31" s="21"/>
      <c r="F31" s="22"/>
      <c r="G31" s="20"/>
      <c r="H31" s="23"/>
      <c r="I31" s="24"/>
      <c r="J31" s="14" t="str">
        <f aca="false">IF(C31="","",-E31*H31*IF(OR(B31="Sell call",B31="Buy to close",B31="Expired",B31="Assigned"),100,1)-I31)</f>
        <v/>
      </c>
      <c r="K31" s="21"/>
      <c r="L31" s="21"/>
      <c r="M31" s="21"/>
      <c r="N31" s="8" t="str">
        <f aca="false">IF(A31="","",IF(COUNTIFS(Reconcile!$I:$I,A31,Reconcile!$H:$H,"&gt;="&amp;(J31-0.01),Reconcile!$H:$H,"&lt;="&amp;(J31+0.01))&gt;0,"Yes","Not yet"))</f>
        <v/>
      </c>
      <c r="O31" s="21"/>
    </row>
    <row r="32" customFormat="false" ht="15" hidden="false" customHeight="false" outlineLevel="0" collapsed="false">
      <c r="A32" s="20"/>
      <c r="B32" s="21"/>
      <c r="C32" s="21"/>
      <c r="D32" s="21"/>
      <c r="E32" s="21"/>
      <c r="F32" s="22"/>
      <c r="G32" s="20"/>
      <c r="H32" s="23"/>
      <c r="I32" s="24"/>
      <c r="J32" s="14" t="str">
        <f aca="false">IF(C32="","",-E32*H32*IF(OR(B32="Sell call",B32="Buy to close",B32="Expired",B32="Assigned"),100,1)-I32)</f>
        <v/>
      </c>
      <c r="K32" s="21"/>
      <c r="L32" s="21"/>
      <c r="M32" s="21"/>
      <c r="N32" s="8" t="str">
        <f aca="false">IF(A32="","",IF(COUNTIFS(Reconcile!$I:$I,A32,Reconcile!$H:$H,"&gt;="&amp;(J32-0.01),Reconcile!$H:$H,"&lt;="&amp;(J32+0.01))&gt;0,"Yes","Not yet"))</f>
        <v/>
      </c>
      <c r="O32" s="21"/>
    </row>
    <row r="33" customFormat="false" ht="15" hidden="false" customHeight="false" outlineLevel="0" collapsed="false">
      <c r="A33" s="20"/>
      <c r="B33" s="21"/>
      <c r="C33" s="21"/>
      <c r="D33" s="21"/>
      <c r="E33" s="21"/>
      <c r="F33" s="22"/>
      <c r="G33" s="20"/>
      <c r="H33" s="23"/>
      <c r="I33" s="24"/>
      <c r="J33" s="14" t="str">
        <f aca="false">IF(C33="","",-E33*H33*IF(OR(B33="Sell call",B33="Buy to close",B33="Expired",B33="Assigned"),100,1)-I33)</f>
        <v/>
      </c>
      <c r="K33" s="21"/>
      <c r="L33" s="21"/>
      <c r="M33" s="21"/>
      <c r="N33" s="8" t="str">
        <f aca="false">IF(A33="","",IF(COUNTIFS(Reconcile!$I:$I,A33,Reconcile!$H:$H,"&gt;="&amp;(J33-0.01),Reconcile!$H:$H,"&lt;="&amp;(J33+0.01))&gt;0,"Yes","Not yet"))</f>
        <v/>
      </c>
      <c r="O33" s="21"/>
    </row>
    <row r="34" customFormat="false" ht="15" hidden="false" customHeight="false" outlineLevel="0" collapsed="false">
      <c r="A34" s="20"/>
      <c r="B34" s="21"/>
      <c r="C34" s="21"/>
      <c r="D34" s="21"/>
      <c r="E34" s="21"/>
      <c r="F34" s="22"/>
      <c r="G34" s="20"/>
      <c r="H34" s="23"/>
      <c r="I34" s="24"/>
      <c r="J34" s="14" t="str">
        <f aca="false">IF(C34="","",-E34*H34*IF(OR(B34="Sell call",B34="Buy to close",B34="Expired",B34="Assigned"),100,1)-I34)</f>
        <v/>
      </c>
      <c r="K34" s="21"/>
      <c r="L34" s="21"/>
      <c r="M34" s="21"/>
      <c r="N34" s="8" t="str">
        <f aca="false">IF(A34="","",IF(COUNTIFS(Reconcile!$I:$I,A34,Reconcile!$H:$H,"&gt;="&amp;(J34-0.01),Reconcile!$H:$H,"&lt;="&amp;(J34+0.01))&gt;0,"Yes","Not yet"))</f>
        <v/>
      </c>
      <c r="O34" s="21"/>
    </row>
    <row r="35" customFormat="false" ht="15" hidden="false" customHeight="false" outlineLevel="0" collapsed="false">
      <c r="A35" s="20"/>
      <c r="B35" s="21"/>
      <c r="C35" s="21"/>
      <c r="D35" s="21"/>
      <c r="E35" s="21"/>
      <c r="F35" s="22"/>
      <c r="G35" s="20"/>
      <c r="H35" s="23"/>
      <c r="I35" s="24"/>
      <c r="J35" s="14" t="str">
        <f aca="false">IF(C35="","",-E35*H35*IF(OR(B35="Sell call",B35="Buy to close",B35="Expired",B35="Assigned"),100,1)-I35)</f>
        <v/>
      </c>
      <c r="K35" s="21"/>
      <c r="L35" s="21"/>
      <c r="M35" s="21"/>
      <c r="N35" s="8" t="str">
        <f aca="false">IF(A35="","",IF(COUNTIFS(Reconcile!$I:$I,A35,Reconcile!$H:$H,"&gt;="&amp;(J35-0.01),Reconcile!$H:$H,"&lt;="&amp;(J35+0.01))&gt;0,"Yes","Not yet"))</f>
        <v/>
      </c>
      <c r="O35" s="21"/>
    </row>
    <row r="36" customFormat="false" ht="15" hidden="false" customHeight="false" outlineLevel="0" collapsed="false">
      <c r="A36" s="20"/>
      <c r="B36" s="21"/>
      <c r="C36" s="21"/>
      <c r="D36" s="21"/>
      <c r="E36" s="21"/>
      <c r="F36" s="22"/>
      <c r="G36" s="20"/>
      <c r="H36" s="23"/>
      <c r="I36" s="24"/>
      <c r="J36" s="14" t="str">
        <f aca="false">IF(C36="","",-E36*H36*IF(OR(B36="Sell call",B36="Buy to close",B36="Expired",B36="Assigned"),100,1)-I36)</f>
        <v/>
      </c>
      <c r="K36" s="21"/>
      <c r="L36" s="21"/>
      <c r="M36" s="21"/>
      <c r="N36" s="8" t="str">
        <f aca="false">IF(A36="","",IF(COUNTIFS(Reconcile!$I:$I,A36,Reconcile!$H:$H,"&gt;="&amp;(J36-0.01),Reconcile!$H:$H,"&lt;="&amp;(J36+0.01))&gt;0,"Yes","Not yet"))</f>
        <v/>
      </c>
      <c r="O36" s="21"/>
    </row>
    <row r="37" customFormat="false" ht="15" hidden="false" customHeight="false" outlineLevel="0" collapsed="false">
      <c r="A37" s="20"/>
      <c r="B37" s="21"/>
      <c r="C37" s="21"/>
      <c r="D37" s="21"/>
      <c r="E37" s="21"/>
      <c r="F37" s="22"/>
      <c r="G37" s="20"/>
      <c r="H37" s="23"/>
      <c r="I37" s="24"/>
      <c r="J37" s="14" t="str">
        <f aca="false">IF(C37="","",-E37*H37*IF(OR(B37="Sell call",B37="Buy to close",B37="Expired",B37="Assigned"),100,1)-I37)</f>
        <v/>
      </c>
      <c r="K37" s="21"/>
      <c r="L37" s="21"/>
      <c r="M37" s="21"/>
      <c r="N37" s="8" t="str">
        <f aca="false">IF(A37="","",IF(COUNTIFS(Reconcile!$I:$I,A37,Reconcile!$H:$H,"&gt;="&amp;(J37-0.01),Reconcile!$H:$H,"&lt;="&amp;(J37+0.01))&gt;0,"Yes","Not yet"))</f>
        <v/>
      </c>
      <c r="O37" s="21"/>
    </row>
    <row r="38" customFormat="false" ht="15" hidden="false" customHeight="false" outlineLevel="0" collapsed="false">
      <c r="A38" s="20"/>
      <c r="B38" s="21"/>
      <c r="C38" s="21"/>
      <c r="D38" s="21"/>
      <c r="E38" s="21"/>
      <c r="F38" s="22"/>
      <c r="G38" s="20"/>
      <c r="H38" s="23"/>
      <c r="I38" s="24"/>
      <c r="J38" s="14" t="str">
        <f aca="false">IF(C38="","",-E38*H38*IF(OR(B38="Sell call",B38="Buy to close",B38="Expired",B38="Assigned"),100,1)-I38)</f>
        <v/>
      </c>
      <c r="K38" s="21"/>
      <c r="L38" s="21"/>
      <c r="M38" s="21"/>
      <c r="N38" s="8" t="str">
        <f aca="false">IF(A38="","",IF(COUNTIFS(Reconcile!$I:$I,A38,Reconcile!$H:$H,"&gt;="&amp;(J38-0.01),Reconcile!$H:$H,"&lt;="&amp;(J38+0.01))&gt;0,"Yes","Not yet"))</f>
        <v/>
      </c>
      <c r="O38" s="21"/>
    </row>
    <row r="39" customFormat="false" ht="15" hidden="false" customHeight="false" outlineLevel="0" collapsed="false">
      <c r="A39" s="20"/>
      <c r="B39" s="21"/>
      <c r="C39" s="21"/>
      <c r="D39" s="21"/>
      <c r="E39" s="21"/>
      <c r="F39" s="22"/>
      <c r="G39" s="20"/>
      <c r="H39" s="23"/>
      <c r="I39" s="24"/>
      <c r="J39" s="14" t="str">
        <f aca="false">IF(C39="","",-E39*H39*IF(OR(B39="Sell call",B39="Buy to close",B39="Expired",B39="Assigned"),100,1)-I39)</f>
        <v/>
      </c>
      <c r="K39" s="21"/>
      <c r="L39" s="21"/>
      <c r="M39" s="21"/>
      <c r="N39" s="8" t="str">
        <f aca="false">IF(A39="","",IF(COUNTIFS(Reconcile!$I:$I,A39,Reconcile!$H:$H,"&gt;="&amp;(J39-0.01),Reconcile!$H:$H,"&lt;="&amp;(J39+0.01))&gt;0,"Yes","Not yet"))</f>
        <v/>
      </c>
      <c r="O39" s="21"/>
    </row>
    <row r="40" customFormat="false" ht="15" hidden="false" customHeight="false" outlineLevel="0" collapsed="false">
      <c r="A40" s="20"/>
      <c r="B40" s="21"/>
      <c r="C40" s="21"/>
      <c r="D40" s="21"/>
      <c r="E40" s="21"/>
      <c r="F40" s="22"/>
      <c r="G40" s="20"/>
      <c r="H40" s="23"/>
      <c r="I40" s="24"/>
      <c r="J40" s="14" t="str">
        <f aca="false">IF(C40="","",-E40*H40*IF(OR(B40="Sell call",B40="Buy to close",B40="Expired",B40="Assigned"),100,1)-I40)</f>
        <v/>
      </c>
      <c r="K40" s="21"/>
      <c r="L40" s="21"/>
      <c r="M40" s="21"/>
      <c r="N40" s="8" t="str">
        <f aca="false">IF(A40="","",IF(COUNTIFS(Reconcile!$I:$I,A40,Reconcile!$H:$H,"&gt;="&amp;(J40-0.01),Reconcile!$H:$H,"&lt;="&amp;(J40+0.01))&gt;0,"Yes","Not yet"))</f>
        <v/>
      </c>
      <c r="O40" s="21"/>
    </row>
    <row r="41" customFormat="false" ht="15" hidden="false" customHeight="false" outlineLevel="0" collapsed="false">
      <c r="A41" s="20"/>
      <c r="B41" s="21"/>
      <c r="C41" s="21"/>
      <c r="D41" s="21"/>
      <c r="E41" s="21"/>
      <c r="F41" s="22"/>
      <c r="G41" s="20"/>
      <c r="H41" s="23"/>
      <c r="I41" s="24"/>
      <c r="J41" s="14" t="str">
        <f aca="false">IF(C41="","",-E41*H41*IF(OR(B41="Sell call",B41="Buy to close",B41="Expired",B41="Assigned"),100,1)-I41)</f>
        <v/>
      </c>
      <c r="K41" s="21"/>
      <c r="L41" s="21"/>
      <c r="M41" s="21"/>
      <c r="N41" s="8" t="str">
        <f aca="false">IF(A41="","",IF(COUNTIFS(Reconcile!$I:$I,A41,Reconcile!$H:$H,"&gt;="&amp;(J41-0.01),Reconcile!$H:$H,"&lt;="&amp;(J41+0.01))&gt;0,"Yes","Not yet"))</f>
        <v/>
      </c>
      <c r="O41" s="21"/>
    </row>
    <row r="42" customFormat="false" ht="15" hidden="false" customHeight="false" outlineLevel="0" collapsed="false">
      <c r="A42" s="20"/>
      <c r="B42" s="21"/>
      <c r="C42" s="21"/>
      <c r="D42" s="21"/>
      <c r="E42" s="21"/>
      <c r="F42" s="22"/>
      <c r="G42" s="20"/>
      <c r="H42" s="23"/>
      <c r="I42" s="24"/>
      <c r="J42" s="14" t="str">
        <f aca="false">IF(C42="","",-E42*H42*IF(OR(B42="Sell call",B42="Buy to close",B42="Expired",B42="Assigned"),100,1)-I42)</f>
        <v/>
      </c>
      <c r="K42" s="21"/>
      <c r="L42" s="21"/>
      <c r="M42" s="21"/>
      <c r="N42" s="8" t="str">
        <f aca="false">IF(A42="","",IF(COUNTIFS(Reconcile!$I:$I,A42,Reconcile!$H:$H,"&gt;="&amp;(J42-0.01),Reconcile!$H:$H,"&lt;="&amp;(J42+0.01))&gt;0,"Yes","Not yet"))</f>
        <v/>
      </c>
      <c r="O42" s="21"/>
    </row>
    <row r="43" customFormat="false" ht="15" hidden="false" customHeight="false" outlineLevel="0" collapsed="false">
      <c r="A43" s="20"/>
      <c r="B43" s="21"/>
      <c r="C43" s="21"/>
      <c r="D43" s="21"/>
      <c r="E43" s="21"/>
      <c r="F43" s="22"/>
      <c r="G43" s="20"/>
      <c r="H43" s="23"/>
      <c r="I43" s="24"/>
      <c r="J43" s="14" t="str">
        <f aca="false">IF(C43="","",-E43*H43*IF(OR(B43="Sell call",B43="Buy to close",B43="Expired",B43="Assigned"),100,1)-I43)</f>
        <v/>
      </c>
      <c r="K43" s="21"/>
      <c r="L43" s="21"/>
      <c r="M43" s="21"/>
      <c r="N43" s="8" t="str">
        <f aca="false">IF(A43="","",IF(COUNTIFS(Reconcile!$I:$I,A43,Reconcile!$H:$H,"&gt;="&amp;(J43-0.01),Reconcile!$H:$H,"&lt;="&amp;(J43+0.01))&gt;0,"Yes","Not yet"))</f>
        <v/>
      </c>
      <c r="O43" s="21"/>
    </row>
    <row r="44" customFormat="false" ht="15" hidden="false" customHeight="false" outlineLevel="0" collapsed="false">
      <c r="A44" s="20"/>
      <c r="B44" s="21"/>
      <c r="C44" s="21"/>
      <c r="D44" s="21"/>
      <c r="E44" s="21"/>
      <c r="F44" s="22"/>
      <c r="G44" s="20"/>
      <c r="H44" s="23"/>
      <c r="I44" s="24"/>
      <c r="J44" s="14" t="str">
        <f aca="false">IF(C44="","",-E44*H44*IF(OR(B44="Sell call",B44="Buy to close",B44="Expired",B44="Assigned"),100,1)-I44)</f>
        <v/>
      </c>
      <c r="K44" s="21"/>
      <c r="L44" s="21"/>
      <c r="M44" s="21"/>
      <c r="N44" s="8" t="str">
        <f aca="false">IF(A44="","",IF(COUNTIFS(Reconcile!$I:$I,A44,Reconcile!$H:$H,"&gt;="&amp;(J44-0.01),Reconcile!$H:$H,"&lt;="&amp;(J44+0.01))&gt;0,"Yes","Not yet"))</f>
        <v/>
      </c>
      <c r="O44" s="21"/>
    </row>
    <row r="45" customFormat="false" ht="15" hidden="false" customHeight="false" outlineLevel="0" collapsed="false">
      <c r="A45" s="20"/>
      <c r="B45" s="21"/>
      <c r="C45" s="21"/>
      <c r="D45" s="21"/>
      <c r="E45" s="21"/>
      <c r="F45" s="22"/>
      <c r="G45" s="20"/>
      <c r="H45" s="23"/>
      <c r="I45" s="24"/>
      <c r="J45" s="14" t="str">
        <f aca="false">IF(C45="","",-E45*H45*IF(OR(B45="Sell call",B45="Buy to close",B45="Expired",B45="Assigned"),100,1)-I45)</f>
        <v/>
      </c>
      <c r="K45" s="21"/>
      <c r="L45" s="21"/>
      <c r="M45" s="21"/>
      <c r="N45" s="8" t="str">
        <f aca="false">IF(A45="","",IF(COUNTIFS(Reconcile!$I:$I,A45,Reconcile!$H:$H,"&gt;="&amp;(J45-0.01),Reconcile!$H:$H,"&lt;="&amp;(J45+0.01))&gt;0,"Yes","Not yet"))</f>
        <v/>
      </c>
      <c r="O45" s="21"/>
    </row>
    <row r="46" customFormat="false" ht="15" hidden="false" customHeight="false" outlineLevel="0" collapsed="false">
      <c r="A46" s="20"/>
      <c r="B46" s="21"/>
      <c r="C46" s="21"/>
      <c r="D46" s="21"/>
      <c r="E46" s="21"/>
      <c r="F46" s="22"/>
      <c r="G46" s="20"/>
      <c r="H46" s="23"/>
      <c r="I46" s="24"/>
      <c r="J46" s="14" t="str">
        <f aca="false">IF(C46="","",-E46*H46*IF(OR(B46="Sell call",B46="Buy to close",B46="Expired",B46="Assigned"),100,1)-I46)</f>
        <v/>
      </c>
      <c r="K46" s="21"/>
      <c r="L46" s="21"/>
      <c r="M46" s="21"/>
      <c r="N46" s="8" t="str">
        <f aca="false">IF(A46="","",IF(COUNTIFS(Reconcile!$I:$I,A46,Reconcile!$H:$H,"&gt;="&amp;(J46-0.01),Reconcile!$H:$H,"&lt;="&amp;(J46+0.01))&gt;0,"Yes","Not yet"))</f>
        <v/>
      </c>
      <c r="O46" s="21"/>
    </row>
    <row r="47" customFormat="false" ht="15" hidden="false" customHeight="false" outlineLevel="0" collapsed="false">
      <c r="A47" s="20"/>
      <c r="B47" s="21"/>
      <c r="C47" s="21"/>
      <c r="D47" s="21"/>
      <c r="E47" s="21"/>
      <c r="F47" s="22"/>
      <c r="G47" s="20"/>
      <c r="H47" s="23"/>
      <c r="I47" s="24"/>
      <c r="J47" s="14" t="str">
        <f aca="false">IF(C47="","",-E47*H47*IF(OR(B47="Sell call",B47="Buy to close",B47="Expired",B47="Assigned"),100,1)-I47)</f>
        <v/>
      </c>
      <c r="K47" s="21"/>
      <c r="L47" s="21"/>
      <c r="M47" s="21"/>
      <c r="N47" s="8" t="str">
        <f aca="false">IF(A47="","",IF(COUNTIFS(Reconcile!$I:$I,A47,Reconcile!$H:$H,"&gt;="&amp;(J47-0.01),Reconcile!$H:$H,"&lt;="&amp;(J47+0.01))&gt;0,"Yes","Not yet"))</f>
        <v/>
      </c>
      <c r="O47" s="21"/>
    </row>
    <row r="48" customFormat="false" ht="15" hidden="false" customHeight="false" outlineLevel="0" collapsed="false">
      <c r="A48" s="20"/>
      <c r="B48" s="21"/>
      <c r="C48" s="21"/>
      <c r="D48" s="21"/>
      <c r="E48" s="21"/>
      <c r="F48" s="22"/>
      <c r="G48" s="20"/>
      <c r="H48" s="23"/>
      <c r="I48" s="24"/>
      <c r="J48" s="14" t="str">
        <f aca="false">IF(C48="","",-E48*H48*IF(OR(B48="Sell call",B48="Buy to close",B48="Expired",B48="Assigned"),100,1)-I48)</f>
        <v/>
      </c>
      <c r="K48" s="21"/>
      <c r="L48" s="21"/>
      <c r="M48" s="21"/>
      <c r="N48" s="8" t="str">
        <f aca="false">IF(A48="","",IF(COUNTIFS(Reconcile!$I:$I,A48,Reconcile!$H:$H,"&gt;="&amp;(J48-0.01),Reconcile!$H:$H,"&lt;="&amp;(J48+0.01))&gt;0,"Yes","Not yet"))</f>
        <v/>
      </c>
      <c r="O48" s="21"/>
    </row>
    <row r="49" customFormat="false" ht="15" hidden="false" customHeight="false" outlineLevel="0" collapsed="false">
      <c r="A49" s="20"/>
      <c r="B49" s="21"/>
      <c r="C49" s="21"/>
      <c r="D49" s="21"/>
      <c r="E49" s="21"/>
      <c r="F49" s="22"/>
      <c r="G49" s="20"/>
      <c r="H49" s="23"/>
      <c r="I49" s="24"/>
      <c r="J49" s="14" t="str">
        <f aca="false">IF(C49="","",-E49*H49*IF(OR(B49="Sell call",B49="Buy to close",B49="Expired",B49="Assigned"),100,1)-I49)</f>
        <v/>
      </c>
      <c r="K49" s="21"/>
      <c r="L49" s="21"/>
      <c r="M49" s="21"/>
      <c r="N49" s="8" t="str">
        <f aca="false">IF(A49="","",IF(COUNTIFS(Reconcile!$I:$I,A49,Reconcile!$H:$H,"&gt;="&amp;(J49-0.01),Reconcile!$H:$H,"&lt;="&amp;(J49+0.01))&gt;0,"Yes","Not yet"))</f>
        <v/>
      </c>
      <c r="O49" s="21"/>
    </row>
    <row r="50" customFormat="false" ht="15" hidden="false" customHeight="false" outlineLevel="0" collapsed="false">
      <c r="A50" s="20"/>
      <c r="B50" s="21"/>
      <c r="C50" s="21"/>
      <c r="D50" s="21"/>
      <c r="E50" s="21"/>
      <c r="F50" s="22"/>
      <c r="G50" s="20"/>
      <c r="H50" s="23"/>
      <c r="I50" s="24"/>
      <c r="J50" s="14" t="str">
        <f aca="false">IF(C50="","",-E50*H50*IF(OR(B50="Sell call",B50="Buy to close",B50="Expired",B50="Assigned"),100,1)-I50)</f>
        <v/>
      </c>
      <c r="K50" s="21"/>
      <c r="L50" s="21"/>
      <c r="M50" s="21"/>
      <c r="N50" s="8" t="str">
        <f aca="false">IF(A50="","",IF(COUNTIFS(Reconcile!$I:$I,A50,Reconcile!$H:$H,"&gt;="&amp;(J50-0.01),Reconcile!$H:$H,"&lt;="&amp;(J50+0.01))&gt;0,"Yes","Not yet"))</f>
        <v/>
      </c>
      <c r="O50" s="21"/>
    </row>
    <row r="51" customFormat="false" ht="15" hidden="false" customHeight="false" outlineLevel="0" collapsed="false">
      <c r="A51" s="20"/>
      <c r="B51" s="21"/>
      <c r="C51" s="21"/>
      <c r="D51" s="21"/>
      <c r="E51" s="21"/>
      <c r="F51" s="22"/>
      <c r="G51" s="20"/>
      <c r="H51" s="23"/>
      <c r="I51" s="24"/>
      <c r="J51" s="14" t="str">
        <f aca="false">IF(C51="","",-E51*H51*IF(OR(B51="Sell call",B51="Buy to close",B51="Expired",B51="Assigned"),100,1)-I51)</f>
        <v/>
      </c>
      <c r="K51" s="21"/>
      <c r="L51" s="21"/>
      <c r="M51" s="21"/>
      <c r="N51" s="8" t="str">
        <f aca="false">IF(A51="","",IF(COUNTIFS(Reconcile!$I:$I,A51,Reconcile!$H:$H,"&gt;="&amp;(J51-0.01),Reconcile!$H:$H,"&lt;="&amp;(J51+0.01))&gt;0,"Yes","Not yet"))</f>
        <v/>
      </c>
      <c r="O51" s="21"/>
    </row>
    <row r="52" customFormat="false" ht="15" hidden="false" customHeight="false" outlineLevel="0" collapsed="false">
      <c r="A52" s="20"/>
      <c r="B52" s="21"/>
      <c r="C52" s="21"/>
      <c r="D52" s="21"/>
      <c r="E52" s="21"/>
      <c r="F52" s="22"/>
      <c r="G52" s="20"/>
      <c r="H52" s="23"/>
      <c r="I52" s="24"/>
      <c r="J52" s="14" t="str">
        <f aca="false">IF(C52="","",-E52*H52*IF(OR(B52="Sell call",B52="Buy to close",B52="Expired",B52="Assigned"),100,1)-I52)</f>
        <v/>
      </c>
      <c r="K52" s="21"/>
      <c r="L52" s="21"/>
      <c r="M52" s="21"/>
      <c r="N52" s="8" t="str">
        <f aca="false">IF(A52="","",IF(COUNTIFS(Reconcile!$I:$I,A52,Reconcile!$H:$H,"&gt;="&amp;(J52-0.01),Reconcile!$H:$H,"&lt;="&amp;(J52+0.01))&gt;0,"Yes","Not yet"))</f>
        <v/>
      </c>
      <c r="O52" s="21"/>
    </row>
    <row r="53" customFormat="false" ht="15" hidden="false" customHeight="false" outlineLevel="0" collapsed="false">
      <c r="A53" s="20"/>
      <c r="B53" s="21"/>
      <c r="C53" s="21"/>
      <c r="D53" s="21"/>
      <c r="E53" s="21"/>
      <c r="F53" s="22"/>
      <c r="G53" s="20"/>
      <c r="H53" s="23"/>
      <c r="I53" s="24"/>
      <c r="J53" s="14" t="str">
        <f aca="false">IF(C53="","",-E53*H53*IF(OR(B53="Sell call",B53="Buy to close",B53="Expired",B53="Assigned"),100,1)-I53)</f>
        <v/>
      </c>
      <c r="K53" s="21"/>
      <c r="L53" s="21"/>
      <c r="M53" s="21"/>
      <c r="N53" s="8" t="str">
        <f aca="false">IF(A53="","",IF(COUNTIFS(Reconcile!$I:$I,A53,Reconcile!$H:$H,"&gt;="&amp;(J53-0.01),Reconcile!$H:$H,"&lt;="&amp;(J53+0.01))&gt;0,"Yes","Not yet"))</f>
        <v/>
      </c>
      <c r="O53" s="21"/>
    </row>
    <row r="54" customFormat="false" ht="15" hidden="false" customHeight="false" outlineLevel="0" collapsed="false">
      <c r="A54" s="20"/>
      <c r="B54" s="21"/>
      <c r="C54" s="21"/>
      <c r="D54" s="21"/>
      <c r="E54" s="21"/>
      <c r="F54" s="22"/>
      <c r="G54" s="20"/>
      <c r="H54" s="23"/>
      <c r="I54" s="24"/>
      <c r="J54" s="14" t="str">
        <f aca="false">IF(C54="","",-E54*H54*IF(OR(B54="Sell call",B54="Buy to close",B54="Expired",B54="Assigned"),100,1)-I54)</f>
        <v/>
      </c>
      <c r="K54" s="21"/>
      <c r="L54" s="21"/>
      <c r="M54" s="21"/>
      <c r="N54" s="8" t="str">
        <f aca="false">IF(A54="","",IF(COUNTIFS(Reconcile!$I:$I,A54,Reconcile!$H:$H,"&gt;="&amp;(J54-0.01),Reconcile!$H:$H,"&lt;="&amp;(J54+0.01))&gt;0,"Yes","Not yet"))</f>
        <v/>
      </c>
      <c r="O54" s="21"/>
    </row>
    <row r="55" customFormat="false" ht="15" hidden="false" customHeight="false" outlineLevel="0" collapsed="false">
      <c r="A55" s="20"/>
      <c r="B55" s="21"/>
      <c r="C55" s="21"/>
      <c r="D55" s="21"/>
      <c r="E55" s="21"/>
      <c r="F55" s="22"/>
      <c r="G55" s="20"/>
      <c r="H55" s="23"/>
      <c r="I55" s="24"/>
      <c r="J55" s="14" t="str">
        <f aca="false">IF(C55="","",-E55*H55*IF(OR(B55="Sell call",B55="Buy to close",B55="Expired",B55="Assigned"),100,1)-I55)</f>
        <v/>
      </c>
      <c r="K55" s="21"/>
      <c r="L55" s="21"/>
      <c r="M55" s="21"/>
      <c r="N55" s="8" t="str">
        <f aca="false">IF(A55="","",IF(COUNTIFS(Reconcile!$I:$I,A55,Reconcile!$H:$H,"&gt;="&amp;(J55-0.01),Reconcile!$H:$H,"&lt;="&amp;(J55+0.01))&gt;0,"Yes","Not yet"))</f>
        <v/>
      </c>
      <c r="O55" s="21"/>
    </row>
    <row r="56" customFormat="false" ht="15" hidden="false" customHeight="false" outlineLevel="0" collapsed="false">
      <c r="A56" s="20"/>
      <c r="B56" s="21"/>
      <c r="C56" s="21"/>
      <c r="D56" s="21"/>
      <c r="E56" s="21"/>
      <c r="F56" s="22"/>
      <c r="G56" s="20"/>
      <c r="H56" s="23"/>
      <c r="I56" s="24"/>
      <c r="J56" s="14" t="str">
        <f aca="false">IF(C56="","",-E56*H56*IF(OR(B56="Sell call",B56="Buy to close",B56="Expired",B56="Assigned"),100,1)-I56)</f>
        <v/>
      </c>
      <c r="K56" s="21"/>
      <c r="L56" s="21"/>
      <c r="M56" s="21"/>
      <c r="N56" s="8" t="str">
        <f aca="false">IF(A56="","",IF(COUNTIFS(Reconcile!$I:$I,A56,Reconcile!$H:$H,"&gt;="&amp;(J56-0.01),Reconcile!$H:$H,"&lt;="&amp;(J56+0.01))&gt;0,"Yes","Not yet"))</f>
        <v/>
      </c>
      <c r="O56" s="21"/>
    </row>
    <row r="57" customFormat="false" ht="15" hidden="false" customHeight="false" outlineLevel="0" collapsed="false">
      <c r="A57" s="20"/>
      <c r="B57" s="21"/>
      <c r="C57" s="21"/>
      <c r="D57" s="21"/>
      <c r="E57" s="21"/>
      <c r="F57" s="22"/>
      <c r="G57" s="20"/>
      <c r="H57" s="23"/>
      <c r="I57" s="24"/>
      <c r="J57" s="14" t="str">
        <f aca="false">IF(C57="","",-E57*H57*IF(OR(B57="Sell call",B57="Buy to close",B57="Expired",B57="Assigned"),100,1)-I57)</f>
        <v/>
      </c>
      <c r="K57" s="21"/>
      <c r="L57" s="21"/>
      <c r="M57" s="21"/>
      <c r="N57" s="8" t="str">
        <f aca="false">IF(A57="","",IF(COUNTIFS(Reconcile!$I:$I,A57,Reconcile!$H:$H,"&gt;="&amp;(J57-0.01),Reconcile!$H:$H,"&lt;="&amp;(J57+0.01))&gt;0,"Yes","Not yet"))</f>
        <v/>
      </c>
      <c r="O57" s="21"/>
    </row>
    <row r="58" customFormat="false" ht="15" hidden="false" customHeight="false" outlineLevel="0" collapsed="false">
      <c r="A58" s="20"/>
      <c r="B58" s="21"/>
      <c r="C58" s="21"/>
      <c r="D58" s="21"/>
      <c r="E58" s="21"/>
      <c r="F58" s="22"/>
      <c r="G58" s="20"/>
      <c r="H58" s="23"/>
      <c r="I58" s="24"/>
      <c r="J58" s="14" t="str">
        <f aca="false">IF(C58="","",-E58*H58*IF(OR(B58="Sell call",B58="Buy to close",B58="Expired",B58="Assigned"),100,1)-I58)</f>
        <v/>
      </c>
      <c r="K58" s="21"/>
      <c r="L58" s="21"/>
      <c r="M58" s="21"/>
      <c r="N58" s="8" t="str">
        <f aca="false">IF(A58="","",IF(COUNTIFS(Reconcile!$I:$I,A58,Reconcile!$H:$H,"&gt;="&amp;(J58-0.01),Reconcile!$H:$H,"&lt;="&amp;(J58+0.01))&gt;0,"Yes","Not yet"))</f>
        <v/>
      </c>
      <c r="O58" s="21"/>
    </row>
    <row r="59" customFormat="false" ht="15" hidden="false" customHeight="false" outlineLevel="0" collapsed="false">
      <c r="A59" s="20"/>
      <c r="B59" s="21"/>
      <c r="C59" s="21"/>
      <c r="D59" s="21"/>
      <c r="E59" s="21"/>
      <c r="F59" s="22"/>
      <c r="G59" s="20"/>
      <c r="H59" s="23"/>
      <c r="I59" s="24"/>
      <c r="J59" s="14" t="str">
        <f aca="false">IF(C59="","",-E59*H59*IF(OR(B59="Sell call",B59="Buy to close",B59="Expired",B59="Assigned"),100,1)-I59)</f>
        <v/>
      </c>
      <c r="K59" s="21"/>
      <c r="L59" s="21"/>
      <c r="M59" s="21"/>
      <c r="N59" s="8" t="str">
        <f aca="false">IF(A59="","",IF(COUNTIFS(Reconcile!$I:$I,A59,Reconcile!$H:$H,"&gt;="&amp;(J59-0.01),Reconcile!$H:$H,"&lt;="&amp;(J59+0.01))&gt;0,"Yes","Not yet"))</f>
        <v/>
      </c>
      <c r="O59" s="21"/>
    </row>
    <row r="60" customFormat="false" ht="15" hidden="false" customHeight="false" outlineLevel="0" collapsed="false">
      <c r="A60" s="20"/>
      <c r="B60" s="21"/>
      <c r="C60" s="21"/>
      <c r="D60" s="21"/>
      <c r="E60" s="21"/>
      <c r="F60" s="22"/>
      <c r="G60" s="20"/>
      <c r="H60" s="23"/>
      <c r="I60" s="24"/>
      <c r="J60" s="14" t="str">
        <f aca="false">IF(C60="","",-E60*H60*IF(OR(B60="Sell call",B60="Buy to close",B60="Expired",B60="Assigned"),100,1)-I60)</f>
        <v/>
      </c>
      <c r="K60" s="21"/>
      <c r="L60" s="21"/>
      <c r="M60" s="21"/>
      <c r="N60" s="8" t="str">
        <f aca="false">IF(A60="","",IF(COUNTIFS(Reconcile!$I:$I,A60,Reconcile!$H:$H,"&gt;="&amp;(J60-0.01),Reconcile!$H:$H,"&lt;="&amp;(J60+0.01))&gt;0,"Yes","Not yet"))</f>
        <v/>
      </c>
      <c r="O60" s="21"/>
    </row>
    <row r="61" customFormat="false" ht="15" hidden="false" customHeight="false" outlineLevel="0" collapsed="false">
      <c r="A61" s="20"/>
      <c r="B61" s="21"/>
      <c r="C61" s="21"/>
      <c r="D61" s="21"/>
      <c r="E61" s="21"/>
      <c r="F61" s="22"/>
      <c r="G61" s="20"/>
      <c r="H61" s="23"/>
      <c r="I61" s="24"/>
      <c r="J61" s="14" t="str">
        <f aca="false">IF(C61="","",-E61*H61*IF(OR(B61="Sell call",B61="Buy to close",B61="Expired",B61="Assigned"),100,1)-I61)</f>
        <v/>
      </c>
      <c r="K61" s="21"/>
      <c r="L61" s="21"/>
      <c r="M61" s="21"/>
      <c r="N61" s="8" t="str">
        <f aca="false">IF(A61="","",IF(COUNTIFS(Reconcile!$I:$I,A61,Reconcile!$H:$H,"&gt;="&amp;(J61-0.01),Reconcile!$H:$H,"&lt;="&amp;(J61+0.01))&gt;0,"Yes","Not yet"))</f>
        <v/>
      </c>
      <c r="O61" s="21"/>
    </row>
    <row r="62" customFormat="false" ht="15" hidden="false" customHeight="false" outlineLevel="0" collapsed="false">
      <c r="A62" s="20"/>
      <c r="B62" s="21"/>
      <c r="C62" s="21"/>
      <c r="D62" s="21"/>
      <c r="E62" s="21"/>
      <c r="F62" s="22"/>
      <c r="G62" s="20"/>
      <c r="H62" s="23"/>
      <c r="I62" s="24"/>
      <c r="J62" s="14" t="str">
        <f aca="false">IF(C62="","",-E62*H62*IF(OR(B62="Sell call",B62="Buy to close",B62="Expired",B62="Assigned"),100,1)-I62)</f>
        <v/>
      </c>
      <c r="K62" s="21"/>
      <c r="L62" s="21"/>
      <c r="M62" s="21"/>
      <c r="N62" s="8" t="str">
        <f aca="false">IF(A62="","",IF(COUNTIFS(Reconcile!$I:$I,A62,Reconcile!$H:$H,"&gt;="&amp;(J62-0.01),Reconcile!$H:$H,"&lt;="&amp;(J62+0.01))&gt;0,"Yes","Not yet"))</f>
        <v/>
      </c>
      <c r="O62" s="21"/>
    </row>
    <row r="63" customFormat="false" ht="15" hidden="false" customHeight="false" outlineLevel="0" collapsed="false">
      <c r="A63" s="20"/>
      <c r="B63" s="21"/>
      <c r="C63" s="21"/>
      <c r="D63" s="21"/>
      <c r="E63" s="21"/>
      <c r="F63" s="22"/>
      <c r="G63" s="20"/>
      <c r="H63" s="23"/>
      <c r="I63" s="24"/>
      <c r="J63" s="14" t="str">
        <f aca="false">IF(C63="","",-E63*H63*IF(OR(B63="Sell call",B63="Buy to close",B63="Expired",B63="Assigned"),100,1)-I63)</f>
        <v/>
      </c>
      <c r="K63" s="21"/>
      <c r="L63" s="21"/>
      <c r="M63" s="21"/>
      <c r="N63" s="8" t="str">
        <f aca="false">IF(A63="","",IF(COUNTIFS(Reconcile!$I:$I,A63,Reconcile!$H:$H,"&gt;="&amp;(J63-0.01),Reconcile!$H:$H,"&lt;="&amp;(J63+0.01))&gt;0,"Yes","Not yet"))</f>
        <v/>
      </c>
      <c r="O63" s="21"/>
    </row>
    <row r="64" customFormat="false" ht="15" hidden="false" customHeight="false" outlineLevel="0" collapsed="false">
      <c r="A64" s="20"/>
      <c r="B64" s="21"/>
      <c r="C64" s="21"/>
      <c r="D64" s="21"/>
      <c r="E64" s="21"/>
      <c r="F64" s="22"/>
      <c r="G64" s="20"/>
      <c r="H64" s="23"/>
      <c r="I64" s="24"/>
      <c r="J64" s="14" t="str">
        <f aca="false">IF(C64="","",-E64*H64*IF(OR(B64="Sell call",B64="Buy to close",B64="Expired",B64="Assigned"),100,1)-I64)</f>
        <v/>
      </c>
      <c r="K64" s="21"/>
      <c r="L64" s="21"/>
      <c r="M64" s="21"/>
      <c r="N64" s="8" t="str">
        <f aca="false">IF(A64="","",IF(COUNTIFS(Reconcile!$I:$I,A64,Reconcile!$H:$H,"&gt;="&amp;(J64-0.01),Reconcile!$H:$H,"&lt;="&amp;(J64+0.01))&gt;0,"Yes","Not yet"))</f>
        <v/>
      </c>
      <c r="O64" s="21"/>
    </row>
    <row r="65" customFormat="false" ht="15" hidden="false" customHeight="false" outlineLevel="0" collapsed="false">
      <c r="A65" s="20"/>
      <c r="B65" s="21"/>
      <c r="C65" s="21"/>
      <c r="D65" s="21"/>
      <c r="E65" s="21"/>
      <c r="F65" s="22"/>
      <c r="G65" s="20"/>
      <c r="H65" s="23"/>
      <c r="I65" s="24"/>
      <c r="J65" s="14" t="str">
        <f aca="false">IF(C65="","",-E65*H65*IF(OR(B65="Sell call",B65="Buy to close",B65="Expired",B65="Assigned"),100,1)-I65)</f>
        <v/>
      </c>
      <c r="K65" s="21"/>
      <c r="L65" s="21"/>
      <c r="M65" s="21"/>
      <c r="N65" s="8" t="str">
        <f aca="false">IF(A65="","",IF(COUNTIFS(Reconcile!$I:$I,A65,Reconcile!$H:$H,"&gt;="&amp;(J65-0.01),Reconcile!$H:$H,"&lt;="&amp;(J65+0.01))&gt;0,"Yes","Not yet"))</f>
        <v/>
      </c>
      <c r="O65" s="21"/>
    </row>
    <row r="66" customFormat="false" ht="15" hidden="false" customHeight="false" outlineLevel="0" collapsed="false">
      <c r="A66" s="20"/>
      <c r="B66" s="21"/>
      <c r="C66" s="21"/>
      <c r="D66" s="21"/>
      <c r="E66" s="21"/>
      <c r="F66" s="22"/>
      <c r="G66" s="20"/>
      <c r="H66" s="23"/>
      <c r="I66" s="24"/>
      <c r="J66" s="14" t="str">
        <f aca="false">IF(C66="","",-E66*H66*IF(OR(B66="Sell call",B66="Buy to close",B66="Expired",B66="Assigned"),100,1)-I66)</f>
        <v/>
      </c>
      <c r="K66" s="21"/>
      <c r="L66" s="21"/>
      <c r="M66" s="21"/>
      <c r="N66" s="8" t="str">
        <f aca="false">IF(A66="","",IF(COUNTIFS(Reconcile!$I:$I,A66,Reconcile!$H:$H,"&gt;="&amp;(J66-0.01),Reconcile!$H:$H,"&lt;="&amp;(J66+0.01))&gt;0,"Yes","Not yet"))</f>
        <v/>
      </c>
      <c r="O66" s="21"/>
    </row>
    <row r="67" customFormat="false" ht="15" hidden="false" customHeight="false" outlineLevel="0" collapsed="false">
      <c r="A67" s="20"/>
      <c r="B67" s="21"/>
      <c r="C67" s="21"/>
      <c r="D67" s="21"/>
      <c r="E67" s="21"/>
      <c r="F67" s="22"/>
      <c r="G67" s="20"/>
      <c r="H67" s="23"/>
      <c r="I67" s="24"/>
      <c r="J67" s="14" t="str">
        <f aca="false">IF(C67="","",-E67*H67*IF(OR(B67="Sell call",B67="Buy to close",B67="Expired",B67="Assigned"),100,1)-I67)</f>
        <v/>
      </c>
      <c r="K67" s="21"/>
      <c r="L67" s="21"/>
      <c r="M67" s="21"/>
      <c r="N67" s="8" t="str">
        <f aca="false">IF(A67="","",IF(COUNTIFS(Reconcile!$I:$I,A67,Reconcile!$H:$H,"&gt;="&amp;(J67-0.01),Reconcile!$H:$H,"&lt;="&amp;(J67+0.01))&gt;0,"Yes","Not yet"))</f>
        <v/>
      </c>
      <c r="O67" s="21"/>
    </row>
    <row r="68" customFormat="false" ht="15" hidden="false" customHeight="false" outlineLevel="0" collapsed="false">
      <c r="A68" s="20"/>
      <c r="B68" s="21"/>
      <c r="C68" s="21"/>
      <c r="D68" s="21"/>
      <c r="E68" s="21"/>
      <c r="F68" s="22"/>
      <c r="G68" s="20"/>
      <c r="H68" s="23"/>
      <c r="I68" s="24"/>
      <c r="J68" s="14" t="str">
        <f aca="false">IF(C68="","",-E68*H68*IF(OR(B68="Sell call",B68="Buy to close",B68="Expired",B68="Assigned"),100,1)-I68)</f>
        <v/>
      </c>
      <c r="K68" s="21"/>
      <c r="L68" s="21"/>
      <c r="M68" s="21"/>
      <c r="N68" s="8" t="str">
        <f aca="false">IF(A68="","",IF(COUNTIFS(Reconcile!$I:$I,A68,Reconcile!$H:$H,"&gt;="&amp;(J68-0.01),Reconcile!$H:$H,"&lt;="&amp;(J68+0.01))&gt;0,"Yes","Not yet"))</f>
        <v/>
      </c>
      <c r="O68" s="21"/>
    </row>
    <row r="69" customFormat="false" ht="15" hidden="false" customHeight="false" outlineLevel="0" collapsed="false">
      <c r="A69" s="20"/>
      <c r="B69" s="21"/>
      <c r="C69" s="21"/>
      <c r="D69" s="21"/>
      <c r="E69" s="21"/>
      <c r="F69" s="22"/>
      <c r="G69" s="20"/>
      <c r="H69" s="23"/>
      <c r="I69" s="24"/>
      <c r="J69" s="14" t="str">
        <f aca="false">IF(C69="","",-E69*H69*IF(OR(B69="Sell call",B69="Buy to close",B69="Expired",B69="Assigned"),100,1)-I69)</f>
        <v/>
      </c>
      <c r="K69" s="21"/>
      <c r="L69" s="21"/>
      <c r="M69" s="21"/>
      <c r="N69" s="8" t="str">
        <f aca="false">IF(A69="","",IF(COUNTIFS(Reconcile!$I:$I,A69,Reconcile!$H:$H,"&gt;="&amp;(J69-0.01),Reconcile!$H:$H,"&lt;="&amp;(J69+0.01))&gt;0,"Yes","Not yet"))</f>
        <v/>
      </c>
      <c r="O69" s="21"/>
    </row>
    <row r="70" customFormat="false" ht="15" hidden="false" customHeight="false" outlineLevel="0" collapsed="false">
      <c r="A70" s="20"/>
      <c r="B70" s="21"/>
      <c r="C70" s="21"/>
      <c r="D70" s="21"/>
      <c r="E70" s="21"/>
      <c r="F70" s="22"/>
      <c r="G70" s="20"/>
      <c r="H70" s="23"/>
      <c r="I70" s="24"/>
      <c r="J70" s="14" t="str">
        <f aca="false">IF(C70="","",-E70*H70*IF(OR(B70="Sell call",B70="Buy to close",B70="Expired",B70="Assigned"),100,1)-I70)</f>
        <v/>
      </c>
      <c r="K70" s="21"/>
      <c r="L70" s="21"/>
      <c r="M70" s="21"/>
      <c r="N70" s="8" t="str">
        <f aca="false">IF(A70="","",IF(COUNTIFS(Reconcile!$I:$I,A70,Reconcile!$H:$H,"&gt;="&amp;(J70-0.01),Reconcile!$H:$H,"&lt;="&amp;(J70+0.01))&gt;0,"Yes","Not yet"))</f>
        <v/>
      </c>
      <c r="O70" s="21"/>
    </row>
    <row r="71" customFormat="false" ht="15" hidden="false" customHeight="false" outlineLevel="0" collapsed="false">
      <c r="A71" s="20"/>
      <c r="B71" s="21"/>
      <c r="C71" s="21"/>
      <c r="D71" s="21"/>
      <c r="E71" s="21"/>
      <c r="F71" s="22"/>
      <c r="G71" s="20"/>
      <c r="H71" s="23"/>
      <c r="I71" s="24"/>
      <c r="J71" s="14" t="str">
        <f aca="false">IF(C71="","",-E71*H71*IF(OR(B71="Sell call",B71="Buy to close",B71="Expired",B71="Assigned"),100,1)-I71)</f>
        <v/>
      </c>
      <c r="K71" s="21"/>
      <c r="L71" s="21"/>
      <c r="M71" s="21"/>
      <c r="N71" s="8" t="str">
        <f aca="false">IF(A71="","",IF(COUNTIFS(Reconcile!$I:$I,A71,Reconcile!$H:$H,"&gt;="&amp;(J71-0.01),Reconcile!$H:$H,"&lt;="&amp;(J71+0.01))&gt;0,"Yes","Not yet"))</f>
        <v/>
      </c>
      <c r="O71" s="21"/>
    </row>
    <row r="72" customFormat="false" ht="15" hidden="false" customHeight="false" outlineLevel="0" collapsed="false">
      <c r="A72" s="20"/>
      <c r="B72" s="21"/>
      <c r="C72" s="21"/>
      <c r="D72" s="21"/>
      <c r="E72" s="21"/>
      <c r="F72" s="22"/>
      <c r="G72" s="20"/>
      <c r="H72" s="23"/>
      <c r="I72" s="24"/>
      <c r="J72" s="14" t="str">
        <f aca="false">IF(C72="","",-E72*H72*IF(OR(B72="Sell call",B72="Buy to close",B72="Expired",B72="Assigned"),100,1)-I72)</f>
        <v/>
      </c>
      <c r="K72" s="21"/>
      <c r="L72" s="21"/>
      <c r="M72" s="21"/>
      <c r="N72" s="8" t="str">
        <f aca="false">IF(A72="","",IF(COUNTIFS(Reconcile!$I:$I,A72,Reconcile!$H:$H,"&gt;="&amp;(J72-0.01),Reconcile!$H:$H,"&lt;="&amp;(J72+0.01))&gt;0,"Yes","Not yet"))</f>
        <v/>
      </c>
      <c r="O72" s="21"/>
    </row>
    <row r="73" customFormat="false" ht="15" hidden="false" customHeight="false" outlineLevel="0" collapsed="false">
      <c r="A73" s="20"/>
      <c r="B73" s="21"/>
      <c r="C73" s="21"/>
      <c r="D73" s="21"/>
      <c r="E73" s="21"/>
      <c r="F73" s="22"/>
      <c r="G73" s="20"/>
      <c r="H73" s="23"/>
      <c r="I73" s="24"/>
      <c r="J73" s="14" t="str">
        <f aca="false">IF(C73="","",-E73*H73*IF(OR(B73="Sell call",B73="Buy to close",B73="Expired",B73="Assigned"),100,1)-I73)</f>
        <v/>
      </c>
      <c r="K73" s="21"/>
      <c r="L73" s="21"/>
      <c r="M73" s="21"/>
      <c r="N73" s="8" t="str">
        <f aca="false">IF(A73="","",IF(COUNTIFS(Reconcile!$I:$I,A73,Reconcile!$H:$H,"&gt;="&amp;(J73-0.01),Reconcile!$H:$H,"&lt;="&amp;(J73+0.01))&gt;0,"Yes","Not yet"))</f>
        <v/>
      </c>
      <c r="O73" s="21"/>
    </row>
    <row r="74" customFormat="false" ht="15" hidden="false" customHeight="false" outlineLevel="0" collapsed="false">
      <c r="A74" s="20"/>
      <c r="B74" s="21"/>
      <c r="C74" s="21"/>
      <c r="D74" s="21"/>
      <c r="E74" s="21"/>
      <c r="F74" s="22"/>
      <c r="G74" s="20"/>
      <c r="H74" s="23"/>
      <c r="I74" s="24"/>
      <c r="J74" s="14" t="str">
        <f aca="false">IF(C74="","",-E74*H74*IF(OR(B74="Sell call",B74="Buy to close",B74="Expired",B74="Assigned"),100,1)-I74)</f>
        <v/>
      </c>
      <c r="K74" s="21"/>
      <c r="L74" s="21"/>
      <c r="M74" s="21"/>
      <c r="N74" s="8" t="str">
        <f aca="false">IF(A74="","",IF(COUNTIFS(Reconcile!$I:$I,A74,Reconcile!$H:$H,"&gt;="&amp;(J74-0.01),Reconcile!$H:$H,"&lt;="&amp;(J74+0.01))&gt;0,"Yes","Not yet"))</f>
        <v/>
      </c>
      <c r="O74" s="21"/>
    </row>
    <row r="75" customFormat="false" ht="15" hidden="false" customHeight="false" outlineLevel="0" collapsed="false">
      <c r="A75" s="20"/>
      <c r="B75" s="21"/>
      <c r="C75" s="21"/>
      <c r="D75" s="21"/>
      <c r="E75" s="21"/>
      <c r="F75" s="22"/>
      <c r="G75" s="20"/>
      <c r="H75" s="23"/>
      <c r="I75" s="24"/>
      <c r="J75" s="14" t="str">
        <f aca="false">IF(C75="","",-E75*H75*IF(OR(B75="Sell call",B75="Buy to close",B75="Expired",B75="Assigned"),100,1)-I75)</f>
        <v/>
      </c>
      <c r="K75" s="21"/>
      <c r="L75" s="21"/>
      <c r="M75" s="21"/>
      <c r="N75" s="8" t="str">
        <f aca="false">IF(A75="","",IF(COUNTIFS(Reconcile!$I:$I,A75,Reconcile!$H:$H,"&gt;="&amp;(J75-0.01),Reconcile!$H:$H,"&lt;="&amp;(J75+0.01))&gt;0,"Yes","Not yet"))</f>
        <v/>
      </c>
      <c r="O75" s="21"/>
    </row>
    <row r="76" customFormat="false" ht="15" hidden="false" customHeight="false" outlineLevel="0" collapsed="false">
      <c r="A76" s="20"/>
      <c r="B76" s="21"/>
      <c r="C76" s="21"/>
      <c r="D76" s="21"/>
      <c r="E76" s="21"/>
      <c r="F76" s="22"/>
      <c r="G76" s="20"/>
      <c r="H76" s="23"/>
      <c r="I76" s="24"/>
      <c r="J76" s="14" t="str">
        <f aca="false">IF(C76="","",-E76*H76*IF(OR(B76="Sell call",B76="Buy to close",B76="Expired",B76="Assigned"),100,1)-I76)</f>
        <v/>
      </c>
      <c r="K76" s="21"/>
      <c r="L76" s="21"/>
      <c r="M76" s="21"/>
      <c r="N76" s="8" t="str">
        <f aca="false">IF(A76="","",IF(COUNTIFS(Reconcile!$I:$I,A76,Reconcile!$H:$H,"&gt;="&amp;(J76-0.01),Reconcile!$H:$H,"&lt;="&amp;(J76+0.01))&gt;0,"Yes","Not yet"))</f>
        <v/>
      </c>
      <c r="O76" s="21"/>
    </row>
    <row r="77" customFormat="false" ht="15" hidden="false" customHeight="false" outlineLevel="0" collapsed="false">
      <c r="A77" s="20"/>
      <c r="B77" s="21"/>
      <c r="C77" s="21"/>
      <c r="D77" s="21"/>
      <c r="E77" s="21"/>
      <c r="F77" s="22"/>
      <c r="G77" s="20"/>
      <c r="H77" s="23"/>
      <c r="I77" s="24"/>
      <c r="J77" s="14" t="str">
        <f aca="false">IF(C77="","",-E77*H77*IF(OR(B77="Sell call",B77="Buy to close",B77="Expired",B77="Assigned"),100,1)-I77)</f>
        <v/>
      </c>
      <c r="K77" s="21"/>
      <c r="L77" s="21"/>
      <c r="M77" s="21"/>
      <c r="N77" s="8" t="str">
        <f aca="false">IF(A77="","",IF(COUNTIFS(Reconcile!$I:$I,A77,Reconcile!$H:$H,"&gt;="&amp;(J77-0.01),Reconcile!$H:$H,"&lt;="&amp;(J77+0.01))&gt;0,"Yes","Not yet"))</f>
        <v/>
      </c>
      <c r="O77" s="21"/>
    </row>
    <row r="78" customFormat="false" ht="15" hidden="false" customHeight="false" outlineLevel="0" collapsed="false">
      <c r="A78" s="20"/>
      <c r="B78" s="21"/>
      <c r="C78" s="21"/>
      <c r="D78" s="21"/>
      <c r="E78" s="21"/>
      <c r="F78" s="22"/>
      <c r="G78" s="20"/>
      <c r="H78" s="23"/>
      <c r="I78" s="24"/>
      <c r="J78" s="14" t="str">
        <f aca="false">IF(C78="","",-E78*H78*IF(OR(B78="Sell call",B78="Buy to close",B78="Expired",B78="Assigned"),100,1)-I78)</f>
        <v/>
      </c>
      <c r="K78" s="21"/>
      <c r="L78" s="21"/>
      <c r="M78" s="21"/>
      <c r="N78" s="8" t="str">
        <f aca="false">IF(A78="","",IF(COUNTIFS(Reconcile!$I:$I,A78,Reconcile!$H:$H,"&gt;="&amp;(J78-0.01),Reconcile!$H:$H,"&lt;="&amp;(J78+0.01))&gt;0,"Yes","Not yet"))</f>
        <v/>
      </c>
      <c r="O78" s="21"/>
    </row>
    <row r="79" customFormat="false" ht="15" hidden="false" customHeight="false" outlineLevel="0" collapsed="false">
      <c r="A79" s="20"/>
      <c r="B79" s="21"/>
      <c r="C79" s="21"/>
      <c r="D79" s="21"/>
      <c r="E79" s="21"/>
      <c r="F79" s="22"/>
      <c r="G79" s="20"/>
      <c r="H79" s="23"/>
      <c r="I79" s="24"/>
      <c r="J79" s="14" t="str">
        <f aca="false">IF(C79="","",-E79*H79*IF(OR(B79="Sell call",B79="Buy to close",B79="Expired",B79="Assigned"),100,1)-I79)</f>
        <v/>
      </c>
      <c r="K79" s="21"/>
      <c r="L79" s="21"/>
      <c r="M79" s="21"/>
      <c r="N79" s="8" t="str">
        <f aca="false">IF(A79="","",IF(COUNTIFS(Reconcile!$I:$I,A79,Reconcile!$H:$H,"&gt;="&amp;(J79-0.01),Reconcile!$H:$H,"&lt;="&amp;(J79+0.01))&gt;0,"Yes","Not yet"))</f>
        <v/>
      </c>
      <c r="O79" s="21"/>
    </row>
    <row r="80" customFormat="false" ht="15" hidden="false" customHeight="false" outlineLevel="0" collapsed="false">
      <c r="A80" s="20"/>
      <c r="B80" s="21"/>
      <c r="C80" s="21"/>
      <c r="D80" s="21"/>
      <c r="E80" s="21"/>
      <c r="F80" s="22"/>
      <c r="G80" s="20"/>
      <c r="H80" s="23"/>
      <c r="I80" s="24"/>
      <c r="J80" s="14" t="str">
        <f aca="false">IF(C80="","",-E80*H80*IF(OR(B80="Sell call",B80="Buy to close",B80="Expired",B80="Assigned"),100,1)-I80)</f>
        <v/>
      </c>
      <c r="K80" s="21"/>
      <c r="L80" s="21"/>
      <c r="M80" s="21"/>
      <c r="N80" s="8" t="str">
        <f aca="false">IF(A80="","",IF(COUNTIFS(Reconcile!$I:$I,A80,Reconcile!$H:$H,"&gt;="&amp;(J80-0.01),Reconcile!$H:$H,"&lt;="&amp;(J80+0.01))&gt;0,"Yes","Not yet"))</f>
        <v/>
      </c>
      <c r="O80" s="21"/>
    </row>
    <row r="81" customFormat="false" ht="15" hidden="false" customHeight="false" outlineLevel="0" collapsed="false">
      <c r="A81" s="20"/>
      <c r="B81" s="21"/>
      <c r="C81" s="21"/>
      <c r="D81" s="21"/>
      <c r="E81" s="21"/>
      <c r="F81" s="22"/>
      <c r="G81" s="20"/>
      <c r="H81" s="23"/>
      <c r="I81" s="24"/>
      <c r="J81" s="14" t="str">
        <f aca="false">IF(C81="","",-E81*H81*IF(OR(B81="Sell call",B81="Buy to close",B81="Expired",B81="Assigned"),100,1)-I81)</f>
        <v/>
      </c>
      <c r="K81" s="21"/>
      <c r="L81" s="21"/>
      <c r="M81" s="21"/>
      <c r="N81" s="8" t="str">
        <f aca="false">IF(A81="","",IF(COUNTIFS(Reconcile!$I:$I,A81,Reconcile!$H:$H,"&gt;="&amp;(J81-0.01),Reconcile!$H:$H,"&lt;="&amp;(J81+0.01))&gt;0,"Yes","Not yet"))</f>
        <v/>
      </c>
      <c r="O81" s="21"/>
    </row>
    <row r="82" customFormat="false" ht="15" hidden="false" customHeight="false" outlineLevel="0" collapsed="false">
      <c r="A82" s="20"/>
      <c r="B82" s="21"/>
      <c r="C82" s="21"/>
      <c r="D82" s="21"/>
      <c r="E82" s="21"/>
      <c r="F82" s="22"/>
      <c r="G82" s="20"/>
      <c r="H82" s="23"/>
      <c r="I82" s="24"/>
      <c r="J82" s="14" t="str">
        <f aca="false">IF(C82="","",-E82*H82*IF(OR(B82="Sell call",B82="Buy to close",B82="Expired",B82="Assigned"),100,1)-I82)</f>
        <v/>
      </c>
      <c r="K82" s="21"/>
      <c r="L82" s="21"/>
      <c r="M82" s="21"/>
      <c r="N82" s="8" t="str">
        <f aca="false">IF(A82="","",IF(COUNTIFS(Reconcile!$I:$I,A82,Reconcile!$H:$H,"&gt;="&amp;(J82-0.01),Reconcile!$H:$H,"&lt;="&amp;(J82+0.01))&gt;0,"Yes","Not yet"))</f>
        <v/>
      </c>
      <c r="O82" s="21"/>
    </row>
    <row r="83" customFormat="false" ht="15" hidden="false" customHeight="false" outlineLevel="0" collapsed="false">
      <c r="A83" s="20"/>
      <c r="B83" s="21"/>
      <c r="C83" s="21"/>
      <c r="D83" s="21"/>
      <c r="E83" s="21"/>
      <c r="F83" s="22"/>
      <c r="G83" s="20"/>
      <c r="H83" s="23"/>
      <c r="I83" s="24"/>
      <c r="J83" s="14" t="str">
        <f aca="false">IF(C83="","",-E83*H83*IF(OR(B83="Sell call",B83="Buy to close",B83="Expired",B83="Assigned"),100,1)-I83)</f>
        <v/>
      </c>
      <c r="K83" s="21"/>
      <c r="L83" s="21"/>
      <c r="M83" s="21"/>
      <c r="N83" s="8" t="str">
        <f aca="false">IF(A83="","",IF(COUNTIFS(Reconcile!$I:$I,A83,Reconcile!$H:$H,"&gt;="&amp;(J83-0.01),Reconcile!$H:$H,"&lt;="&amp;(J83+0.01))&gt;0,"Yes","Not yet"))</f>
        <v/>
      </c>
      <c r="O83" s="21"/>
    </row>
    <row r="84" customFormat="false" ht="15" hidden="false" customHeight="false" outlineLevel="0" collapsed="false">
      <c r="A84" s="20"/>
      <c r="B84" s="21"/>
      <c r="C84" s="21"/>
      <c r="D84" s="21"/>
      <c r="E84" s="21"/>
      <c r="F84" s="22"/>
      <c r="G84" s="20"/>
      <c r="H84" s="23"/>
      <c r="I84" s="24"/>
      <c r="J84" s="14" t="str">
        <f aca="false">IF(C84="","",-E84*H84*IF(OR(B84="Sell call",B84="Buy to close",B84="Expired",B84="Assigned"),100,1)-I84)</f>
        <v/>
      </c>
      <c r="K84" s="21"/>
      <c r="L84" s="21"/>
      <c r="M84" s="21"/>
      <c r="N84" s="8" t="str">
        <f aca="false">IF(A84="","",IF(COUNTIFS(Reconcile!$I:$I,A84,Reconcile!$H:$H,"&gt;="&amp;(J84-0.01),Reconcile!$H:$H,"&lt;="&amp;(J84+0.01))&gt;0,"Yes","Not yet"))</f>
        <v/>
      </c>
      <c r="O84" s="21"/>
    </row>
    <row r="85" customFormat="false" ht="15" hidden="false" customHeight="false" outlineLevel="0" collapsed="false">
      <c r="A85" s="20"/>
      <c r="B85" s="21"/>
      <c r="C85" s="21"/>
      <c r="D85" s="21"/>
      <c r="E85" s="21"/>
      <c r="F85" s="22"/>
      <c r="G85" s="20"/>
      <c r="H85" s="23"/>
      <c r="I85" s="24"/>
      <c r="J85" s="14" t="str">
        <f aca="false">IF(C85="","",-E85*H85*IF(OR(B85="Sell call",B85="Buy to close",B85="Expired",B85="Assigned"),100,1)-I85)</f>
        <v/>
      </c>
      <c r="K85" s="21"/>
      <c r="L85" s="21"/>
      <c r="M85" s="21"/>
      <c r="N85" s="8" t="str">
        <f aca="false">IF(A85="","",IF(COUNTIFS(Reconcile!$I:$I,A85,Reconcile!$H:$H,"&gt;="&amp;(J85-0.01),Reconcile!$H:$H,"&lt;="&amp;(J85+0.01))&gt;0,"Yes","Not yet"))</f>
        <v/>
      </c>
      <c r="O85" s="21"/>
    </row>
    <row r="86" customFormat="false" ht="15" hidden="false" customHeight="false" outlineLevel="0" collapsed="false">
      <c r="A86" s="20"/>
      <c r="B86" s="21"/>
      <c r="C86" s="21"/>
      <c r="D86" s="21"/>
      <c r="E86" s="21"/>
      <c r="F86" s="22"/>
      <c r="G86" s="20"/>
      <c r="H86" s="23"/>
      <c r="I86" s="24"/>
      <c r="J86" s="14" t="str">
        <f aca="false">IF(C86="","",-E86*H86*IF(OR(B86="Sell call",B86="Buy to close",B86="Expired",B86="Assigned"),100,1)-I86)</f>
        <v/>
      </c>
      <c r="K86" s="21"/>
      <c r="L86" s="21"/>
      <c r="M86" s="21"/>
      <c r="N86" s="8" t="str">
        <f aca="false">IF(A86="","",IF(COUNTIFS(Reconcile!$I:$I,A86,Reconcile!$H:$H,"&gt;="&amp;(J86-0.01),Reconcile!$H:$H,"&lt;="&amp;(J86+0.01))&gt;0,"Yes","Not yet"))</f>
        <v/>
      </c>
      <c r="O86" s="21"/>
    </row>
    <row r="87" customFormat="false" ht="15" hidden="false" customHeight="false" outlineLevel="0" collapsed="false">
      <c r="A87" s="20"/>
      <c r="B87" s="21"/>
      <c r="C87" s="21"/>
      <c r="D87" s="21"/>
      <c r="E87" s="21"/>
      <c r="F87" s="22"/>
      <c r="G87" s="20"/>
      <c r="H87" s="23"/>
      <c r="I87" s="24"/>
      <c r="J87" s="14" t="str">
        <f aca="false">IF(C87="","",-E87*H87*IF(OR(B87="Sell call",B87="Buy to close",B87="Expired",B87="Assigned"),100,1)-I87)</f>
        <v/>
      </c>
      <c r="K87" s="21"/>
      <c r="L87" s="21"/>
      <c r="M87" s="21"/>
      <c r="N87" s="8" t="str">
        <f aca="false">IF(A87="","",IF(COUNTIFS(Reconcile!$I:$I,A87,Reconcile!$H:$H,"&gt;="&amp;(J87-0.01),Reconcile!$H:$H,"&lt;="&amp;(J87+0.01))&gt;0,"Yes","Not yet"))</f>
        <v/>
      </c>
      <c r="O87" s="21"/>
    </row>
    <row r="88" customFormat="false" ht="15" hidden="false" customHeight="false" outlineLevel="0" collapsed="false">
      <c r="A88" s="20"/>
      <c r="B88" s="21"/>
      <c r="C88" s="21"/>
      <c r="D88" s="21"/>
      <c r="E88" s="21"/>
      <c r="F88" s="22"/>
      <c r="G88" s="20"/>
      <c r="H88" s="23"/>
      <c r="I88" s="24"/>
      <c r="J88" s="14" t="str">
        <f aca="false">IF(C88="","",-E88*H88*IF(OR(B88="Sell call",B88="Buy to close",B88="Expired",B88="Assigned"),100,1)-I88)</f>
        <v/>
      </c>
      <c r="K88" s="21"/>
      <c r="L88" s="21"/>
      <c r="M88" s="21"/>
      <c r="N88" s="8" t="str">
        <f aca="false">IF(A88="","",IF(COUNTIFS(Reconcile!$I:$I,A88,Reconcile!$H:$H,"&gt;="&amp;(J88-0.01),Reconcile!$H:$H,"&lt;="&amp;(J88+0.01))&gt;0,"Yes","Not yet"))</f>
        <v/>
      </c>
      <c r="O88" s="21"/>
    </row>
    <row r="89" customFormat="false" ht="15" hidden="false" customHeight="false" outlineLevel="0" collapsed="false">
      <c r="A89" s="20"/>
      <c r="B89" s="21"/>
      <c r="C89" s="21"/>
      <c r="D89" s="21"/>
      <c r="E89" s="21"/>
      <c r="F89" s="22"/>
      <c r="G89" s="20"/>
      <c r="H89" s="23"/>
      <c r="I89" s="24"/>
      <c r="J89" s="14" t="str">
        <f aca="false">IF(C89="","",-E89*H89*IF(OR(B89="Sell call",B89="Buy to close",B89="Expired",B89="Assigned"),100,1)-I89)</f>
        <v/>
      </c>
      <c r="K89" s="21"/>
      <c r="L89" s="21"/>
      <c r="M89" s="21"/>
      <c r="N89" s="8" t="str">
        <f aca="false">IF(A89="","",IF(COUNTIFS(Reconcile!$I:$I,A89,Reconcile!$H:$H,"&gt;="&amp;(J89-0.01),Reconcile!$H:$H,"&lt;="&amp;(J89+0.01))&gt;0,"Yes","Not yet"))</f>
        <v/>
      </c>
      <c r="O89" s="21"/>
    </row>
    <row r="90" customFormat="false" ht="15" hidden="false" customHeight="false" outlineLevel="0" collapsed="false">
      <c r="A90" s="20"/>
      <c r="B90" s="21"/>
      <c r="C90" s="21"/>
      <c r="D90" s="21"/>
      <c r="E90" s="21"/>
      <c r="F90" s="22"/>
      <c r="G90" s="20"/>
      <c r="H90" s="23"/>
      <c r="I90" s="24"/>
      <c r="J90" s="14" t="str">
        <f aca="false">IF(C90="","",-E90*H90*IF(OR(B90="Sell call",B90="Buy to close",B90="Expired",B90="Assigned"),100,1)-I90)</f>
        <v/>
      </c>
      <c r="K90" s="21"/>
      <c r="L90" s="21"/>
      <c r="M90" s="21"/>
      <c r="N90" s="8" t="str">
        <f aca="false">IF(A90="","",IF(COUNTIFS(Reconcile!$I:$I,A90,Reconcile!$H:$H,"&gt;="&amp;(J90-0.01),Reconcile!$H:$H,"&lt;="&amp;(J90+0.01))&gt;0,"Yes","Not yet"))</f>
        <v/>
      </c>
      <c r="O90" s="21"/>
    </row>
    <row r="91" customFormat="false" ht="15" hidden="false" customHeight="false" outlineLevel="0" collapsed="false">
      <c r="A91" s="20"/>
      <c r="B91" s="21"/>
      <c r="C91" s="21"/>
      <c r="D91" s="21"/>
      <c r="E91" s="21"/>
      <c r="F91" s="22"/>
      <c r="G91" s="20"/>
      <c r="H91" s="23"/>
      <c r="I91" s="24"/>
      <c r="J91" s="14" t="str">
        <f aca="false">IF(C91="","",-E91*H91*IF(OR(B91="Sell call",B91="Buy to close",B91="Expired",B91="Assigned"),100,1)-I91)</f>
        <v/>
      </c>
      <c r="K91" s="21"/>
      <c r="L91" s="21"/>
      <c r="M91" s="21"/>
      <c r="N91" s="8" t="str">
        <f aca="false">IF(A91="","",IF(COUNTIFS(Reconcile!$I:$I,A91,Reconcile!$H:$H,"&gt;="&amp;(J91-0.01),Reconcile!$H:$H,"&lt;="&amp;(J91+0.01))&gt;0,"Yes","Not yet"))</f>
        <v/>
      </c>
      <c r="O91" s="21"/>
    </row>
    <row r="92" customFormat="false" ht="15" hidden="false" customHeight="false" outlineLevel="0" collapsed="false">
      <c r="A92" s="20"/>
      <c r="B92" s="21"/>
      <c r="C92" s="21"/>
      <c r="D92" s="21"/>
      <c r="E92" s="21"/>
      <c r="F92" s="22"/>
      <c r="G92" s="20"/>
      <c r="H92" s="23"/>
      <c r="I92" s="24"/>
      <c r="J92" s="14" t="str">
        <f aca="false">IF(C92="","",-E92*H92*IF(OR(B92="Sell call",B92="Buy to close",B92="Expired",B92="Assigned"),100,1)-I92)</f>
        <v/>
      </c>
      <c r="K92" s="21"/>
      <c r="L92" s="21"/>
      <c r="M92" s="21"/>
      <c r="N92" s="8" t="str">
        <f aca="false">IF(A92="","",IF(COUNTIFS(Reconcile!$I:$I,A92,Reconcile!$H:$H,"&gt;="&amp;(J92-0.01),Reconcile!$H:$H,"&lt;="&amp;(J92+0.01))&gt;0,"Yes","Not yet"))</f>
        <v/>
      </c>
      <c r="O92" s="21"/>
    </row>
    <row r="93" customFormat="false" ht="15" hidden="false" customHeight="false" outlineLevel="0" collapsed="false">
      <c r="A93" s="20"/>
      <c r="B93" s="21"/>
      <c r="C93" s="21"/>
      <c r="D93" s="21"/>
      <c r="E93" s="21"/>
      <c r="F93" s="22"/>
      <c r="G93" s="20"/>
      <c r="H93" s="23"/>
      <c r="I93" s="24"/>
      <c r="J93" s="14" t="str">
        <f aca="false">IF(C93="","",-E93*H93*IF(OR(B93="Sell call",B93="Buy to close",B93="Expired",B93="Assigned"),100,1)-I93)</f>
        <v/>
      </c>
      <c r="K93" s="21"/>
      <c r="L93" s="21"/>
      <c r="M93" s="21"/>
      <c r="N93" s="8" t="str">
        <f aca="false">IF(A93="","",IF(COUNTIFS(Reconcile!$I:$I,A93,Reconcile!$H:$H,"&gt;="&amp;(J93-0.01),Reconcile!$H:$H,"&lt;="&amp;(J93+0.01))&gt;0,"Yes","Not yet"))</f>
        <v/>
      </c>
      <c r="O93" s="21"/>
    </row>
    <row r="94" customFormat="false" ht="15" hidden="false" customHeight="false" outlineLevel="0" collapsed="false">
      <c r="A94" s="20"/>
      <c r="B94" s="21"/>
      <c r="C94" s="21"/>
      <c r="D94" s="21"/>
      <c r="E94" s="21"/>
      <c r="F94" s="22"/>
      <c r="G94" s="20"/>
      <c r="H94" s="23"/>
      <c r="I94" s="24"/>
      <c r="J94" s="14" t="str">
        <f aca="false">IF(C94="","",-E94*H94*IF(OR(B94="Sell call",B94="Buy to close",B94="Expired",B94="Assigned"),100,1)-I94)</f>
        <v/>
      </c>
      <c r="K94" s="21"/>
      <c r="L94" s="21"/>
      <c r="M94" s="21"/>
      <c r="N94" s="8" t="str">
        <f aca="false">IF(A94="","",IF(COUNTIFS(Reconcile!$I:$I,A94,Reconcile!$H:$H,"&gt;="&amp;(J94-0.01),Reconcile!$H:$H,"&lt;="&amp;(J94+0.01))&gt;0,"Yes","Not yet"))</f>
        <v/>
      </c>
      <c r="O94" s="21"/>
    </row>
    <row r="95" customFormat="false" ht="15" hidden="false" customHeight="false" outlineLevel="0" collapsed="false">
      <c r="A95" s="20"/>
      <c r="B95" s="21"/>
      <c r="C95" s="21"/>
      <c r="D95" s="21"/>
      <c r="E95" s="21"/>
      <c r="F95" s="22"/>
      <c r="G95" s="20"/>
      <c r="H95" s="23"/>
      <c r="I95" s="24"/>
      <c r="J95" s="14" t="str">
        <f aca="false">IF(C95="","",-E95*H95*IF(OR(B95="Sell call",B95="Buy to close",B95="Expired",B95="Assigned"),100,1)-I95)</f>
        <v/>
      </c>
      <c r="K95" s="21"/>
      <c r="L95" s="21"/>
      <c r="M95" s="21"/>
      <c r="N95" s="8" t="str">
        <f aca="false">IF(A95="","",IF(COUNTIFS(Reconcile!$I:$I,A95,Reconcile!$H:$H,"&gt;="&amp;(J95-0.01),Reconcile!$H:$H,"&lt;="&amp;(J95+0.01))&gt;0,"Yes","Not yet"))</f>
        <v/>
      </c>
      <c r="O95" s="21"/>
    </row>
    <row r="96" customFormat="false" ht="15" hidden="false" customHeight="false" outlineLevel="0" collapsed="false">
      <c r="A96" s="20"/>
      <c r="B96" s="21"/>
      <c r="C96" s="21"/>
      <c r="D96" s="21"/>
      <c r="E96" s="21"/>
      <c r="F96" s="22"/>
      <c r="G96" s="20"/>
      <c r="H96" s="23"/>
      <c r="I96" s="24"/>
      <c r="J96" s="14" t="str">
        <f aca="false">IF(C96="","",-E96*H96*IF(OR(B96="Sell call",B96="Buy to close",B96="Expired",B96="Assigned"),100,1)-I96)</f>
        <v/>
      </c>
      <c r="K96" s="21"/>
      <c r="L96" s="21"/>
      <c r="M96" s="21"/>
      <c r="N96" s="8" t="str">
        <f aca="false">IF(A96="","",IF(COUNTIFS(Reconcile!$I:$I,A96,Reconcile!$H:$H,"&gt;="&amp;(J96-0.01),Reconcile!$H:$H,"&lt;="&amp;(J96+0.01))&gt;0,"Yes","Not yet"))</f>
        <v/>
      </c>
      <c r="O96" s="21"/>
    </row>
    <row r="97" customFormat="false" ht="15" hidden="false" customHeight="false" outlineLevel="0" collapsed="false">
      <c r="A97" s="20"/>
      <c r="B97" s="21"/>
      <c r="C97" s="21"/>
      <c r="D97" s="21"/>
      <c r="E97" s="21"/>
      <c r="F97" s="22"/>
      <c r="G97" s="20"/>
      <c r="H97" s="23"/>
      <c r="I97" s="24"/>
      <c r="J97" s="14" t="str">
        <f aca="false">IF(C97="","",-E97*H97*IF(OR(B97="Sell call",B97="Buy to close",B97="Expired",B97="Assigned"),100,1)-I97)</f>
        <v/>
      </c>
      <c r="K97" s="21"/>
      <c r="L97" s="21"/>
      <c r="M97" s="21"/>
      <c r="N97" s="8" t="str">
        <f aca="false">IF(A97="","",IF(COUNTIFS(Reconcile!$I:$I,A97,Reconcile!$H:$H,"&gt;="&amp;(J97-0.01),Reconcile!$H:$H,"&lt;="&amp;(J97+0.01))&gt;0,"Yes","Not yet"))</f>
        <v/>
      </c>
      <c r="O97" s="21"/>
    </row>
    <row r="98" customFormat="false" ht="15" hidden="false" customHeight="false" outlineLevel="0" collapsed="false">
      <c r="A98" s="20"/>
      <c r="B98" s="21"/>
      <c r="C98" s="21"/>
      <c r="D98" s="21"/>
      <c r="E98" s="21"/>
      <c r="F98" s="22"/>
      <c r="G98" s="20"/>
      <c r="H98" s="23"/>
      <c r="I98" s="24"/>
      <c r="J98" s="14" t="str">
        <f aca="false">IF(C98="","",-E98*H98*IF(OR(B98="Sell call",B98="Buy to close",B98="Expired",B98="Assigned"),100,1)-I98)</f>
        <v/>
      </c>
      <c r="K98" s="21"/>
      <c r="L98" s="21"/>
      <c r="M98" s="21"/>
      <c r="N98" s="8" t="str">
        <f aca="false">IF(A98="","",IF(COUNTIFS(Reconcile!$I:$I,A98,Reconcile!$H:$H,"&gt;="&amp;(J98-0.01),Reconcile!$H:$H,"&lt;="&amp;(J98+0.01))&gt;0,"Yes","Not yet"))</f>
        <v/>
      </c>
      <c r="O98" s="21"/>
    </row>
    <row r="99" customFormat="false" ht="15" hidden="false" customHeight="false" outlineLevel="0" collapsed="false">
      <c r="A99" s="20"/>
      <c r="B99" s="21"/>
      <c r="C99" s="21"/>
      <c r="D99" s="21"/>
      <c r="E99" s="21"/>
      <c r="F99" s="22"/>
      <c r="G99" s="20"/>
      <c r="H99" s="23"/>
      <c r="I99" s="24"/>
      <c r="J99" s="14" t="str">
        <f aca="false">IF(C99="","",-E99*H99*IF(OR(B99="Sell call",B99="Buy to close",B99="Expired",B99="Assigned"),100,1)-I99)</f>
        <v/>
      </c>
      <c r="K99" s="21"/>
      <c r="L99" s="21"/>
      <c r="M99" s="21"/>
      <c r="N99" s="8" t="str">
        <f aca="false">IF(A99="","",IF(COUNTIFS(Reconcile!$I:$I,A99,Reconcile!$H:$H,"&gt;="&amp;(J99-0.01),Reconcile!$H:$H,"&lt;="&amp;(J99+0.01))&gt;0,"Yes","Not yet"))</f>
        <v/>
      </c>
      <c r="O99" s="21"/>
    </row>
    <row r="100" customFormat="false" ht="15" hidden="false" customHeight="false" outlineLevel="0" collapsed="false">
      <c r="A100" s="20"/>
      <c r="B100" s="21"/>
      <c r="C100" s="21"/>
      <c r="D100" s="21"/>
      <c r="E100" s="21"/>
      <c r="F100" s="22"/>
      <c r="G100" s="20"/>
      <c r="H100" s="23"/>
      <c r="I100" s="24"/>
      <c r="J100" s="14" t="str">
        <f aca="false">IF(C100="","",-E100*H100*IF(OR(B100="Sell call",B100="Buy to close",B100="Expired",B100="Assigned"),100,1)-I100)</f>
        <v/>
      </c>
      <c r="K100" s="21"/>
      <c r="L100" s="21"/>
      <c r="M100" s="21"/>
      <c r="N100" s="8" t="str">
        <f aca="false">IF(A100="","",IF(COUNTIFS(Reconcile!$I:$I,A100,Reconcile!$H:$H,"&gt;="&amp;(J100-0.01),Reconcile!$H:$H,"&lt;="&amp;(J100+0.01))&gt;0,"Yes","Not yet"))</f>
        <v/>
      </c>
      <c r="O100" s="21"/>
    </row>
    <row r="101" customFormat="false" ht="15" hidden="false" customHeight="false" outlineLevel="0" collapsed="false">
      <c r="A101" s="20"/>
      <c r="B101" s="21"/>
      <c r="C101" s="21"/>
      <c r="D101" s="21"/>
      <c r="E101" s="21"/>
      <c r="F101" s="22"/>
      <c r="G101" s="20"/>
      <c r="H101" s="23"/>
      <c r="I101" s="24"/>
      <c r="J101" s="14" t="str">
        <f aca="false">IF(C101="","",-E101*H101*IF(OR(B101="Sell call",B101="Buy to close",B101="Expired",B101="Assigned"),100,1)-I101)</f>
        <v/>
      </c>
      <c r="K101" s="21"/>
      <c r="L101" s="21"/>
      <c r="M101" s="21"/>
      <c r="N101" s="8" t="str">
        <f aca="false">IF(A101="","",IF(COUNTIFS(Reconcile!$I:$I,A101,Reconcile!$H:$H,"&gt;="&amp;(J101-0.01),Reconcile!$H:$H,"&lt;="&amp;(J101+0.01))&gt;0,"Yes","Not yet"))</f>
        <v/>
      </c>
      <c r="O101" s="21"/>
    </row>
    <row r="102" customFormat="false" ht="15" hidden="false" customHeight="false" outlineLevel="0" collapsed="false">
      <c r="A102" s="20"/>
      <c r="B102" s="21"/>
      <c r="C102" s="21"/>
      <c r="D102" s="21"/>
      <c r="E102" s="21"/>
      <c r="F102" s="22"/>
      <c r="G102" s="20"/>
      <c r="H102" s="23"/>
      <c r="I102" s="24"/>
      <c r="J102" s="14" t="str">
        <f aca="false">IF(C102="","",-E102*H102*IF(OR(B102="Sell call",B102="Buy to close",B102="Expired",B102="Assigned"),100,1)-I102)</f>
        <v/>
      </c>
      <c r="K102" s="21"/>
      <c r="L102" s="21"/>
      <c r="M102" s="21"/>
      <c r="N102" s="8" t="str">
        <f aca="false">IF(A102="","",IF(COUNTIFS(Reconcile!$I:$I,A102,Reconcile!$H:$H,"&gt;="&amp;(J102-0.01),Reconcile!$H:$H,"&lt;="&amp;(J102+0.01))&gt;0,"Yes","Not yet"))</f>
        <v/>
      </c>
      <c r="O102" s="21"/>
    </row>
    <row r="103" customFormat="false" ht="15" hidden="false" customHeight="false" outlineLevel="0" collapsed="false">
      <c r="A103" s="20"/>
      <c r="B103" s="21"/>
      <c r="C103" s="21"/>
      <c r="D103" s="21"/>
      <c r="E103" s="21"/>
      <c r="F103" s="22"/>
      <c r="G103" s="20"/>
      <c r="H103" s="23"/>
      <c r="I103" s="24"/>
      <c r="J103" s="14" t="str">
        <f aca="false">IF(C103="","",-E103*H103*IF(OR(B103="Sell call",B103="Buy to close",B103="Expired",B103="Assigned"),100,1)-I103)</f>
        <v/>
      </c>
      <c r="K103" s="21"/>
      <c r="L103" s="21"/>
      <c r="M103" s="21"/>
      <c r="N103" s="8" t="str">
        <f aca="false">IF(A103="","",IF(COUNTIFS(Reconcile!$I:$I,A103,Reconcile!$H:$H,"&gt;="&amp;(J103-0.01),Reconcile!$H:$H,"&lt;="&amp;(J103+0.01))&gt;0,"Yes","Not yet"))</f>
        <v/>
      </c>
      <c r="O103" s="21"/>
    </row>
    <row r="104" customFormat="false" ht="15" hidden="false" customHeight="false" outlineLevel="0" collapsed="false">
      <c r="A104" s="20"/>
      <c r="B104" s="21"/>
      <c r="C104" s="21"/>
      <c r="D104" s="21"/>
      <c r="E104" s="21"/>
      <c r="F104" s="22"/>
      <c r="G104" s="20"/>
      <c r="H104" s="23"/>
      <c r="I104" s="24"/>
      <c r="J104" s="14" t="str">
        <f aca="false">IF(C104="","",-E104*H104*IF(OR(B104="Sell call",B104="Buy to close",B104="Expired",B104="Assigned"),100,1)-I104)</f>
        <v/>
      </c>
      <c r="K104" s="21"/>
      <c r="L104" s="21"/>
      <c r="M104" s="21"/>
      <c r="N104" s="8" t="str">
        <f aca="false">IF(A104="","",IF(COUNTIFS(Reconcile!$I:$I,A104,Reconcile!$H:$H,"&gt;="&amp;(J104-0.01),Reconcile!$H:$H,"&lt;="&amp;(J104+0.01))&gt;0,"Yes","Not yet"))</f>
        <v/>
      </c>
      <c r="O104" s="21"/>
    </row>
    <row r="105" customFormat="false" ht="15" hidden="false" customHeight="false" outlineLevel="0" collapsed="false">
      <c r="A105" s="20"/>
      <c r="B105" s="21"/>
      <c r="C105" s="21"/>
      <c r="D105" s="21"/>
      <c r="E105" s="21"/>
      <c r="F105" s="22"/>
      <c r="G105" s="20"/>
      <c r="H105" s="23"/>
      <c r="I105" s="24"/>
      <c r="J105" s="14" t="str">
        <f aca="false">IF(C105="","",-E105*H105*IF(OR(B105="Sell call",B105="Buy to close",B105="Expired",B105="Assigned"),100,1)-I105)</f>
        <v/>
      </c>
      <c r="K105" s="21"/>
      <c r="L105" s="21"/>
      <c r="M105" s="21"/>
      <c r="N105" s="8" t="str">
        <f aca="false">IF(A105="","",IF(COUNTIFS(Reconcile!$I:$I,A105,Reconcile!$H:$H,"&gt;="&amp;(J105-0.01),Reconcile!$H:$H,"&lt;="&amp;(J105+0.01))&gt;0,"Yes","Not yet"))</f>
        <v/>
      </c>
      <c r="O105" s="21"/>
    </row>
    <row r="106" customFormat="false" ht="15" hidden="false" customHeight="false" outlineLevel="0" collapsed="false">
      <c r="A106" s="20"/>
      <c r="B106" s="21"/>
      <c r="C106" s="21"/>
      <c r="D106" s="21"/>
      <c r="E106" s="21"/>
      <c r="F106" s="22"/>
      <c r="G106" s="20"/>
      <c r="H106" s="23"/>
      <c r="I106" s="24"/>
      <c r="J106" s="14" t="str">
        <f aca="false">IF(C106="","",-E106*H106*IF(OR(B106="Sell call",B106="Buy to close",B106="Expired",B106="Assigned"),100,1)-I106)</f>
        <v/>
      </c>
      <c r="K106" s="21"/>
      <c r="L106" s="21"/>
      <c r="M106" s="21"/>
      <c r="N106" s="8" t="str">
        <f aca="false">IF(A106="","",IF(COUNTIFS(Reconcile!$I:$I,A106,Reconcile!$H:$H,"&gt;="&amp;(J106-0.01),Reconcile!$H:$H,"&lt;="&amp;(J106+0.01))&gt;0,"Yes","Not yet"))</f>
        <v/>
      </c>
      <c r="O106" s="21"/>
    </row>
    <row r="107" customFormat="false" ht="15" hidden="false" customHeight="false" outlineLevel="0" collapsed="false">
      <c r="A107" s="20"/>
      <c r="B107" s="21"/>
      <c r="C107" s="21"/>
      <c r="D107" s="21"/>
      <c r="E107" s="21"/>
      <c r="F107" s="22"/>
      <c r="G107" s="20"/>
      <c r="H107" s="23"/>
      <c r="I107" s="24"/>
      <c r="J107" s="14" t="str">
        <f aca="false">IF(C107="","",-E107*H107*IF(OR(B107="Sell call",B107="Buy to close",B107="Expired",B107="Assigned"),100,1)-I107)</f>
        <v/>
      </c>
      <c r="K107" s="21"/>
      <c r="L107" s="21"/>
      <c r="M107" s="21"/>
      <c r="N107" s="8" t="str">
        <f aca="false">IF(A107="","",IF(COUNTIFS(Reconcile!$I:$I,A107,Reconcile!$H:$H,"&gt;="&amp;(J107-0.01),Reconcile!$H:$H,"&lt;="&amp;(J107+0.01))&gt;0,"Yes","Not yet"))</f>
        <v/>
      </c>
      <c r="O107" s="21"/>
    </row>
    <row r="108" customFormat="false" ht="15" hidden="false" customHeight="false" outlineLevel="0" collapsed="false">
      <c r="A108" s="20"/>
      <c r="B108" s="21"/>
      <c r="C108" s="21"/>
      <c r="D108" s="21"/>
      <c r="E108" s="21"/>
      <c r="F108" s="22"/>
      <c r="G108" s="20"/>
      <c r="H108" s="23"/>
      <c r="I108" s="24"/>
      <c r="J108" s="14" t="str">
        <f aca="false">IF(C108="","",-E108*H108*IF(OR(B108="Sell call",B108="Buy to close",B108="Expired",B108="Assigned"),100,1)-I108)</f>
        <v/>
      </c>
      <c r="K108" s="21"/>
      <c r="L108" s="21"/>
      <c r="M108" s="21"/>
      <c r="N108" s="8" t="str">
        <f aca="false">IF(A108="","",IF(COUNTIFS(Reconcile!$I:$I,A108,Reconcile!$H:$H,"&gt;="&amp;(J108-0.01),Reconcile!$H:$H,"&lt;="&amp;(J108+0.01))&gt;0,"Yes","Not yet"))</f>
        <v/>
      </c>
      <c r="O108" s="21"/>
    </row>
    <row r="109" customFormat="false" ht="15" hidden="false" customHeight="false" outlineLevel="0" collapsed="false">
      <c r="A109" s="20"/>
      <c r="B109" s="21"/>
      <c r="C109" s="21"/>
      <c r="D109" s="21"/>
      <c r="E109" s="21"/>
      <c r="F109" s="22"/>
      <c r="G109" s="20"/>
      <c r="H109" s="23"/>
      <c r="I109" s="24"/>
      <c r="J109" s="14" t="str">
        <f aca="false">IF(C109="","",-E109*H109*IF(OR(B109="Sell call",B109="Buy to close",B109="Expired",B109="Assigned"),100,1)-I109)</f>
        <v/>
      </c>
      <c r="K109" s="21"/>
      <c r="L109" s="21"/>
      <c r="M109" s="21"/>
      <c r="N109" s="8" t="str">
        <f aca="false">IF(A109="","",IF(COUNTIFS(Reconcile!$I:$I,A109,Reconcile!$H:$H,"&gt;="&amp;(J109-0.01),Reconcile!$H:$H,"&lt;="&amp;(J109+0.01))&gt;0,"Yes","Not yet"))</f>
        <v/>
      </c>
      <c r="O109" s="21"/>
    </row>
    <row r="110" customFormat="false" ht="15" hidden="false" customHeight="false" outlineLevel="0" collapsed="false">
      <c r="A110" s="20"/>
      <c r="B110" s="21"/>
      <c r="C110" s="21"/>
      <c r="D110" s="21"/>
      <c r="E110" s="21"/>
      <c r="F110" s="22"/>
      <c r="G110" s="20"/>
      <c r="H110" s="23"/>
      <c r="I110" s="24"/>
      <c r="J110" s="14" t="str">
        <f aca="false">IF(C110="","",-E110*H110*IF(OR(B110="Sell call",B110="Buy to close",B110="Expired",B110="Assigned"),100,1)-I110)</f>
        <v/>
      </c>
      <c r="K110" s="21"/>
      <c r="L110" s="21"/>
      <c r="M110" s="21"/>
      <c r="N110" s="8" t="str">
        <f aca="false">IF(A110="","",IF(COUNTIFS(Reconcile!$I:$I,A110,Reconcile!$H:$H,"&gt;="&amp;(J110-0.01),Reconcile!$H:$H,"&lt;="&amp;(J110+0.01))&gt;0,"Yes","Not yet"))</f>
        <v/>
      </c>
      <c r="O110" s="21"/>
    </row>
    <row r="111" customFormat="false" ht="15" hidden="false" customHeight="false" outlineLevel="0" collapsed="false">
      <c r="A111" s="20"/>
      <c r="B111" s="21"/>
      <c r="C111" s="21"/>
      <c r="D111" s="21"/>
      <c r="E111" s="21"/>
      <c r="F111" s="22"/>
      <c r="G111" s="20"/>
      <c r="H111" s="23"/>
      <c r="I111" s="24"/>
      <c r="J111" s="14" t="str">
        <f aca="false">IF(C111="","",-E111*H111*IF(OR(B111="Sell call",B111="Buy to close",B111="Expired",B111="Assigned"),100,1)-I111)</f>
        <v/>
      </c>
      <c r="K111" s="21"/>
      <c r="L111" s="21"/>
      <c r="M111" s="21"/>
      <c r="N111" s="8" t="str">
        <f aca="false">IF(A111="","",IF(COUNTIFS(Reconcile!$I:$I,A111,Reconcile!$H:$H,"&gt;="&amp;(J111-0.01),Reconcile!$H:$H,"&lt;="&amp;(J111+0.01))&gt;0,"Yes","Not yet"))</f>
        <v/>
      </c>
      <c r="O111" s="21"/>
    </row>
    <row r="112" customFormat="false" ht="15" hidden="false" customHeight="false" outlineLevel="0" collapsed="false">
      <c r="A112" s="20"/>
      <c r="B112" s="21"/>
      <c r="C112" s="21"/>
      <c r="D112" s="21"/>
      <c r="E112" s="21"/>
      <c r="F112" s="22"/>
      <c r="G112" s="20"/>
      <c r="H112" s="23"/>
      <c r="I112" s="24"/>
      <c r="J112" s="14" t="str">
        <f aca="false">IF(C112="","",-E112*H112*IF(OR(B112="Sell call",B112="Buy to close",B112="Expired",B112="Assigned"),100,1)-I112)</f>
        <v/>
      </c>
      <c r="K112" s="21"/>
      <c r="L112" s="21"/>
      <c r="M112" s="21"/>
      <c r="N112" s="8" t="str">
        <f aca="false">IF(A112="","",IF(COUNTIFS(Reconcile!$I:$I,A112,Reconcile!$H:$H,"&gt;="&amp;(J112-0.01),Reconcile!$H:$H,"&lt;="&amp;(J112+0.01))&gt;0,"Yes","Not yet"))</f>
        <v/>
      </c>
      <c r="O112" s="21"/>
    </row>
    <row r="113" customFormat="false" ht="15" hidden="false" customHeight="false" outlineLevel="0" collapsed="false">
      <c r="A113" s="20"/>
      <c r="B113" s="21"/>
      <c r="C113" s="21"/>
      <c r="D113" s="21"/>
      <c r="E113" s="21"/>
      <c r="F113" s="22"/>
      <c r="G113" s="20"/>
      <c r="H113" s="23"/>
      <c r="I113" s="24"/>
      <c r="J113" s="14" t="str">
        <f aca="false">IF(C113="","",-E113*H113*IF(OR(B113="Sell call",B113="Buy to close",B113="Expired",B113="Assigned"),100,1)-I113)</f>
        <v/>
      </c>
      <c r="K113" s="21"/>
      <c r="L113" s="21"/>
      <c r="M113" s="21"/>
      <c r="N113" s="8" t="str">
        <f aca="false">IF(A113="","",IF(COUNTIFS(Reconcile!$I:$I,A113,Reconcile!$H:$H,"&gt;="&amp;(J113-0.01),Reconcile!$H:$H,"&lt;="&amp;(J113+0.01))&gt;0,"Yes","Not yet"))</f>
        <v/>
      </c>
      <c r="O113" s="21"/>
    </row>
    <row r="114" customFormat="false" ht="15" hidden="false" customHeight="false" outlineLevel="0" collapsed="false">
      <c r="A114" s="20"/>
      <c r="B114" s="21"/>
      <c r="C114" s="21"/>
      <c r="D114" s="21"/>
      <c r="E114" s="21"/>
      <c r="F114" s="22"/>
      <c r="G114" s="20"/>
      <c r="H114" s="23"/>
      <c r="I114" s="24"/>
      <c r="J114" s="14" t="str">
        <f aca="false">IF(C114="","",-E114*H114*IF(OR(B114="Sell call",B114="Buy to close",B114="Expired",B114="Assigned"),100,1)-I114)</f>
        <v/>
      </c>
      <c r="K114" s="21"/>
      <c r="L114" s="21"/>
      <c r="M114" s="21"/>
      <c r="N114" s="8" t="str">
        <f aca="false">IF(A114="","",IF(COUNTIFS(Reconcile!$I:$I,A114,Reconcile!$H:$H,"&gt;="&amp;(J114-0.01),Reconcile!$H:$H,"&lt;="&amp;(J114+0.01))&gt;0,"Yes","Not yet"))</f>
        <v/>
      </c>
      <c r="O114" s="21"/>
    </row>
    <row r="115" customFormat="false" ht="15" hidden="false" customHeight="false" outlineLevel="0" collapsed="false">
      <c r="A115" s="20"/>
      <c r="B115" s="21"/>
      <c r="C115" s="21"/>
      <c r="D115" s="21"/>
      <c r="E115" s="21"/>
      <c r="F115" s="22"/>
      <c r="G115" s="20"/>
      <c r="H115" s="23"/>
      <c r="I115" s="24"/>
      <c r="J115" s="14" t="str">
        <f aca="false">IF(C115="","",-E115*H115*IF(OR(B115="Sell call",B115="Buy to close",B115="Expired",B115="Assigned"),100,1)-I115)</f>
        <v/>
      </c>
      <c r="K115" s="21"/>
      <c r="L115" s="21"/>
      <c r="M115" s="21"/>
      <c r="N115" s="8" t="str">
        <f aca="false">IF(A115="","",IF(COUNTIFS(Reconcile!$I:$I,A115,Reconcile!$H:$H,"&gt;="&amp;(J115-0.01),Reconcile!$H:$H,"&lt;="&amp;(J115+0.01))&gt;0,"Yes","Not yet"))</f>
        <v/>
      </c>
      <c r="O115" s="21"/>
    </row>
    <row r="116" customFormat="false" ht="15" hidden="false" customHeight="false" outlineLevel="0" collapsed="false">
      <c r="A116" s="20"/>
      <c r="B116" s="21"/>
      <c r="C116" s="21"/>
      <c r="D116" s="21"/>
      <c r="E116" s="21"/>
      <c r="F116" s="22"/>
      <c r="G116" s="20"/>
      <c r="H116" s="23"/>
      <c r="I116" s="24"/>
      <c r="J116" s="14" t="str">
        <f aca="false">IF(C116="","",-E116*H116*IF(OR(B116="Sell call",B116="Buy to close",B116="Expired",B116="Assigned"),100,1)-I116)</f>
        <v/>
      </c>
      <c r="K116" s="21"/>
      <c r="L116" s="21"/>
      <c r="M116" s="21"/>
      <c r="N116" s="8" t="str">
        <f aca="false">IF(A116="","",IF(COUNTIFS(Reconcile!$I:$I,A116,Reconcile!$H:$H,"&gt;="&amp;(J116-0.01),Reconcile!$H:$H,"&lt;="&amp;(J116+0.01))&gt;0,"Yes","Not yet"))</f>
        <v/>
      </c>
      <c r="O116" s="21"/>
    </row>
    <row r="117" customFormat="false" ht="15" hidden="false" customHeight="false" outlineLevel="0" collapsed="false">
      <c r="A117" s="20"/>
      <c r="B117" s="21"/>
      <c r="C117" s="21"/>
      <c r="D117" s="21"/>
      <c r="E117" s="21"/>
      <c r="F117" s="22"/>
      <c r="G117" s="20"/>
      <c r="H117" s="23"/>
      <c r="I117" s="24"/>
      <c r="J117" s="14" t="str">
        <f aca="false">IF(C117="","",-E117*H117*IF(OR(B117="Sell call",B117="Buy to close",B117="Expired",B117="Assigned"),100,1)-I117)</f>
        <v/>
      </c>
      <c r="K117" s="21"/>
      <c r="L117" s="21"/>
      <c r="M117" s="21"/>
      <c r="N117" s="8" t="str">
        <f aca="false">IF(A117="","",IF(COUNTIFS(Reconcile!$I:$I,A117,Reconcile!$H:$H,"&gt;="&amp;(J117-0.01),Reconcile!$H:$H,"&lt;="&amp;(J117+0.01))&gt;0,"Yes","Not yet"))</f>
        <v/>
      </c>
      <c r="O117" s="21"/>
    </row>
    <row r="118" customFormat="false" ht="15" hidden="false" customHeight="false" outlineLevel="0" collapsed="false">
      <c r="A118" s="20"/>
      <c r="B118" s="21"/>
      <c r="C118" s="21"/>
      <c r="D118" s="21"/>
      <c r="E118" s="21"/>
      <c r="F118" s="22"/>
      <c r="G118" s="20"/>
      <c r="H118" s="23"/>
      <c r="I118" s="24"/>
      <c r="J118" s="14" t="str">
        <f aca="false">IF(C118="","",-E118*H118*IF(OR(B118="Sell call",B118="Buy to close",B118="Expired",B118="Assigned"),100,1)-I118)</f>
        <v/>
      </c>
      <c r="K118" s="21"/>
      <c r="L118" s="21"/>
      <c r="M118" s="21"/>
      <c r="N118" s="8" t="str">
        <f aca="false">IF(A118="","",IF(COUNTIFS(Reconcile!$I:$I,A118,Reconcile!$H:$H,"&gt;="&amp;(J118-0.01),Reconcile!$H:$H,"&lt;="&amp;(J118+0.01))&gt;0,"Yes","Not yet"))</f>
        <v/>
      </c>
      <c r="O118" s="21"/>
    </row>
    <row r="119" customFormat="false" ht="15" hidden="false" customHeight="false" outlineLevel="0" collapsed="false">
      <c r="A119" s="20"/>
      <c r="B119" s="21"/>
      <c r="C119" s="21"/>
      <c r="D119" s="21"/>
      <c r="E119" s="21"/>
      <c r="F119" s="22"/>
      <c r="G119" s="20"/>
      <c r="H119" s="23"/>
      <c r="I119" s="24"/>
      <c r="J119" s="14" t="str">
        <f aca="false">IF(C119="","",-E119*H119*IF(OR(B119="Sell call",B119="Buy to close",B119="Expired",B119="Assigned"),100,1)-I119)</f>
        <v/>
      </c>
      <c r="K119" s="21"/>
      <c r="L119" s="21"/>
      <c r="M119" s="21"/>
      <c r="N119" s="8" t="str">
        <f aca="false">IF(A119="","",IF(COUNTIFS(Reconcile!$I:$I,A119,Reconcile!$H:$H,"&gt;="&amp;(J119-0.01),Reconcile!$H:$H,"&lt;="&amp;(J119+0.01))&gt;0,"Yes","Not yet"))</f>
        <v/>
      </c>
      <c r="O119" s="21"/>
    </row>
    <row r="120" customFormat="false" ht="15" hidden="false" customHeight="false" outlineLevel="0" collapsed="false">
      <c r="A120" s="20"/>
      <c r="B120" s="21"/>
      <c r="C120" s="21"/>
      <c r="D120" s="21"/>
      <c r="E120" s="21"/>
      <c r="F120" s="22"/>
      <c r="G120" s="20"/>
      <c r="H120" s="23"/>
      <c r="I120" s="24"/>
      <c r="J120" s="14" t="str">
        <f aca="false">IF(C120="","",-E120*H120*IF(OR(B120="Sell call",B120="Buy to close",B120="Expired",B120="Assigned"),100,1)-I120)</f>
        <v/>
      </c>
      <c r="K120" s="21"/>
      <c r="L120" s="21"/>
      <c r="M120" s="21"/>
      <c r="N120" s="8" t="str">
        <f aca="false">IF(A120="","",IF(COUNTIFS(Reconcile!$I:$I,A120,Reconcile!$H:$H,"&gt;="&amp;(J120-0.01),Reconcile!$H:$H,"&lt;="&amp;(J120+0.01))&gt;0,"Yes","Not yet"))</f>
        <v/>
      </c>
      <c r="O120" s="21"/>
    </row>
    <row r="121" customFormat="false" ht="15" hidden="false" customHeight="false" outlineLevel="0" collapsed="false">
      <c r="A121" s="20"/>
      <c r="B121" s="21"/>
      <c r="C121" s="21"/>
      <c r="D121" s="21"/>
      <c r="E121" s="21"/>
      <c r="F121" s="22"/>
      <c r="G121" s="20"/>
      <c r="H121" s="23"/>
      <c r="I121" s="24"/>
      <c r="J121" s="14" t="str">
        <f aca="false">IF(C121="","",-E121*H121*IF(OR(B121="Sell call",B121="Buy to close",B121="Expired",B121="Assigned"),100,1)-I121)</f>
        <v/>
      </c>
      <c r="K121" s="21"/>
      <c r="L121" s="21"/>
      <c r="M121" s="21"/>
      <c r="N121" s="8" t="str">
        <f aca="false">IF(A121="","",IF(COUNTIFS(Reconcile!$I:$I,A121,Reconcile!$H:$H,"&gt;="&amp;(J121-0.01),Reconcile!$H:$H,"&lt;="&amp;(J121+0.01))&gt;0,"Yes","Not yet"))</f>
        <v/>
      </c>
      <c r="O121" s="21"/>
    </row>
    <row r="122" customFormat="false" ht="15" hidden="false" customHeight="false" outlineLevel="0" collapsed="false">
      <c r="A122" s="20"/>
      <c r="B122" s="21"/>
      <c r="C122" s="21"/>
      <c r="D122" s="21"/>
      <c r="E122" s="21"/>
      <c r="F122" s="22"/>
      <c r="G122" s="20"/>
      <c r="H122" s="23"/>
      <c r="I122" s="24"/>
      <c r="J122" s="14" t="str">
        <f aca="false">IF(C122="","",-E122*H122*IF(OR(B122="Sell call",B122="Buy to close",B122="Expired",B122="Assigned"),100,1)-I122)</f>
        <v/>
      </c>
      <c r="K122" s="21"/>
      <c r="L122" s="21"/>
      <c r="M122" s="21"/>
      <c r="N122" s="8" t="str">
        <f aca="false">IF(A122="","",IF(COUNTIFS(Reconcile!$I:$I,A122,Reconcile!$H:$H,"&gt;="&amp;(J122-0.01),Reconcile!$H:$H,"&lt;="&amp;(J122+0.01))&gt;0,"Yes","Not yet"))</f>
        <v/>
      </c>
      <c r="O122" s="21"/>
    </row>
    <row r="123" customFormat="false" ht="15" hidden="false" customHeight="false" outlineLevel="0" collapsed="false">
      <c r="A123" s="20"/>
      <c r="B123" s="21"/>
      <c r="C123" s="21"/>
      <c r="D123" s="21"/>
      <c r="E123" s="21"/>
      <c r="F123" s="22"/>
      <c r="G123" s="20"/>
      <c r="H123" s="23"/>
      <c r="I123" s="24"/>
      <c r="J123" s="14" t="str">
        <f aca="false">IF(C123="","",-E123*H123*IF(OR(B123="Sell call",B123="Buy to close",B123="Expired",B123="Assigned"),100,1)-I123)</f>
        <v/>
      </c>
      <c r="K123" s="21"/>
      <c r="L123" s="21"/>
      <c r="M123" s="21"/>
      <c r="N123" s="8" t="str">
        <f aca="false">IF(A123="","",IF(COUNTIFS(Reconcile!$I:$I,A123,Reconcile!$H:$H,"&gt;="&amp;(J123-0.01),Reconcile!$H:$H,"&lt;="&amp;(J123+0.01))&gt;0,"Yes","Not yet"))</f>
        <v/>
      </c>
      <c r="O123" s="21"/>
    </row>
    <row r="124" customFormat="false" ht="15" hidden="false" customHeight="false" outlineLevel="0" collapsed="false">
      <c r="A124" s="20"/>
      <c r="B124" s="21"/>
      <c r="C124" s="21"/>
      <c r="D124" s="21"/>
      <c r="E124" s="21"/>
      <c r="F124" s="22"/>
      <c r="G124" s="20"/>
      <c r="H124" s="23"/>
      <c r="I124" s="24"/>
      <c r="J124" s="14" t="str">
        <f aca="false">IF(C124="","",-E124*H124*IF(OR(B124="Sell call",B124="Buy to close",B124="Expired",B124="Assigned"),100,1)-I124)</f>
        <v/>
      </c>
      <c r="K124" s="21"/>
      <c r="L124" s="21"/>
      <c r="M124" s="21"/>
      <c r="N124" s="8" t="str">
        <f aca="false">IF(A124="","",IF(COUNTIFS(Reconcile!$I:$I,A124,Reconcile!$H:$H,"&gt;="&amp;(J124-0.01),Reconcile!$H:$H,"&lt;="&amp;(J124+0.01))&gt;0,"Yes","Not yet"))</f>
        <v/>
      </c>
      <c r="O124" s="21"/>
    </row>
    <row r="125" customFormat="false" ht="15" hidden="false" customHeight="false" outlineLevel="0" collapsed="false">
      <c r="A125" s="20"/>
      <c r="B125" s="21"/>
      <c r="C125" s="21"/>
      <c r="D125" s="21"/>
      <c r="E125" s="21"/>
      <c r="F125" s="22"/>
      <c r="G125" s="20"/>
      <c r="H125" s="23"/>
      <c r="I125" s="24"/>
      <c r="J125" s="14" t="str">
        <f aca="false">IF(C125="","",-E125*H125*IF(OR(B125="Sell call",B125="Buy to close",B125="Expired",B125="Assigned"),100,1)-I125)</f>
        <v/>
      </c>
      <c r="K125" s="21"/>
      <c r="L125" s="21"/>
      <c r="M125" s="21"/>
      <c r="N125" s="8" t="str">
        <f aca="false">IF(A125="","",IF(COUNTIFS(Reconcile!$I:$I,A125,Reconcile!$H:$H,"&gt;="&amp;(J125-0.01),Reconcile!$H:$H,"&lt;="&amp;(J125+0.01))&gt;0,"Yes","Not yet"))</f>
        <v/>
      </c>
      <c r="O125" s="21"/>
    </row>
    <row r="126" customFormat="false" ht="15" hidden="false" customHeight="false" outlineLevel="0" collapsed="false">
      <c r="A126" s="20"/>
      <c r="B126" s="21"/>
      <c r="C126" s="21"/>
      <c r="D126" s="21"/>
      <c r="E126" s="21"/>
      <c r="F126" s="22"/>
      <c r="G126" s="20"/>
      <c r="H126" s="23"/>
      <c r="I126" s="24"/>
      <c r="J126" s="14" t="str">
        <f aca="false">IF(C126="","",-E126*H126*IF(OR(B126="Sell call",B126="Buy to close",B126="Expired",B126="Assigned"),100,1)-I126)</f>
        <v/>
      </c>
      <c r="K126" s="21"/>
      <c r="L126" s="21"/>
      <c r="M126" s="21"/>
      <c r="N126" s="8" t="str">
        <f aca="false">IF(A126="","",IF(COUNTIFS(Reconcile!$I:$I,A126,Reconcile!$H:$H,"&gt;="&amp;(J126-0.01),Reconcile!$H:$H,"&lt;="&amp;(J126+0.01))&gt;0,"Yes","Not yet"))</f>
        <v/>
      </c>
      <c r="O126" s="21"/>
    </row>
    <row r="127" customFormat="false" ht="15" hidden="false" customHeight="false" outlineLevel="0" collapsed="false">
      <c r="A127" s="20"/>
      <c r="B127" s="21"/>
      <c r="C127" s="21"/>
      <c r="D127" s="21"/>
      <c r="E127" s="21"/>
      <c r="F127" s="22"/>
      <c r="G127" s="20"/>
      <c r="H127" s="23"/>
      <c r="I127" s="24"/>
      <c r="J127" s="14" t="str">
        <f aca="false">IF(C127="","",-E127*H127*IF(OR(B127="Sell call",B127="Buy to close",B127="Expired",B127="Assigned"),100,1)-I127)</f>
        <v/>
      </c>
      <c r="K127" s="21"/>
      <c r="L127" s="21"/>
      <c r="M127" s="21"/>
      <c r="N127" s="8" t="str">
        <f aca="false">IF(A127="","",IF(COUNTIFS(Reconcile!$I:$I,A127,Reconcile!$H:$H,"&gt;="&amp;(J127-0.01),Reconcile!$H:$H,"&lt;="&amp;(J127+0.01))&gt;0,"Yes","Not yet"))</f>
        <v/>
      </c>
      <c r="O127" s="21"/>
    </row>
    <row r="128" customFormat="false" ht="15" hidden="false" customHeight="false" outlineLevel="0" collapsed="false">
      <c r="A128" s="20"/>
      <c r="B128" s="21"/>
      <c r="C128" s="21"/>
      <c r="D128" s="21"/>
      <c r="E128" s="21"/>
      <c r="F128" s="22"/>
      <c r="G128" s="20"/>
      <c r="H128" s="23"/>
      <c r="I128" s="24"/>
      <c r="J128" s="14" t="str">
        <f aca="false">IF(C128="","",-E128*H128*IF(OR(B128="Sell call",B128="Buy to close",B128="Expired",B128="Assigned"),100,1)-I128)</f>
        <v/>
      </c>
      <c r="K128" s="21"/>
      <c r="L128" s="21"/>
      <c r="M128" s="21"/>
      <c r="N128" s="8" t="str">
        <f aca="false">IF(A128="","",IF(COUNTIFS(Reconcile!$I:$I,A128,Reconcile!$H:$H,"&gt;="&amp;(J128-0.01),Reconcile!$H:$H,"&lt;="&amp;(J128+0.01))&gt;0,"Yes","Not yet"))</f>
        <v/>
      </c>
      <c r="O128" s="21"/>
    </row>
    <row r="129" customFormat="false" ht="15" hidden="false" customHeight="false" outlineLevel="0" collapsed="false">
      <c r="A129" s="20"/>
      <c r="B129" s="21"/>
      <c r="C129" s="21"/>
      <c r="D129" s="21"/>
      <c r="E129" s="21"/>
      <c r="F129" s="22"/>
      <c r="G129" s="20"/>
      <c r="H129" s="23"/>
      <c r="I129" s="24"/>
      <c r="J129" s="14" t="str">
        <f aca="false">IF(C129="","",-E129*H129*IF(OR(B129="Sell call",B129="Buy to close",B129="Expired",B129="Assigned"),100,1)-I129)</f>
        <v/>
      </c>
      <c r="K129" s="21"/>
      <c r="L129" s="21"/>
      <c r="M129" s="21"/>
      <c r="N129" s="8" t="str">
        <f aca="false">IF(A129="","",IF(COUNTIFS(Reconcile!$I:$I,A129,Reconcile!$H:$H,"&gt;="&amp;(J129-0.01),Reconcile!$H:$H,"&lt;="&amp;(J129+0.01))&gt;0,"Yes","Not yet"))</f>
        <v/>
      </c>
      <c r="O129" s="21"/>
    </row>
    <row r="130" customFormat="false" ht="15" hidden="false" customHeight="false" outlineLevel="0" collapsed="false">
      <c r="A130" s="20"/>
      <c r="B130" s="21"/>
      <c r="C130" s="21"/>
      <c r="D130" s="21"/>
      <c r="E130" s="21"/>
      <c r="F130" s="22"/>
      <c r="G130" s="20"/>
      <c r="H130" s="23"/>
      <c r="I130" s="24"/>
      <c r="J130" s="14" t="str">
        <f aca="false">IF(C130="","",-E130*H130*IF(OR(B130="Sell call",B130="Buy to close",B130="Expired",B130="Assigned"),100,1)-I130)</f>
        <v/>
      </c>
      <c r="K130" s="21"/>
      <c r="L130" s="21"/>
      <c r="M130" s="21"/>
      <c r="N130" s="8" t="str">
        <f aca="false">IF(A130="","",IF(COUNTIFS(Reconcile!$I:$I,A130,Reconcile!$H:$H,"&gt;="&amp;(J130-0.01),Reconcile!$H:$H,"&lt;="&amp;(J130+0.01))&gt;0,"Yes","Not yet"))</f>
        <v/>
      </c>
      <c r="O130" s="21"/>
    </row>
    <row r="131" customFormat="false" ht="15" hidden="false" customHeight="false" outlineLevel="0" collapsed="false">
      <c r="A131" s="20"/>
      <c r="B131" s="21"/>
      <c r="C131" s="21"/>
      <c r="D131" s="21"/>
      <c r="E131" s="21"/>
      <c r="F131" s="22"/>
      <c r="G131" s="20"/>
      <c r="H131" s="23"/>
      <c r="I131" s="24"/>
      <c r="J131" s="14" t="str">
        <f aca="false">IF(C131="","",-E131*H131*IF(OR(B131="Sell call",B131="Buy to close",B131="Expired",B131="Assigned"),100,1)-I131)</f>
        <v/>
      </c>
      <c r="K131" s="21"/>
      <c r="L131" s="21"/>
      <c r="M131" s="21"/>
      <c r="N131" s="8" t="str">
        <f aca="false">IF(A131="","",IF(COUNTIFS(Reconcile!$I:$I,A131,Reconcile!$H:$H,"&gt;="&amp;(J131-0.01),Reconcile!$H:$H,"&lt;="&amp;(J131+0.01))&gt;0,"Yes","Not yet"))</f>
        <v/>
      </c>
      <c r="O131" s="21"/>
    </row>
    <row r="132" customFormat="false" ht="15" hidden="false" customHeight="false" outlineLevel="0" collapsed="false">
      <c r="A132" s="20"/>
      <c r="B132" s="21"/>
      <c r="C132" s="21"/>
      <c r="D132" s="21"/>
      <c r="E132" s="21"/>
      <c r="F132" s="22"/>
      <c r="G132" s="20"/>
      <c r="H132" s="23"/>
      <c r="I132" s="24"/>
      <c r="J132" s="14" t="str">
        <f aca="false">IF(C132="","",-E132*H132*IF(OR(B132="Sell call",B132="Buy to close",B132="Expired",B132="Assigned"),100,1)-I132)</f>
        <v/>
      </c>
      <c r="K132" s="21"/>
      <c r="L132" s="21"/>
      <c r="M132" s="21"/>
      <c r="N132" s="8" t="str">
        <f aca="false">IF(A132="","",IF(COUNTIFS(Reconcile!$I:$I,A132,Reconcile!$H:$H,"&gt;="&amp;(J132-0.01),Reconcile!$H:$H,"&lt;="&amp;(J132+0.01))&gt;0,"Yes","Not yet"))</f>
        <v/>
      </c>
      <c r="O132" s="21"/>
    </row>
    <row r="133" customFormat="false" ht="15" hidden="false" customHeight="false" outlineLevel="0" collapsed="false">
      <c r="A133" s="20"/>
      <c r="B133" s="21"/>
      <c r="C133" s="21"/>
      <c r="D133" s="21"/>
      <c r="E133" s="21"/>
      <c r="F133" s="22"/>
      <c r="G133" s="20"/>
      <c r="H133" s="23"/>
      <c r="I133" s="24"/>
      <c r="J133" s="14" t="str">
        <f aca="false">IF(C133="","",-E133*H133*IF(OR(B133="Sell call",B133="Buy to close",B133="Expired",B133="Assigned"),100,1)-I133)</f>
        <v/>
      </c>
      <c r="K133" s="21"/>
      <c r="L133" s="21"/>
      <c r="M133" s="21"/>
      <c r="N133" s="8" t="str">
        <f aca="false">IF(A133="","",IF(COUNTIFS(Reconcile!$I:$I,A133,Reconcile!$H:$H,"&gt;="&amp;(J133-0.01),Reconcile!$H:$H,"&lt;="&amp;(J133+0.01))&gt;0,"Yes","Not yet"))</f>
        <v/>
      </c>
      <c r="O133" s="21"/>
    </row>
    <row r="134" customFormat="false" ht="15" hidden="false" customHeight="false" outlineLevel="0" collapsed="false">
      <c r="A134" s="20"/>
      <c r="B134" s="21"/>
      <c r="C134" s="21"/>
      <c r="D134" s="21"/>
      <c r="E134" s="21"/>
      <c r="F134" s="22"/>
      <c r="G134" s="20"/>
      <c r="H134" s="23"/>
      <c r="I134" s="24"/>
      <c r="J134" s="14" t="str">
        <f aca="false">IF(C134="","",-E134*H134*IF(OR(B134="Sell call",B134="Buy to close",B134="Expired",B134="Assigned"),100,1)-I134)</f>
        <v/>
      </c>
      <c r="K134" s="21"/>
      <c r="L134" s="21"/>
      <c r="M134" s="21"/>
      <c r="N134" s="8" t="str">
        <f aca="false">IF(A134="","",IF(COUNTIFS(Reconcile!$I:$I,A134,Reconcile!$H:$H,"&gt;="&amp;(J134-0.01),Reconcile!$H:$H,"&lt;="&amp;(J134+0.01))&gt;0,"Yes","Not yet"))</f>
        <v/>
      </c>
      <c r="O134" s="21"/>
    </row>
    <row r="135" customFormat="false" ht="15" hidden="false" customHeight="false" outlineLevel="0" collapsed="false">
      <c r="A135" s="20"/>
      <c r="B135" s="21"/>
      <c r="C135" s="21"/>
      <c r="D135" s="21"/>
      <c r="E135" s="21"/>
      <c r="F135" s="22"/>
      <c r="G135" s="20"/>
      <c r="H135" s="23"/>
      <c r="I135" s="24"/>
      <c r="J135" s="14" t="str">
        <f aca="false">IF(C135="","",-E135*H135*IF(OR(B135="Sell call",B135="Buy to close",B135="Expired",B135="Assigned"),100,1)-I135)</f>
        <v/>
      </c>
      <c r="K135" s="21"/>
      <c r="L135" s="21"/>
      <c r="M135" s="21"/>
      <c r="N135" s="8" t="str">
        <f aca="false">IF(A135="","",IF(COUNTIFS(Reconcile!$I:$I,A135,Reconcile!$H:$H,"&gt;="&amp;(J135-0.01),Reconcile!$H:$H,"&lt;="&amp;(J135+0.01))&gt;0,"Yes","Not yet"))</f>
        <v/>
      </c>
      <c r="O135" s="21"/>
    </row>
    <row r="136" customFormat="false" ht="15" hidden="false" customHeight="false" outlineLevel="0" collapsed="false">
      <c r="A136" s="20"/>
      <c r="B136" s="21"/>
      <c r="C136" s="21"/>
      <c r="D136" s="21"/>
      <c r="E136" s="21"/>
      <c r="F136" s="22"/>
      <c r="G136" s="20"/>
      <c r="H136" s="23"/>
      <c r="I136" s="24"/>
      <c r="J136" s="14" t="str">
        <f aca="false">IF(C136="","",-E136*H136*IF(OR(B136="Sell call",B136="Buy to close",B136="Expired",B136="Assigned"),100,1)-I136)</f>
        <v/>
      </c>
      <c r="K136" s="21"/>
      <c r="L136" s="21"/>
      <c r="M136" s="21"/>
      <c r="N136" s="8" t="str">
        <f aca="false">IF(A136="","",IF(COUNTIFS(Reconcile!$I:$I,A136,Reconcile!$H:$H,"&gt;="&amp;(J136-0.01),Reconcile!$H:$H,"&lt;="&amp;(J136+0.01))&gt;0,"Yes","Not yet"))</f>
        <v/>
      </c>
      <c r="O136" s="21"/>
    </row>
    <row r="137" customFormat="false" ht="15" hidden="false" customHeight="false" outlineLevel="0" collapsed="false">
      <c r="A137" s="20"/>
      <c r="B137" s="21"/>
      <c r="C137" s="21"/>
      <c r="D137" s="21"/>
      <c r="E137" s="21"/>
      <c r="F137" s="22"/>
      <c r="G137" s="20"/>
      <c r="H137" s="23"/>
      <c r="I137" s="24"/>
      <c r="J137" s="14" t="str">
        <f aca="false">IF(C137="","",-E137*H137*IF(OR(B137="Sell call",B137="Buy to close",B137="Expired",B137="Assigned"),100,1)-I137)</f>
        <v/>
      </c>
      <c r="K137" s="21"/>
      <c r="L137" s="21"/>
      <c r="M137" s="21"/>
      <c r="N137" s="8" t="str">
        <f aca="false">IF(A137="","",IF(COUNTIFS(Reconcile!$I:$I,A137,Reconcile!$H:$H,"&gt;="&amp;(J137-0.01),Reconcile!$H:$H,"&lt;="&amp;(J137+0.01))&gt;0,"Yes","Not yet"))</f>
        <v/>
      </c>
      <c r="O137" s="21"/>
    </row>
    <row r="138" customFormat="false" ht="15" hidden="false" customHeight="false" outlineLevel="0" collapsed="false">
      <c r="A138" s="20"/>
      <c r="B138" s="21"/>
      <c r="C138" s="21"/>
      <c r="D138" s="21"/>
      <c r="E138" s="21"/>
      <c r="F138" s="22"/>
      <c r="G138" s="20"/>
      <c r="H138" s="23"/>
      <c r="I138" s="24"/>
      <c r="J138" s="14" t="str">
        <f aca="false">IF(C138="","",-E138*H138*IF(OR(B138="Sell call",B138="Buy to close",B138="Expired",B138="Assigned"),100,1)-I138)</f>
        <v/>
      </c>
      <c r="K138" s="21"/>
      <c r="L138" s="21"/>
      <c r="M138" s="21"/>
      <c r="N138" s="8" t="str">
        <f aca="false">IF(A138="","",IF(COUNTIFS(Reconcile!$I:$I,A138,Reconcile!$H:$H,"&gt;="&amp;(J138-0.01),Reconcile!$H:$H,"&lt;="&amp;(J138+0.01))&gt;0,"Yes","Not yet"))</f>
        <v/>
      </c>
      <c r="O138" s="21"/>
    </row>
    <row r="139" customFormat="false" ht="15" hidden="false" customHeight="false" outlineLevel="0" collapsed="false">
      <c r="A139" s="20"/>
      <c r="B139" s="21"/>
      <c r="C139" s="21"/>
      <c r="D139" s="21"/>
      <c r="E139" s="21"/>
      <c r="F139" s="22"/>
      <c r="G139" s="20"/>
      <c r="H139" s="23"/>
      <c r="I139" s="24"/>
      <c r="J139" s="14" t="str">
        <f aca="false">IF(C139="","",-E139*H139*IF(OR(B139="Sell call",B139="Buy to close",B139="Expired",B139="Assigned"),100,1)-I139)</f>
        <v/>
      </c>
      <c r="K139" s="21"/>
      <c r="L139" s="21"/>
      <c r="M139" s="21"/>
      <c r="N139" s="8" t="str">
        <f aca="false">IF(A139="","",IF(COUNTIFS(Reconcile!$I:$I,A139,Reconcile!$H:$H,"&gt;="&amp;(J139-0.01),Reconcile!$H:$H,"&lt;="&amp;(J139+0.01))&gt;0,"Yes","Not yet"))</f>
        <v/>
      </c>
      <c r="O139" s="21"/>
    </row>
    <row r="140" customFormat="false" ht="15" hidden="false" customHeight="false" outlineLevel="0" collapsed="false">
      <c r="A140" s="20"/>
      <c r="B140" s="21"/>
      <c r="C140" s="21"/>
      <c r="D140" s="21"/>
      <c r="E140" s="21"/>
      <c r="F140" s="22"/>
      <c r="G140" s="20"/>
      <c r="H140" s="23"/>
      <c r="I140" s="24"/>
      <c r="J140" s="14" t="str">
        <f aca="false">IF(C140="","",-E140*H140*IF(OR(B140="Sell call",B140="Buy to close",B140="Expired",B140="Assigned"),100,1)-I140)</f>
        <v/>
      </c>
      <c r="K140" s="21"/>
      <c r="L140" s="21"/>
      <c r="M140" s="21"/>
      <c r="N140" s="8" t="str">
        <f aca="false">IF(A140="","",IF(COUNTIFS(Reconcile!$I:$I,A140,Reconcile!$H:$H,"&gt;="&amp;(J140-0.01),Reconcile!$H:$H,"&lt;="&amp;(J140+0.01))&gt;0,"Yes","Not yet"))</f>
        <v/>
      </c>
      <c r="O140" s="21"/>
    </row>
    <row r="141" customFormat="false" ht="15" hidden="false" customHeight="false" outlineLevel="0" collapsed="false">
      <c r="A141" s="20"/>
      <c r="B141" s="21"/>
      <c r="C141" s="21"/>
      <c r="D141" s="21"/>
      <c r="E141" s="21"/>
      <c r="F141" s="22"/>
      <c r="G141" s="20"/>
      <c r="H141" s="23"/>
      <c r="I141" s="24"/>
      <c r="J141" s="14" t="str">
        <f aca="false">IF(C141="","",-E141*H141*IF(OR(B141="Sell call",B141="Buy to close",B141="Expired",B141="Assigned"),100,1)-I141)</f>
        <v/>
      </c>
      <c r="K141" s="21"/>
      <c r="L141" s="21"/>
      <c r="M141" s="21"/>
      <c r="N141" s="8" t="str">
        <f aca="false">IF(A141="","",IF(COUNTIFS(Reconcile!$I:$I,A141,Reconcile!$H:$H,"&gt;="&amp;(J141-0.01),Reconcile!$H:$H,"&lt;="&amp;(J141+0.01))&gt;0,"Yes","Not yet"))</f>
        <v/>
      </c>
      <c r="O141" s="21"/>
    </row>
    <row r="142" customFormat="false" ht="15" hidden="false" customHeight="false" outlineLevel="0" collapsed="false">
      <c r="A142" s="20"/>
      <c r="B142" s="21"/>
      <c r="C142" s="21"/>
      <c r="D142" s="21"/>
      <c r="E142" s="21"/>
      <c r="F142" s="22"/>
      <c r="G142" s="20"/>
      <c r="H142" s="23"/>
      <c r="I142" s="24"/>
      <c r="J142" s="14" t="str">
        <f aca="false">IF(C142="","",-E142*H142*IF(OR(B142="Sell call",B142="Buy to close",B142="Expired",B142="Assigned"),100,1)-I142)</f>
        <v/>
      </c>
      <c r="K142" s="21"/>
      <c r="L142" s="21"/>
      <c r="M142" s="21"/>
      <c r="N142" s="8" t="str">
        <f aca="false">IF(A142="","",IF(COUNTIFS(Reconcile!$I:$I,A142,Reconcile!$H:$H,"&gt;="&amp;(J142-0.01),Reconcile!$H:$H,"&lt;="&amp;(J142+0.01))&gt;0,"Yes","Not yet"))</f>
        <v/>
      </c>
      <c r="O142" s="21"/>
    </row>
    <row r="143" customFormat="false" ht="15" hidden="false" customHeight="false" outlineLevel="0" collapsed="false">
      <c r="A143" s="20"/>
      <c r="B143" s="21"/>
      <c r="C143" s="21"/>
      <c r="D143" s="21"/>
      <c r="E143" s="21"/>
      <c r="F143" s="22"/>
      <c r="G143" s="20"/>
      <c r="H143" s="23"/>
      <c r="I143" s="24"/>
      <c r="J143" s="14" t="str">
        <f aca="false">IF(C143="","",-E143*H143*IF(OR(B143="Sell call",B143="Buy to close",B143="Expired",B143="Assigned"),100,1)-I143)</f>
        <v/>
      </c>
      <c r="K143" s="21"/>
      <c r="L143" s="21"/>
      <c r="M143" s="21"/>
      <c r="N143" s="8" t="str">
        <f aca="false">IF(A143="","",IF(COUNTIFS(Reconcile!$I:$I,A143,Reconcile!$H:$H,"&gt;="&amp;(J143-0.01),Reconcile!$H:$H,"&lt;="&amp;(J143+0.01))&gt;0,"Yes","Not yet"))</f>
        <v/>
      </c>
      <c r="O143" s="21"/>
    </row>
    <row r="144" customFormat="false" ht="15" hidden="false" customHeight="false" outlineLevel="0" collapsed="false">
      <c r="A144" s="20"/>
      <c r="B144" s="21"/>
      <c r="C144" s="21"/>
      <c r="D144" s="21"/>
      <c r="E144" s="21"/>
      <c r="F144" s="22"/>
      <c r="G144" s="20"/>
      <c r="H144" s="23"/>
      <c r="I144" s="24"/>
      <c r="J144" s="14" t="str">
        <f aca="false">IF(C144="","",-E144*H144*IF(OR(B144="Sell call",B144="Buy to close",B144="Expired",B144="Assigned"),100,1)-I144)</f>
        <v/>
      </c>
      <c r="K144" s="21"/>
      <c r="L144" s="21"/>
      <c r="M144" s="21"/>
      <c r="N144" s="8" t="str">
        <f aca="false">IF(A144="","",IF(COUNTIFS(Reconcile!$I:$I,A144,Reconcile!$H:$H,"&gt;="&amp;(J144-0.01),Reconcile!$H:$H,"&lt;="&amp;(J144+0.01))&gt;0,"Yes","Not yet"))</f>
        <v/>
      </c>
      <c r="O144" s="21"/>
    </row>
    <row r="145" customFormat="false" ht="15" hidden="false" customHeight="false" outlineLevel="0" collapsed="false">
      <c r="A145" s="20"/>
      <c r="B145" s="21"/>
      <c r="C145" s="21"/>
      <c r="D145" s="21"/>
      <c r="E145" s="21"/>
      <c r="F145" s="22"/>
      <c r="G145" s="20"/>
      <c r="H145" s="23"/>
      <c r="I145" s="24"/>
      <c r="J145" s="14" t="str">
        <f aca="false">IF(C145="","",-E145*H145*IF(OR(B145="Sell call",B145="Buy to close",B145="Expired",B145="Assigned"),100,1)-I145)</f>
        <v/>
      </c>
      <c r="K145" s="21"/>
      <c r="L145" s="21"/>
      <c r="M145" s="21"/>
      <c r="N145" s="8" t="str">
        <f aca="false">IF(A145="","",IF(COUNTIFS(Reconcile!$I:$I,A145,Reconcile!$H:$H,"&gt;="&amp;(J145-0.01),Reconcile!$H:$H,"&lt;="&amp;(J145+0.01))&gt;0,"Yes","Not yet"))</f>
        <v/>
      </c>
      <c r="O145" s="21"/>
    </row>
    <row r="146" customFormat="false" ht="15" hidden="false" customHeight="false" outlineLevel="0" collapsed="false">
      <c r="A146" s="20"/>
      <c r="B146" s="21"/>
      <c r="C146" s="21"/>
      <c r="D146" s="21"/>
      <c r="E146" s="21"/>
      <c r="F146" s="22"/>
      <c r="G146" s="20"/>
      <c r="H146" s="23"/>
      <c r="I146" s="24"/>
      <c r="J146" s="14" t="str">
        <f aca="false">IF(C146="","",-E146*H146*IF(OR(B146="Sell call",B146="Buy to close",B146="Expired",B146="Assigned"),100,1)-I146)</f>
        <v/>
      </c>
      <c r="K146" s="21"/>
      <c r="L146" s="21"/>
      <c r="M146" s="21"/>
      <c r="N146" s="8" t="str">
        <f aca="false">IF(A146="","",IF(COUNTIFS(Reconcile!$I:$I,A146,Reconcile!$H:$H,"&gt;="&amp;(J146-0.01),Reconcile!$H:$H,"&lt;="&amp;(J146+0.01))&gt;0,"Yes","Not yet"))</f>
        <v/>
      </c>
      <c r="O146" s="21"/>
    </row>
    <row r="147" customFormat="false" ht="15" hidden="false" customHeight="false" outlineLevel="0" collapsed="false">
      <c r="A147" s="20"/>
      <c r="B147" s="21"/>
      <c r="C147" s="21"/>
      <c r="D147" s="21"/>
      <c r="E147" s="21"/>
      <c r="F147" s="22"/>
      <c r="G147" s="20"/>
      <c r="H147" s="23"/>
      <c r="I147" s="24"/>
      <c r="J147" s="14" t="str">
        <f aca="false">IF(C147="","",-E147*H147*IF(OR(B147="Sell call",B147="Buy to close",B147="Expired",B147="Assigned"),100,1)-I147)</f>
        <v/>
      </c>
      <c r="K147" s="21"/>
      <c r="L147" s="21"/>
      <c r="M147" s="21"/>
      <c r="N147" s="8" t="str">
        <f aca="false">IF(A147="","",IF(COUNTIFS(Reconcile!$I:$I,A147,Reconcile!$H:$H,"&gt;="&amp;(J147-0.01),Reconcile!$H:$H,"&lt;="&amp;(J147+0.01))&gt;0,"Yes","Not yet"))</f>
        <v/>
      </c>
      <c r="O147" s="21"/>
    </row>
    <row r="148" customFormat="false" ht="15" hidden="false" customHeight="false" outlineLevel="0" collapsed="false">
      <c r="A148" s="20"/>
      <c r="B148" s="21"/>
      <c r="C148" s="21"/>
      <c r="D148" s="21"/>
      <c r="E148" s="21"/>
      <c r="F148" s="22"/>
      <c r="G148" s="20"/>
      <c r="H148" s="23"/>
      <c r="I148" s="24"/>
      <c r="J148" s="14" t="str">
        <f aca="false">IF(C148="","",-E148*H148*IF(OR(B148="Sell call",B148="Buy to close",B148="Expired",B148="Assigned"),100,1)-I148)</f>
        <v/>
      </c>
      <c r="K148" s="21"/>
      <c r="L148" s="21"/>
      <c r="M148" s="21"/>
      <c r="N148" s="8" t="str">
        <f aca="false">IF(A148="","",IF(COUNTIFS(Reconcile!$I:$I,A148,Reconcile!$H:$H,"&gt;="&amp;(J148-0.01),Reconcile!$H:$H,"&lt;="&amp;(J148+0.01))&gt;0,"Yes","Not yet"))</f>
        <v/>
      </c>
      <c r="O148" s="21"/>
    </row>
    <row r="149" customFormat="false" ht="15" hidden="false" customHeight="false" outlineLevel="0" collapsed="false">
      <c r="A149" s="20"/>
      <c r="B149" s="21"/>
      <c r="C149" s="21"/>
      <c r="D149" s="21"/>
      <c r="E149" s="21"/>
      <c r="F149" s="22"/>
      <c r="G149" s="20"/>
      <c r="H149" s="23"/>
      <c r="I149" s="24"/>
      <c r="J149" s="14" t="str">
        <f aca="false">IF(C149="","",-E149*H149*IF(OR(B149="Sell call",B149="Buy to close",B149="Expired",B149="Assigned"),100,1)-I149)</f>
        <v/>
      </c>
      <c r="K149" s="21"/>
      <c r="L149" s="21"/>
      <c r="M149" s="21"/>
      <c r="N149" s="8" t="str">
        <f aca="false">IF(A149="","",IF(COUNTIFS(Reconcile!$I:$I,A149,Reconcile!$H:$H,"&gt;="&amp;(J149-0.01),Reconcile!$H:$H,"&lt;="&amp;(J149+0.01))&gt;0,"Yes","Not yet"))</f>
        <v/>
      </c>
      <c r="O149" s="21"/>
    </row>
    <row r="150" customFormat="false" ht="15" hidden="false" customHeight="false" outlineLevel="0" collapsed="false">
      <c r="A150" s="20"/>
      <c r="B150" s="21"/>
      <c r="C150" s="21"/>
      <c r="D150" s="21"/>
      <c r="E150" s="21"/>
      <c r="F150" s="22"/>
      <c r="G150" s="20"/>
      <c r="H150" s="23"/>
      <c r="I150" s="24"/>
      <c r="J150" s="14" t="str">
        <f aca="false">IF(C150="","",-E150*H150*IF(OR(B150="Sell call",B150="Buy to close",B150="Expired",B150="Assigned"),100,1)-I150)</f>
        <v/>
      </c>
      <c r="K150" s="21"/>
      <c r="L150" s="21"/>
      <c r="M150" s="21"/>
      <c r="N150" s="8" t="str">
        <f aca="false">IF(A150="","",IF(COUNTIFS(Reconcile!$I:$I,A150,Reconcile!$H:$H,"&gt;="&amp;(J150-0.01),Reconcile!$H:$H,"&lt;="&amp;(J150+0.01))&gt;0,"Yes","Not yet"))</f>
        <v/>
      </c>
      <c r="O150" s="21"/>
    </row>
    <row r="151" customFormat="false" ht="15" hidden="false" customHeight="false" outlineLevel="0" collapsed="false">
      <c r="A151" s="20"/>
      <c r="B151" s="21"/>
      <c r="C151" s="21"/>
      <c r="D151" s="21"/>
      <c r="E151" s="21"/>
      <c r="F151" s="22"/>
      <c r="G151" s="20"/>
      <c r="H151" s="23"/>
      <c r="I151" s="24"/>
      <c r="J151" s="14" t="str">
        <f aca="false">IF(C151="","",-E151*H151*IF(OR(B151="Sell call",B151="Buy to close",B151="Expired",B151="Assigned"),100,1)-I151)</f>
        <v/>
      </c>
      <c r="K151" s="21"/>
      <c r="L151" s="21"/>
      <c r="M151" s="21"/>
      <c r="N151" s="8" t="str">
        <f aca="false">IF(A151="","",IF(COUNTIFS(Reconcile!$I:$I,A151,Reconcile!$H:$H,"&gt;="&amp;(J151-0.01),Reconcile!$H:$H,"&lt;="&amp;(J151+0.01))&gt;0,"Yes","Not yet"))</f>
        <v/>
      </c>
      <c r="O151" s="21"/>
    </row>
    <row r="152" customFormat="false" ht="15" hidden="false" customHeight="false" outlineLevel="0" collapsed="false">
      <c r="A152" s="20"/>
      <c r="B152" s="21"/>
      <c r="C152" s="21"/>
      <c r="D152" s="21"/>
      <c r="E152" s="21"/>
      <c r="F152" s="22"/>
      <c r="G152" s="20"/>
      <c r="H152" s="23"/>
      <c r="I152" s="24"/>
      <c r="J152" s="14" t="str">
        <f aca="false">IF(C152="","",-E152*H152*IF(OR(B152="Sell call",B152="Buy to close",B152="Expired",B152="Assigned"),100,1)-I152)</f>
        <v/>
      </c>
      <c r="K152" s="21"/>
      <c r="L152" s="21"/>
      <c r="M152" s="21"/>
      <c r="N152" s="8" t="str">
        <f aca="false">IF(A152="","",IF(COUNTIFS(Reconcile!$I:$I,A152,Reconcile!$H:$H,"&gt;="&amp;(J152-0.01),Reconcile!$H:$H,"&lt;="&amp;(J152+0.01))&gt;0,"Yes","Not yet"))</f>
        <v/>
      </c>
      <c r="O152" s="21"/>
    </row>
    <row r="153" customFormat="false" ht="15" hidden="false" customHeight="false" outlineLevel="0" collapsed="false">
      <c r="A153" s="20"/>
      <c r="B153" s="21"/>
      <c r="C153" s="21"/>
      <c r="D153" s="21"/>
      <c r="E153" s="21"/>
      <c r="F153" s="22"/>
      <c r="G153" s="20"/>
      <c r="H153" s="23"/>
      <c r="I153" s="24"/>
      <c r="J153" s="14" t="str">
        <f aca="false">IF(C153="","",-E153*H153*IF(OR(B153="Sell call",B153="Buy to close",B153="Expired",B153="Assigned"),100,1)-I153)</f>
        <v/>
      </c>
      <c r="K153" s="21"/>
      <c r="L153" s="21"/>
      <c r="M153" s="21"/>
      <c r="N153" s="8" t="str">
        <f aca="false">IF(A153="","",IF(COUNTIFS(Reconcile!$I:$I,A153,Reconcile!$H:$H,"&gt;="&amp;(J153-0.01),Reconcile!$H:$H,"&lt;="&amp;(J153+0.01))&gt;0,"Yes","Not yet"))</f>
        <v/>
      </c>
      <c r="O153" s="21"/>
    </row>
    <row r="154" customFormat="false" ht="15" hidden="false" customHeight="false" outlineLevel="0" collapsed="false">
      <c r="A154" s="20"/>
      <c r="B154" s="21"/>
      <c r="C154" s="21"/>
      <c r="D154" s="21"/>
      <c r="E154" s="21"/>
      <c r="F154" s="22"/>
      <c r="G154" s="20"/>
      <c r="H154" s="23"/>
      <c r="I154" s="24"/>
      <c r="J154" s="14" t="str">
        <f aca="false">IF(C154="","",-E154*H154*IF(OR(B154="Sell call",B154="Buy to close",B154="Expired",B154="Assigned"),100,1)-I154)</f>
        <v/>
      </c>
      <c r="K154" s="21"/>
      <c r="L154" s="21"/>
      <c r="M154" s="21"/>
      <c r="N154" s="8" t="str">
        <f aca="false">IF(A154="","",IF(COUNTIFS(Reconcile!$I:$I,A154,Reconcile!$H:$H,"&gt;="&amp;(J154-0.01),Reconcile!$H:$H,"&lt;="&amp;(J154+0.01))&gt;0,"Yes","Not yet"))</f>
        <v/>
      </c>
      <c r="O154" s="21"/>
    </row>
    <row r="155" customFormat="false" ht="15" hidden="false" customHeight="false" outlineLevel="0" collapsed="false">
      <c r="A155" s="20"/>
      <c r="B155" s="21"/>
      <c r="C155" s="21"/>
      <c r="D155" s="21"/>
      <c r="E155" s="21"/>
      <c r="F155" s="22"/>
      <c r="G155" s="20"/>
      <c r="H155" s="23"/>
      <c r="I155" s="24"/>
      <c r="J155" s="14" t="str">
        <f aca="false">IF(C155="","",-E155*H155*IF(OR(B155="Sell call",B155="Buy to close",B155="Expired",B155="Assigned"),100,1)-I155)</f>
        <v/>
      </c>
      <c r="K155" s="21"/>
      <c r="L155" s="21"/>
      <c r="M155" s="21"/>
      <c r="N155" s="8" t="str">
        <f aca="false">IF(A155="","",IF(COUNTIFS(Reconcile!$I:$I,A155,Reconcile!$H:$H,"&gt;="&amp;(J155-0.01),Reconcile!$H:$H,"&lt;="&amp;(J155+0.01))&gt;0,"Yes","Not yet"))</f>
        <v/>
      </c>
      <c r="O155" s="21"/>
    </row>
    <row r="156" customFormat="false" ht="15" hidden="false" customHeight="false" outlineLevel="0" collapsed="false">
      <c r="A156" s="20"/>
      <c r="B156" s="21"/>
      <c r="C156" s="21"/>
      <c r="D156" s="21"/>
      <c r="E156" s="21"/>
      <c r="F156" s="22"/>
      <c r="G156" s="20"/>
      <c r="H156" s="23"/>
      <c r="I156" s="24"/>
      <c r="J156" s="14" t="str">
        <f aca="false">IF(C156="","",-E156*H156*IF(OR(B156="Sell call",B156="Buy to close",B156="Expired",B156="Assigned"),100,1)-I156)</f>
        <v/>
      </c>
      <c r="K156" s="21"/>
      <c r="L156" s="21"/>
      <c r="M156" s="21"/>
      <c r="N156" s="8" t="str">
        <f aca="false">IF(A156="","",IF(COUNTIFS(Reconcile!$I:$I,A156,Reconcile!$H:$H,"&gt;="&amp;(J156-0.01),Reconcile!$H:$H,"&lt;="&amp;(J156+0.01))&gt;0,"Yes","Not yet"))</f>
        <v/>
      </c>
      <c r="O156" s="21"/>
    </row>
    <row r="157" customFormat="false" ht="15" hidden="false" customHeight="false" outlineLevel="0" collapsed="false">
      <c r="A157" s="20"/>
      <c r="B157" s="21"/>
      <c r="C157" s="21"/>
      <c r="D157" s="21"/>
      <c r="E157" s="21"/>
      <c r="F157" s="22"/>
      <c r="G157" s="20"/>
      <c r="H157" s="23"/>
      <c r="I157" s="24"/>
      <c r="J157" s="14" t="str">
        <f aca="false">IF(C157="","",-E157*H157*IF(OR(B157="Sell call",B157="Buy to close",B157="Expired",B157="Assigned"),100,1)-I157)</f>
        <v/>
      </c>
      <c r="K157" s="21"/>
      <c r="L157" s="21"/>
      <c r="M157" s="21"/>
      <c r="N157" s="8" t="str">
        <f aca="false">IF(A157="","",IF(COUNTIFS(Reconcile!$I:$I,A157,Reconcile!$H:$H,"&gt;="&amp;(J157-0.01),Reconcile!$H:$H,"&lt;="&amp;(J157+0.01))&gt;0,"Yes","Not yet"))</f>
        <v/>
      </c>
      <c r="O157" s="21"/>
    </row>
    <row r="158" customFormat="false" ht="15" hidden="false" customHeight="false" outlineLevel="0" collapsed="false">
      <c r="A158" s="20"/>
      <c r="B158" s="21"/>
      <c r="C158" s="21"/>
      <c r="D158" s="21"/>
      <c r="E158" s="21"/>
      <c r="F158" s="22"/>
      <c r="G158" s="20"/>
      <c r="H158" s="23"/>
      <c r="I158" s="24"/>
      <c r="J158" s="14" t="str">
        <f aca="false">IF(C158="","",-E158*H158*IF(OR(B158="Sell call",B158="Buy to close",B158="Expired",B158="Assigned"),100,1)-I158)</f>
        <v/>
      </c>
      <c r="K158" s="21"/>
      <c r="L158" s="21"/>
      <c r="M158" s="21"/>
      <c r="N158" s="8" t="str">
        <f aca="false">IF(A158="","",IF(COUNTIFS(Reconcile!$I:$I,A158,Reconcile!$H:$H,"&gt;="&amp;(J158-0.01),Reconcile!$H:$H,"&lt;="&amp;(J158+0.01))&gt;0,"Yes","Not yet"))</f>
        <v/>
      </c>
      <c r="O158" s="21"/>
    </row>
    <row r="159" customFormat="false" ht="15" hidden="false" customHeight="false" outlineLevel="0" collapsed="false">
      <c r="A159" s="20"/>
      <c r="B159" s="21"/>
      <c r="C159" s="21"/>
      <c r="D159" s="21"/>
      <c r="E159" s="21"/>
      <c r="F159" s="22"/>
      <c r="G159" s="20"/>
      <c r="H159" s="23"/>
      <c r="I159" s="24"/>
      <c r="J159" s="14" t="str">
        <f aca="false">IF(C159="","",-E159*H159*IF(OR(B159="Sell call",B159="Buy to close",B159="Expired",B159="Assigned"),100,1)-I159)</f>
        <v/>
      </c>
      <c r="K159" s="21"/>
      <c r="L159" s="21"/>
      <c r="M159" s="21"/>
      <c r="N159" s="8" t="str">
        <f aca="false">IF(A159="","",IF(COUNTIFS(Reconcile!$I:$I,A159,Reconcile!$H:$H,"&gt;="&amp;(J159-0.01),Reconcile!$H:$H,"&lt;="&amp;(J159+0.01))&gt;0,"Yes","Not yet"))</f>
        <v/>
      </c>
      <c r="O159" s="21"/>
    </row>
    <row r="160" customFormat="false" ht="15" hidden="false" customHeight="false" outlineLevel="0" collapsed="false">
      <c r="A160" s="20"/>
      <c r="B160" s="21"/>
      <c r="C160" s="21"/>
      <c r="D160" s="21"/>
      <c r="E160" s="21"/>
      <c r="F160" s="22"/>
      <c r="G160" s="20"/>
      <c r="H160" s="23"/>
      <c r="I160" s="24"/>
      <c r="J160" s="14" t="str">
        <f aca="false">IF(C160="","",-E160*H160*IF(OR(B160="Sell call",B160="Buy to close",B160="Expired",B160="Assigned"),100,1)-I160)</f>
        <v/>
      </c>
      <c r="K160" s="21"/>
      <c r="L160" s="21"/>
      <c r="M160" s="21"/>
      <c r="N160" s="8" t="str">
        <f aca="false">IF(A160="","",IF(COUNTIFS(Reconcile!$I:$I,A160,Reconcile!$H:$H,"&gt;="&amp;(J160-0.01),Reconcile!$H:$H,"&lt;="&amp;(J160+0.01))&gt;0,"Yes","Not yet"))</f>
        <v/>
      </c>
      <c r="O160" s="21"/>
    </row>
    <row r="161" customFormat="false" ht="15" hidden="false" customHeight="false" outlineLevel="0" collapsed="false">
      <c r="A161" s="20"/>
      <c r="B161" s="21"/>
      <c r="C161" s="21"/>
      <c r="D161" s="21"/>
      <c r="E161" s="21"/>
      <c r="F161" s="22"/>
      <c r="G161" s="20"/>
      <c r="H161" s="23"/>
      <c r="I161" s="24"/>
      <c r="J161" s="14" t="str">
        <f aca="false">IF(C161="","",-E161*H161*IF(OR(B161="Sell call",B161="Buy to close",B161="Expired",B161="Assigned"),100,1)-I161)</f>
        <v/>
      </c>
      <c r="K161" s="21"/>
      <c r="L161" s="21"/>
      <c r="M161" s="21"/>
      <c r="N161" s="8" t="str">
        <f aca="false">IF(A161="","",IF(COUNTIFS(Reconcile!$I:$I,A161,Reconcile!$H:$H,"&gt;="&amp;(J161-0.01),Reconcile!$H:$H,"&lt;="&amp;(J161+0.01))&gt;0,"Yes","Not yet"))</f>
        <v/>
      </c>
      <c r="O161" s="21"/>
    </row>
    <row r="162" customFormat="false" ht="15" hidden="false" customHeight="false" outlineLevel="0" collapsed="false">
      <c r="A162" s="20"/>
      <c r="B162" s="21"/>
      <c r="C162" s="21"/>
      <c r="D162" s="21"/>
      <c r="E162" s="21"/>
      <c r="F162" s="22"/>
      <c r="G162" s="20"/>
      <c r="H162" s="23"/>
      <c r="I162" s="24"/>
      <c r="J162" s="14" t="str">
        <f aca="false">IF(C162="","",-E162*H162*IF(OR(B162="Sell call",B162="Buy to close",B162="Expired",B162="Assigned"),100,1)-I162)</f>
        <v/>
      </c>
      <c r="K162" s="21"/>
      <c r="L162" s="21"/>
      <c r="M162" s="21"/>
      <c r="N162" s="8" t="str">
        <f aca="false">IF(A162="","",IF(COUNTIFS(Reconcile!$I:$I,A162,Reconcile!$H:$H,"&gt;="&amp;(J162-0.01),Reconcile!$H:$H,"&lt;="&amp;(J162+0.01))&gt;0,"Yes","Not yet"))</f>
        <v/>
      </c>
      <c r="O162" s="21"/>
    </row>
    <row r="163" customFormat="false" ht="15" hidden="false" customHeight="false" outlineLevel="0" collapsed="false">
      <c r="A163" s="20"/>
      <c r="B163" s="21"/>
      <c r="C163" s="21"/>
      <c r="D163" s="21"/>
      <c r="E163" s="21"/>
      <c r="F163" s="22"/>
      <c r="G163" s="20"/>
      <c r="H163" s="23"/>
      <c r="I163" s="24"/>
      <c r="J163" s="14" t="str">
        <f aca="false">IF(C163="","",-E163*H163*IF(OR(B163="Sell call",B163="Buy to close",B163="Expired",B163="Assigned"),100,1)-I163)</f>
        <v/>
      </c>
      <c r="K163" s="21"/>
      <c r="L163" s="21"/>
      <c r="M163" s="21"/>
      <c r="N163" s="8" t="str">
        <f aca="false">IF(A163="","",IF(COUNTIFS(Reconcile!$I:$I,A163,Reconcile!$H:$H,"&gt;="&amp;(J163-0.01),Reconcile!$H:$H,"&lt;="&amp;(J163+0.01))&gt;0,"Yes","Not yet"))</f>
        <v/>
      </c>
      <c r="O163" s="21"/>
    </row>
    <row r="164" customFormat="false" ht="15" hidden="false" customHeight="false" outlineLevel="0" collapsed="false">
      <c r="A164" s="20"/>
      <c r="B164" s="21"/>
      <c r="C164" s="21"/>
      <c r="D164" s="21"/>
      <c r="E164" s="21"/>
      <c r="F164" s="22"/>
      <c r="G164" s="20"/>
      <c r="H164" s="23"/>
      <c r="I164" s="24"/>
      <c r="J164" s="14" t="str">
        <f aca="false">IF(C164="","",-E164*H164*IF(OR(B164="Sell call",B164="Buy to close",B164="Expired",B164="Assigned"),100,1)-I164)</f>
        <v/>
      </c>
      <c r="K164" s="21"/>
      <c r="L164" s="21"/>
      <c r="M164" s="21"/>
      <c r="N164" s="8" t="str">
        <f aca="false">IF(A164="","",IF(COUNTIFS(Reconcile!$I:$I,A164,Reconcile!$H:$H,"&gt;="&amp;(J164-0.01),Reconcile!$H:$H,"&lt;="&amp;(J164+0.01))&gt;0,"Yes","Not yet"))</f>
        <v/>
      </c>
      <c r="O164" s="21"/>
    </row>
    <row r="165" customFormat="false" ht="15" hidden="false" customHeight="false" outlineLevel="0" collapsed="false">
      <c r="A165" s="20"/>
      <c r="B165" s="21"/>
      <c r="C165" s="21"/>
      <c r="D165" s="21"/>
      <c r="E165" s="21"/>
      <c r="F165" s="22"/>
      <c r="G165" s="20"/>
      <c r="H165" s="23"/>
      <c r="I165" s="24"/>
      <c r="J165" s="14" t="str">
        <f aca="false">IF(C165="","",-E165*H165*IF(OR(B165="Sell call",B165="Buy to close",B165="Expired",B165="Assigned"),100,1)-I165)</f>
        <v/>
      </c>
      <c r="K165" s="21"/>
      <c r="L165" s="21"/>
      <c r="M165" s="21"/>
      <c r="N165" s="8" t="str">
        <f aca="false">IF(A165="","",IF(COUNTIFS(Reconcile!$I:$I,A165,Reconcile!$H:$H,"&gt;="&amp;(J165-0.01),Reconcile!$H:$H,"&lt;="&amp;(J165+0.01))&gt;0,"Yes","Not yet"))</f>
        <v/>
      </c>
      <c r="O165" s="21"/>
    </row>
    <row r="166" customFormat="false" ht="15" hidden="false" customHeight="false" outlineLevel="0" collapsed="false">
      <c r="A166" s="20"/>
      <c r="B166" s="21"/>
      <c r="C166" s="21"/>
      <c r="D166" s="21"/>
      <c r="E166" s="21"/>
      <c r="F166" s="22"/>
      <c r="G166" s="20"/>
      <c r="H166" s="23"/>
      <c r="I166" s="24"/>
      <c r="J166" s="14" t="str">
        <f aca="false">IF(C166="","",-E166*H166*IF(OR(B166="Sell call",B166="Buy to close",B166="Expired",B166="Assigned"),100,1)-I166)</f>
        <v/>
      </c>
      <c r="K166" s="21"/>
      <c r="L166" s="21"/>
      <c r="M166" s="21"/>
      <c r="N166" s="8" t="str">
        <f aca="false">IF(A166="","",IF(COUNTIFS(Reconcile!$I:$I,A166,Reconcile!$H:$H,"&gt;="&amp;(J166-0.01),Reconcile!$H:$H,"&lt;="&amp;(J166+0.01))&gt;0,"Yes","Not yet"))</f>
        <v/>
      </c>
      <c r="O166" s="21"/>
    </row>
    <row r="167" customFormat="false" ht="15" hidden="false" customHeight="false" outlineLevel="0" collapsed="false">
      <c r="A167" s="20"/>
      <c r="B167" s="21"/>
      <c r="C167" s="21"/>
      <c r="D167" s="21"/>
      <c r="E167" s="21"/>
      <c r="F167" s="22"/>
      <c r="G167" s="20"/>
      <c r="H167" s="23"/>
      <c r="I167" s="24"/>
      <c r="J167" s="14" t="str">
        <f aca="false">IF(C167="","",-E167*H167*IF(OR(B167="Sell call",B167="Buy to close",B167="Expired",B167="Assigned"),100,1)-I167)</f>
        <v/>
      </c>
      <c r="K167" s="21"/>
      <c r="L167" s="21"/>
      <c r="M167" s="21"/>
      <c r="N167" s="8" t="str">
        <f aca="false">IF(A167="","",IF(COUNTIFS(Reconcile!$I:$I,A167,Reconcile!$H:$H,"&gt;="&amp;(J167-0.01),Reconcile!$H:$H,"&lt;="&amp;(J167+0.01))&gt;0,"Yes","Not yet"))</f>
        <v/>
      </c>
      <c r="O167" s="21"/>
    </row>
    <row r="168" customFormat="false" ht="15" hidden="false" customHeight="false" outlineLevel="0" collapsed="false">
      <c r="A168" s="20"/>
      <c r="B168" s="21"/>
      <c r="C168" s="21"/>
      <c r="D168" s="21"/>
      <c r="E168" s="21"/>
      <c r="F168" s="22"/>
      <c r="G168" s="20"/>
      <c r="H168" s="23"/>
      <c r="I168" s="24"/>
      <c r="J168" s="14" t="str">
        <f aca="false">IF(C168="","",-E168*H168*IF(OR(B168="Sell call",B168="Buy to close",B168="Expired",B168="Assigned"),100,1)-I168)</f>
        <v/>
      </c>
      <c r="K168" s="21"/>
      <c r="L168" s="21"/>
      <c r="M168" s="21"/>
      <c r="N168" s="8" t="str">
        <f aca="false">IF(A168="","",IF(COUNTIFS(Reconcile!$I:$I,A168,Reconcile!$H:$H,"&gt;="&amp;(J168-0.01),Reconcile!$H:$H,"&lt;="&amp;(J168+0.01))&gt;0,"Yes","Not yet"))</f>
        <v/>
      </c>
      <c r="O168" s="21"/>
    </row>
    <row r="169" customFormat="false" ht="15" hidden="false" customHeight="false" outlineLevel="0" collapsed="false">
      <c r="A169" s="20"/>
      <c r="B169" s="21"/>
      <c r="C169" s="21"/>
      <c r="D169" s="21"/>
      <c r="E169" s="21"/>
      <c r="F169" s="22"/>
      <c r="G169" s="20"/>
      <c r="H169" s="23"/>
      <c r="I169" s="24"/>
      <c r="J169" s="14" t="str">
        <f aca="false">IF(C169="","",-E169*H169*IF(OR(B169="Sell call",B169="Buy to close",B169="Expired",B169="Assigned"),100,1)-I169)</f>
        <v/>
      </c>
      <c r="K169" s="21"/>
      <c r="L169" s="21"/>
      <c r="M169" s="21"/>
      <c r="N169" s="8" t="str">
        <f aca="false">IF(A169="","",IF(COUNTIFS(Reconcile!$I:$I,A169,Reconcile!$H:$H,"&gt;="&amp;(J169-0.01),Reconcile!$H:$H,"&lt;="&amp;(J169+0.01))&gt;0,"Yes","Not yet"))</f>
        <v/>
      </c>
      <c r="O169" s="21"/>
    </row>
    <row r="170" customFormat="false" ht="15" hidden="false" customHeight="false" outlineLevel="0" collapsed="false">
      <c r="A170" s="20"/>
      <c r="B170" s="21"/>
      <c r="C170" s="21"/>
      <c r="D170" s="21"/>
      <c r="E170" s="21"/>
      <c r="F170" s="22"/>
      <c r="G170" s="20"/>
      <c r="H170" s="23"/>
      <c r="I170" s="24"/>
      <c r="J170" s="14" t="str">
        <f aca="false">IF(C170="","",-E170*H170*IF(OR(B170="Sell call",B170="Buy to close",B170="Expired",B170="Assigned"),100,1)-I170)</f>
        <v/>
      </c>
      <c r="K170" s="21"/>
      <c r="L170" s="21"/>
      <c r="M170" s="21"/>
      <c r="N170" s="8" t="str">
        <f aca="false">IF(A170="","",IF(COUNTIFS(Reconcile!$I:$I,A170,Reconcile!$H:$H,"&gt;="&amp;(J170-0.01),Reconcile!$H:$H,"&lt;="&amp;(J170+0.01))&gt;0,"Yes","Not yet"))</f>
        <v/>
      </c>
      <c r="O170" s="21"/>
    </row>
    <row r="171" customFormat="false" ht="15" hidden="false" customHeight="false" outlineLevel="0" collapsed="false">
      <c r="A171" s="20"/>
      <c r="B171" s="21"/>
      <c r="C171" s="21"/>
      <c r="D171" s="21"/>
      <c r="E171" s="21"/>
      <c r="F171" s="22"/>
      <c r="G171" s="20"/>
      <c r="H171" s="23"/>
      <c r="I171" s="24"/>
      <c r="J171" s="14" t="str">
        <f aca="false">IF(C171="","",-E171*H171*IF(OR(B171="Sell call",B171="Buy to close",B171="Expired",B171="Assigned"),100,1)-I171)</f>
        <v/>
      </c>
      <c r="K171" s="21"/>
      <c r="L171" s="21"/>
      <c r="M171" s="21"/>
      <c r="N171" s="8" t="str">
        <f aca="false">IF(A171="","",IF(COUNTIFS(Reconcile!$I:$I,A171,Reconcile!$H:$H,"&gt;="&amp;(J171-0.01),Reconcile!$H:$H,"&lt;="&amp;(J171+0.01))&gt;0,"Yes","Not yet"))</f>
        <v/>
      </c>
      <c r="O171" s="21"/>
    </row>
    <row r="172" customFormat="false" ht="15" hidden="false" customHeight="false" outlineLevel="0" collapsed="false">
      <c r="A172" s="20"/>
      <c r="B172" s="21"/>
      <c r="C172" s="21"/>
      <c r="D172" s="21"/>
      <c r="E172" s="21"/>
      <c r="F172" s="22"/>
      <c r="G172" s="20"/>
      <c r="H172" s="23"/>
      <c r="I172" s="24"/>
      <c r="J172" s="14" t="str">
        <f aca="false">IF(C172="","",-E172*H172*IF(OR(B172="Sell call",B172="Buy to close",B172="Expired",B172="Assigned"),100,1)-I172)</f>
        <v/>
      </c>
      <c r="K172" s="21"/>
      <c r="L172" s="21"/>
      <c r="M172" s="21"/>
      <c r="N172" s="8" t="str">
        <f aca="false">IF(A172="","",IF(COUNTIFS(Reconcile!$I:$I,A172,Reconcile!$H:$H,"&gt;="&amp;(J172-0.01),Reconcile!$H:$H,"&lt;="&amp;(J172+0.01))&gt;0,"Yes","Not yet"))</f>
        <v/>
      </c>
      <c r="O172" s="21"/>
    </row>
    <row r="173" customFormat="false" ht="15" hidden="false" customHeight="false" outlineLevel="0" collapsed="false">
      <c r="A173" s="20"/>
      <c r="B173" s="21"/>
      <c r="C173" s="21"/>
      <c r="D173" s="21"/>
      <c r="E173" s="21"/>
      <c r="F173" s="22"/>
      <c r="G173" s="20"/>
      <c r="H173" s="23"/>
      <c r="I173" s="24"/>
      <c r="J173" s="14" t="str">
        <f aca="false">IF(C173="","",-E173*H173*IF(OR(B173="Sell call",B173="Buy to close",B173="Expired",B173="Assigned"),100,1)-I173)</f>
        <v/>
      </c>
      <c r="K173" s="21"/>
      <c r="L173" s="21"/>
      <c r="M173" s="21"/>
      <c r="N173" s="8" t="str">
        <f aca="false">IF(A173="","",IF(COUNTIFS(Reconcile!$I:$I,A173,Reconcile!$H:$H,"&gt;="&amp;(J173-0.01),Reconcile!$H:$H,"&lt;="&amp;(J173+0.01))&gt;0,"Yes","Not yet"))</f>
        <v/>
      </c>
      <c r="O173" s="21"/>
    </row>
    <row r="174" customFormat="false" ht="15" hidden="false" customHeight="false" outlineLevel="0" collapsed="false">
      <c r="A174" s="20"/>
      <c r="B174" s="21"/>
      <c r="C174" s="21"/>
      <c r="D174" s="21"/>
      <c r="E174" s="21"/>
      <c r="F174" s="22"/>
      <c r="G174" s="20"/>
      <c r="H174" s="23"/>
      <c r="I174" s="24"/>
      <c r="J174" s="14" t="str">
        <f aca="false">IF(C174="","",-E174*H174*IF(OR(B174="Sell call",B174="Buy to close",B174="Expired",B174="Assigned"),100,1)-I174)</f>
        <v/>
      </c>
      <c r="K174" s="21"/>
      <c r="L174" s="21"/>
      <c r="M174" s="21"/>
      <c r="N174" s="8" t="str">
        <f aca="false">IF(A174="","",IF(COUNTIFS(Reconcile!$I:$I,A174,Reconcile!$H:$H,"&gt;="&amp;(J174-0.01),Reconcile!$H:$H,"&lt;="&amp;(J174+0.01))&gt;0,"Yes","Not yet"))</f>
        <v/>
      </c>
      <c r="O174" s="21"/>
    </row>
    <row r="175" customFormat="false" ht="15" hidden="false" customHeight="false" outlineLevel="0" collapsed="false">
      <c r="A175" s="20"/>
      <c r="B175" s="21"/>
      <c r="C175" s="21"/>
      <c r="D175" s="21"/>
      <c r="E175" s="21"/>
      <c r="F175" s="22"/>
      <c r="G175" s="20"/>
      <c r="H175" s="23"/>
      <c r="I175" s="24"/>
      <c r="J175" s="14" t="str">
        <f aca="false">IF(C175="","",-E175*H175*IF(OR(B175="Sell call",B175="Buy to close",B175="Expired",B175="Assigned"),100,1)-I175)</f>
        <v/>
      </c>
      <c r="K175" s="21"/>
      <c r="L175" s="21"/>
      <c r="M175" s="21"/>
      <c r="N175" s="8" t="str">
        <f aca="false">IF(A175="","",IF(COUNTIFS(Reconcile!$I:$I,A175,Reconcile!$H:$H,"&gt;="&amp;(J175-0.01),Reconcile!$H:$H,"&lt;="&amp;(J175+0.01))&gt;0,"Yes","Not yet"))</f>
        <v/>
      </c>
      <c r="O175" s="21"/>
    </row>
    <row r="176" customFormat="false" ht="15" hidden="false" customHeight="false" outlineLevel="0" collapsed="false">
      <c r="A176" s="20"/>
      <c r="B176" s="21"/>
      <c r="C176" s="21"/>
      <c r="D176" s="21"/>
      <c r="E176" s="21"/>
      <c r="F176" s="22"/>
      <c r="G176" s="20"/>
      <c r="H176" s="23"/>
      <c r="I176" s="24"/>
      <c r="J176" s="14" t="str">
        <f aca="false">IF(C176="","",-E176*H176*IF(OR(B176="Sell call",B176="Buy to close",B176="Expired",B176="Assigned"),100,1)-I176)</f>
        <v/>
      </c>
      <c r="K176" s="21"/>
      <c r="L176" s="21"/>
      <c r="M176" s="21"/>
      <c r="N176" s="8" t="str">
        <f aca="false">IF(A176="","",IF(COUNTIFS(Reconcile!$I:$I,A176,Reconcile!$H:$H,"&gt;="&amp;(J176-0.01),Reconcile!$H:$H,"&lt;="&amp;(J176+0.01))&gt;0,"Yes","Not yet"))</f>
        <v/>
      </c>
      <c r="O176" s="21"/>
    </row>
    <row r="177" customFormat="false" ht="15" hidden="false" customHeight="false" outlineLevel="0" collapsed="false">
      <c r="A177" s="20"/>
      <c r="B177" s="21"/>
      <c r="C177" s="21"/>
      <c r="D177" s="21"/>
      <c r="E177" s="21"/>
      <c r="F177" s="22"/>
      <c r="G177" s="20"/>
      <c r="H177" s="23"/>
      <c r="I177" s="24"/>
      <c r="J177" s="14" t="str">
        <f aca="false">IF(C177="","",-E177*H177*IF(OR(B177="Sell call",B177="Buy to close",B177="Expired",B177="Assigned"),100,1)-I177)</f>
        <v/>
      </c>
      <c r="K177" s="21"/>
      <c r="L177" s="21"/>
      <c r="M177" s="21"/>
      <c r="N177" s="8" t="str">
        <f aca="false">IF(A177="","",IF(COUNTIFS(Reconcile!$I:$I,A177,Reconcile!$H:$H,"&gt;="&amp;(J177-0.01),Reconcile!$H:$H,"&lt;="&amp;(J177+0.01))&gt;0,"Yes","Not yet"))</f>
        <v/>
      </c>
      <c r="O177" s="21"/>
    </row>
    <row r="178" customFormat="false" ht="15" hidden="false" customHeight="false" outlineLevel="0" collapsed="false">
      <c r="A178" s="20"/>
      <c r="B178" s="21"/>
      <c r="C178" s="21"/>
      <c r="D178" s="21"/>
      <c r="E178" s="21"/>
      <c r="F178" s="22"/>
      <c r="G178" s="20"/>
      <c r="H178" s="23"/>
      <c r="I178" s="24"/>
      <c r="J178" s="14" t="str">
        <f aca="false">IF(C178="","",-E178*H178*IF(OR(B178="Sell call",B178="Buy to close",B178="Expired",B178="Assigned"),100,1)-I178)</f>
        <v/>
      </c>
      <c r="K178" s="21"/>
      <c r="L178" s="21"/>
      <c r="M178" s="21"/>
      <c r="N178" s="8" t="str">
        <f aca="false">IF(A178="","",IF(COUNTIFS(Reconcile!$I:$I,A178,Reconcile!$H:$H,"&gt;="&amp;(J178-0.01),Reconcile!$H:$H,"&lt;="&amp;(J178+0.01))&gt;0,"Yes","Not yet"))</f>
        <v/>
      </c>
      <c r="O178" s="21"/>
    </row>
    <row r="179" customFormat="false" ht="15" hidden="false" customHeight="false" outlineLevel="0" collapsed="false">
      <c r="A179" s="20"/>
      <c r="B179" s="21"/>
      <c r="C179" s="21"/>
      <c r="D179" s="21"/>
      <c r="E179" s="21"/>
      <c r="F179" s="22"/>
      <c r="G179" s="20"/>
      <c r="H179" s="23"/>
      <c r="I179" s="24"/>
      <c r="J179" s="14" t="str">
        <f aca="false">IF(C179="","",-E179*H179*IF(OR(B179="Sell call",B179="Buy to close",B179="Expired",B179="Assigned"),100,1)-I179)</f>
        <v/>
      </c>
      <c r="K179" s="21"/>
      <c r="L179" s="21"/>
      <c r="M179" s="21"/>
      <c r="N179" s="8" t="str">
        <f aca="false">IF(A179="","",IF(COUNTIFS(Reconcile!$I:$I,A179,Reconcile!$H:$H,"&gt;="&amp;(J179-0.01),Reconcile!$H:$H,"&lt;="&amp;(J179+0.01))&gt;0,"Yes","Not yet"))</f>
        <v/>
      </c>
      <c r="O179" s="21"/>
    </row>
    <row r="180" customFormat="false" ht="15" hidden="false" customHeight="false" outlineLevel="0" collapsed="false">
      <c r="A180" s="20"/>
      <c r="B180" s="21"/>
      <c r="C180" s="21"/>
      <c r="D180" s="21"/>
      <c r="E180" s="21"/>
      <c r="F180" s="22"/>
      <c r="G180" s="20"/>
      <c r="H180" s="23"/>
      <c r="I180" s="24"/>
      <c r="J180" s="14" t="str">
        <f aca="false">IF(C180="","",-E180*H180*IF(OR(B180="Sell call",B180="Buy to close",B180="Expired",B180="Assigned"),100,1)-I180)</f>
        <v/>
      </c>
      <c r="K180" s="21"/>
      <c r="L180" s="21"/>
      <c r="M180" s="21"/>
      <c r="N180" s="8" t="str">
        <f aca="false">IF(A180="","",IF(COUNTIFS(Reconcile!$I:$I,A180,Reconcile!$H:$H,"&gt;="&amp;(J180-0.01),Reconcile!$H:$H,"&lt;="&amp;(J180+0.01))&gt;0,"Yes","Not yet"))</f>
        <v/>
      </c>
      <c r="O180" s="21"/>
    </row>
    <row r="181" customFormat="false" ht="15" hidden="false" customHeight="false" outlineLevel="0" collapsed="false">
      <c r="A181" s="20"/>
      <c r="B181" s="21"/>
      <c r="C181" s="21"/>
      <c r="D181" s="21"/>
      <c r="E181" s="21"/>
      <c r="F181" s="22"/>
      <c r="G181" s="20"/>
      <c r="H181" s="23"/>
      <c r="I181" s="24"/>
      <c r="J181" s="14" t="str">
        <f aca="false">IF(C181="","",-E181*H181*IF(OR(B181="Sell call",B181="Buy to close",B181="Expired",B181="Assigned"),100,1)-I181)</f>
        <v/>
      </c>
      <c r="K181" s="21"/>
      <c r="L181" s="21"/>
      <c r="M181" s="21"/>
      <c r="N181" s="8" t="str">
        <f aca="false">IF(A181="","",IF(COUNTIFS(Reconcile!$I:$I,A181,Reconcile!$H:$H,"&gt;="&amp;(J181-0.01),Reconcile!$H:$H,"&lt;="&amp;(J181+0.01))&gt;0,"Yes","Not yet"))</f>
        <v/>
      </c>
      <c r="O181" s="21"/>
    </row>
    <row r="182" customFormat="false" ht="15" hidden="false" customHeight="false" outlineLevel="0" collapsed="false">
      <c r="A182" s="20"/>
      <c r="B182" s="21"/>
      <c r="C182" s="21"/>
      <c r="D182" s="21"/>
      <c r="E182" s="21"/>
      <c r="F182" s="22"/>
      <c r="G182" s="20"/>
      <c r="H182" s="23"/>
      <c r="I182" s="24"/>
      <c r="J182" s="14" t="str">
        <f aca="false">IF(C182="","",-E182*H182*IF(OR(B182="Sell call",B182="Buy to close",B182="Expired",B182="Assigned"),100,1)-I182)</f>
        <v/>
      </c>
      <c r="K182" s="21"/>
      <c r="L182" s="21"/>
      <c r="M182" s="21"/>
      <c r="N182" s="8" t="str">
        <f aca="false">IF(A182="","",IF(COUNTIFS(Reconcile!$I:$I,A182,Reconcile!$H:$H,"&gt;="&amp;(J182-0.01),Reconcile!$H:$H,"&lt;="&amp;(J182+0.01))&gt;0,"Yes","Not yet"))</f>
        <v/>
      </c>
      <c r="O182" s="21"/>
    </row>
    <row r="183" customFormat="false" ht="15" hidden="false" customHeight="false" outlineLevel="0" collapsed="false">
      <c r="A183" s="20"/>
      <c r="B183" s="21"/>
      <c r="C183" s="21"/>
      <c r="D183" s="21"/>
      <c r="E183" s="21"/>
      <c r="F183" s="22"/>
      <c r="G183" s="20"/>
      <c r="H183" s="23"/>
      <c r="I183" s="24"/>
      <c r="J183" s="14" t="str">
        <f aca="false">IF(C183="","",-E183*H183*IF(OR(B183="Sell call",B183="Buy to close",B183="Expired",B183="Assigned"),100,1)-I183)</f>
        <v/>
      </c>
      <c r="K183" s="21"/>
      <c r="L183" s="21"/>
      <c r="M183" s="21"/>
      <c r="N183" s="8" t="str">
        <f aca="false">IF(A183="","",IF(COUNTIFS(Reconcile!$I:$I,A183,Reconcile!$H:$H,"&gt;="&amp;(J183-0.01),Reconcile!$H:$H,"&lt;="&amp;(J183+0.01))&gt;0,"Yes","Not yet"))</f>
        <v/>
      </c>
      <c r="O183" s="21"/>
    </row>
    <row r="184" customFormat="false" ht="15" hidden="false" customHeight="false" outlineLevel="0" collapsed="false">
      <c r="A184" s="20"/>
      <c r="B184" s="21"/>
      <c r="C184" s="21"/>
      <c r="D184" s="21"/>
      <c r="E184" s="21"/>
      <c r="F184" s="22"/>
      <c r="G184" s="20"/>
      <c r="H184" s="23"/>
      <c r="I184" s="24"/>
      <c r="J184" s="14" t="str">
        <f aca="false">IF(C184="","",-E184*H184*IF(OR(B184="Sell call",B184="Buy to close",B184="Expired",B184="Assigned"),100,1)-I184)</f>
        <v/>
      </c>
      <c r="K184" s="21"/>
      <c r="L184" s="21"/>
      <c r="M184" s="21"/>
      <c r="N184" s="8" t="str">
        <f aca="false">IF(A184="","",IF(COUNTIFS(Reconcile!$I:$I,A184,Reconcile!$H:$H,"&gt;="&amp;(J184-0.01),Reconcile!$H:$H,"&lt;="&amp;(J184+0.01))&gt;0,"Yes","Not yet"))</f>
        <v/>
      </c>
      <c r="O184" s="21"/>
    </row>
    <row r="185" customFormat="false" ht="15" hidden="false" customHeight="false" outlineLevel="0" collapsed="false">
      <c r="A185" s="20"/>
      <c r="B185" s="21"/>
      <c r="C185" s="21"/>
      <c r="D185" s="21"/>
      <c r="E185" s="21"/>
      <c r="F185" s="22"/>
      <c r="G185" s="20"/>
      <c r="H185" s="23"/>
      <c r="I185" s="24"/>
      <c r="J185" s="14" t="str">
        <f aca="false">IF(C185="","",-E185*H185*IF(OR(B185="Sell call",B185="Buy to close",B185="Expired",B185="Assigned"),100,1)-I185)</f>
        <v/>
      </c>
      <c r="K185" s="21"/>
      <c r="L185" s="21"/>
      <c r="M185" s="21"/>
      <c r="N185" s="8" t="str">
        <f aca="false">IF(A185="","",IF(COUNTIFS(Reconcile!$I:$I,A185,Reconcile!$H:$H,"&gt;="&amp;(J185-0.01),Reconcile!$H:$H,"&lt;="&amp;(J185+0.01))&gt;0,"Yes","Not yet"))</f>
        <v/>
      </c>
      <c r="O185" s="21"/>
    </row>
    <row r="186" customFormat="false" ht="15" hidden="false" customHeight="false" outlineLevel="0" collapsed="false">
      <c r="A186" s="20"/>
      <c r="B186" s="21"/>
      <c r="C186" s="21"/>
      <c r="D186" s="21"/>
      <c r="E186" s="21"/>
      <c r="F186" s="22"/>
      <c r="G186" s="20"/>
      <c r="H186" s="23"/>
      <c r="I186" s="24"/>
      <c r="J186" s="14" t="str">
        <f aca="false">IF(C186="","",-E186*H186*IF(OR(B186="Sell call",B186="Buy to close",B186="Expired",B186="Assigned"),100,1)-I186)</f>
        <v/>
      </c>
      <c r="K186" s="21"/>
      <c r="L186" s="21"/>
      <c r="M186" s="21"/>
      <c r="N186" s="8" t="str">
        <f aca="false">IF(A186="","",IF(COUNTIFS(Reconcile!$I:$I,A186,Reconcile!$H:$H,"&gt;="&amp;(J186-0.01),Reconcile!$H:$H,"&lt;="&amp;(J186+0.01))&gt;0,"Yes","Not yet"))</f>
        <v/>
      </c>
      <c r="O186" s="21"/>
    </row>
    <row r="187" customFormat="false" ht="15" hidden="false" customHeight="false" outlineLevel="0" collapsed="false">
      <c r="A187" s="20"/>
      <c r="B187" s="21"/>
      <c r="C187" s="21"/>
      <c r="D187" s="21"/>
      <c r="E187" s="21"/>
      <c r="F187" s="22"/>
      <c r="G187" s="20"/>
      <c r="H187" s="23"/>
      <c r="I187" s="24"/>
      <c r="J187" s="14" t="str">
        <f aca="false">IF(C187="","",-E187*H187*IF(OR(B187="Sell call",B187="Buy to close",B187="Expired",B187="Assigned"),100,1)-I187)</f>
        <v/>
      </c>
      <c r="K187" s="21"/>
      <c r="L187" s="21"/>
      <c r="M187" s="21"/>
      <c r="N187" s="8" t="str">
        <f aca="false">IF(A187="","",IF(COUNTIFS(Reconcile!$I:$I,A187,Reconcile!$H:$H,"&gt;="&amp;(J187-0.01),Reconcile!$H:$H,"&lt;="&amp;(J187+0.01))&gt;0,"Yes","Not yet"))</f>
        <v/>
      </c>
      <c r="O187" s="21"/>
    </row>
    <row r="188" customFormat="false" ht="15" hidden="false" customHeight="false" outlineLevel="0" collapsed="false">
      <c r="A188" s="20"/>
      <c r="B188" s="21"/>
      <c r="C188" s="21"/>
      <c r="D188" s="21"/>
      <c r="E188" s="21"/>
      <c r="F188" s="22"/>
      <c r="G188" s="20"/>
      <c r="H188" s="23"/>
      <c r="I188" s="24"/>
      <c r="J188" s="14" t="str">
        <f aca="false">IF(C188="","",-E188*H188*IF(OR(B188="Sell call",B188="Buy to close",B188="Expired",B188="Assigned"),100,1)-I188)</f>
        <v/>
      </c>
      <c r="K188" s="21"/>
      <c r="L188" s="21"/>
      <c r="M188" s="21"/>
      <c r="N188" s="8" t="str">
        <f aca="false">IF(A188="","",IF(COUNTIFS(Reconcile!$I:$I,A188,Reconcile!$H:$H,"&gt;="&amp;(J188-0.01),Reconcile!$H:$H,"&lt;="&amp;(J188+0.01))&gt;0,"Yes","Not yet"))</f>
        <v/>
      </c>
      <c r="O188" s="21"/>
    </row>
    <row r="189" customFormat="false" ht="15" hidden="false" customHeight="false" outlineLevel="0" collapsed="false">
      <c r="A189" s="20"/>
      <c r="B189" s="21"/>
      <c r="C189" s="21"/>
      <c r="D189" s="21"/>
      <c r="E189" s="21"/>
      <c r="F189" s="22"/>
      <c r="G189" s="20"/>
      <c r="H189" s="23"/>
      <c r="I189" s="24"/>
      <c r="J189" s="14" t="str">
        <f aca="false">IF(C189="","",-E189*H189*IF(OR(B189="Sell call",B189="Buy to close",B189="Expired",B189="Assigned"),100,1)-I189)</f>
        <v/>
      </c>
      <c r="K189" s="21"/>
      <c r="L189" s="21"/>
      <c r="M189" s="21"/>
      <c r="N189" s="8" t="str">
        <f aca="false">IF(A189="","",IF(COUNTIFS(Reconcile!$I:$I,A189,Reconcile!$H:$H,"&gt;="&amp;(J189-0.01),Reconcile!$H:$H,"&lt;="&amp;(J189+0.01))&gt;0,"Yes","Not yet"))</f>
        <v/>
      </c>
      <c r="O189" s="21"/>
    </row>
    <row r="190" customFormat="false" ht="15" hidden="false" customHeight="false" outlineLevel="0" collapsed="false">
      <c r="A190" s="20"/>
      <c r="B190" s="21"/>
      <c r="C190" s="21"/>
      <c r="D190" s="21"/>
      <c r="E190" s="21"/>
      <c r="F190" s="22"/>
      <c r="G190" s="20"/>
      <c r="H190" s="23"/>
      <c r="I190" s="24"/>
      <c r="J190" s="14" t="str">
        <f aca="false">IF(C190="","",-E190*H190*IF(OR(B190="Sell call",B190="Buy to close",B190="Expired",B190="Assigned"),100,1)-I190)</f>
        <v/>
      </c>
      <c r="K190" s="21"/>
      <c r="L190" s="21"/>
      <c r="M190" s="21"/>
      <c r="N190" s="8" t="str">
        <f aca="false">IF(A190="","",IF(COUNTIFS(Reconcile!$I:$I,A190,Reconcile!$H:$H,"&gt;="&amp;(J190-0.01),Reconcile!$H:$H,"&lt;="&amp;(J190+0.01))&gt;0,"Yes","Not yet"))</f>
        <v/>
      </c>
      <c r="O190" s="21"/>
    </row>
    <row r="191" customFormat="false" ht="15" hidden="false" customHeight="false" outlineLevel="0" collapsed="false">
      <c r="A191" s="20"/>
      <c r="B191" s="21"/>
      <c r="C191" s="21"/>
      <c r="D191" s="21"/>
      <c r="E191" s="21"/>
      <c r="F191" s="22"/>
      <c r="G191" s="20"/>
      <c r="H191" s="23"/>
      <c r="I191" s="24"/>
      <c r="J191" s="14" t="str">
        <f aca="false">IF(C191="","",-E191*H191*IF(OR(B191="Sell call",B191="Buy to close",B191="Expired",B191="Assigned"),100,1)-I191)</f>
        <v/>
      </c>
      <c r="K191" s="21"/>
      <c r="L191" s="21"/>
      <c r="M191" s="21"/>
      <c r="N191" s="8" t="str">
        <f aca="false">IF(A191="","",IF(COUNTIFS(Reconcile!$I:$I,A191,Reconcile!$H:$H,"&gt;="&amp;(J191-0.01),Reconcile!$H:$H,"&lt;="&amp;(J191+0.01))&gt;0,"Yes","Not yet"))</f>
        <v/>
      </c>
      <c r="O191" s="21"/>
    </row>
    <row r="192" customFormat="false" ht="15" hidden="false" customHeight="false" outlineLevel="0" collapsed="false">
      <c r="A192" s="20"/>
      <c r="B192" s="21"/>
      <c r="C192" s="21"/>
      <c r="D192" s="21"/>
      <c r="E192" s="21"/>
      <c r="F192" s="22"/>
      <c r="G192" s="20"/>
      <c r="H192" s="23"/>
      <c r="I192" s="24"/>
      <c r="J192" s="14" t="str">
        <f aca="false">IF(C192="","",-E192*H192*IF(OR(B192="Sell call",B192="Buy to close",B192="Expired",B192="Assigned"),100,1)-I192)</f>
        <v/>
      </c>
      <c r="K192" s="21"/>
      <c r="L192" s="21"/>
      <c r="M192" s="21"/>
      <c r="N192" s="8" t="str">
        <f aca="false">IF(A192="","",IF(COUNTIFS(Reconcile!$I:$I,A192,Reconcile!$H:$H,"&gt;="&amp;(J192-0.01),Reconcile!$H:$H,"&lt;="&amp;(J192+0.01))&gt;0,"Yes","Not yet"))</f>
        <v/>
      </c>
      <c r="O192" s="21"/>
    </row>
    <row r="193" customFormat="false" ht="15" hidden="false" customHeight="false" outlineLevel="0" collapsed="false">
      <c r="A193" s="20"/>
      <c r="B193" s="21"/>
      <c r="C193" s="21"/>
      <c r="D193" s="21"/>
      <c r="E193" s="21"/>
      <c r="F193" s="22"/>
      <c r="G193" s="20"/>
      <c r="H193" s="23"/>
      <c r="I193" s="24"/>
      <c r="J193" s="14" t="str">
        <f aca="false">IF(C193="","",-E193*H193*IF(OR(B193="Sell call",B193="Buy to close",B193="Expired",B193="Assigned"),100,1)-I193)</f>
        <v/>
      </c>
      <c r="K193" s="21"/>
      <c r="L193" s="21"/>
      <c r="M193" s="21"/>
      <c r="N193" s="8" t="str">
        <f aca="false">IF(A193="","",IF(COUNTIFS(Reconcile!$I:$I,A193,Reconcile!$H:$H,"&gt;="&amp;(J193-0.01),Reconcile!$H:$H,"&lt;="&amp;(J193+0.01))&gt;0,"Yes","Not yet"))</f>
        <v/>
      </c>
      <c r="O193" s="21"/>
    </row>
    <row r="194" customFormat="false" ht="15" hidden="false" customHeight="false" outlineLevel="0" collapsed="false">
      <c r="A194" s="20"/>
      <c r="B194" s="21"/>
      <c r="C194" s="21"/>
      <c r="D194" s="21"/>
      <c r="E194" s="21"/>
      <c r="F194" s="22"/>
      <c r="G194" s="20"/>
      <c r="H194" s="23"/>
      <c r="I194" s="24"/>
      <c r="J194" s="14" t="str">
        <f aca="false">IF(C194="","",-E194*H194*IF(OR(B194="Sell call",B194="Buy to close",B194="Expired",B194="Assigned"),100,1)-I194)</f>
        <v/>
      </c>
      <c r="K194" s="21"/>
      <c r="L194" s="21"/>
      <c r="M194" s="21"/>
      <c r="N194" s="8" t="str">
        <f aca="false">IF(A194="","",IF(COUNTIFS(Reconcile!$I:$I,A194,Reconcile!$H:$H,"&gt;="&amp;(J194-0.01),Reconcile!$H:$H,"&lt;="&amp;(J194+0.01))&gt;0,"Yes","Not yet"))</f>
        <v/>
      </c>
      <c r="O194" s="21"/>
    </row>
    <row r="195" customFormat="false" ht="15" hidden="false" customHeight="false" outlineLevel="0" collapsed="false">
      <c r="A195" s="20"/>
      <c r="B195" s="21"/>
      <c r="C195" s="21"/>
      <c r="D195" s="21"/>
      <c r="E195" s="21"/>
      <c r="F195" s="22"/>
      <c r="G195" s="20"/>
      <c r="H195" s="23"/>
      <c r="I195" s="24"/>
      <c r="J195" s="14" t="str">
        <f aca="false">IF(C195="","",-E195*H195*IF(OR(B195="Sell call",B195="Buy to close",B195="Expired",B195="Assigned"),100,1)-I195)</f>
        <v/>
      </c>
      <c r="K195" s="21"/>
      <c r="L195" s="21"/>
      <c r="M195" s="21"/>
      <c r="N195" s="8" t="str">
        <f aca="false">IF(A195="","",IF(COUNTIFS(Reconcile!$I:$I,A195,Reconcile!$H:$H,"&gt;="&amp;(J195-0.01),Reconcile!$H:$H,"&lt;="&amp;(J195+0.01))&gt;0,"Yes","Not yet"))</f>
        <v/>
      </c>
      <c r="O195" s="21"/>
    </row>
    <row r="196" customFormat="false" ht="15" hidden="false" customHeight="false" outlineLevel="0" collapsed="false">
      <c r="A196" s="20"/>
      <c r="B196" s="21"/>
      <c r="C196" s="21"/>
      <c r="D196" s="21"/>
      <c r="E196" s="21"/>
      <c r="F196" s="22"/>
      <c r="G196" s="20"/>
      <c r="H196" s="23"/>
      <c r="I196" s="24"/>
      <c r="J196" s="14" t="str">
        <f aca="false">IF(C196="","",-E196*H196*IF(OR(B196="Sell call",B196="Buy to close",B196="Expired",B196="Assigned"),100,1)-I196)</f>
        <v/>
      </c>
      <c r="K196" s="21"/>
      <c r="L196" s="21"/>
      <c r="M196" s="21"/>
      <c r="N196" s="8" t="str">
        <f aca="false">IF(A196="","",IF(COUNTIFS(Reconcile!$I:$I,A196,Reconcile!$H:$H,"&gt;="&amp;(J196-0.01),Reconcile!$H:$H,"&lt;="&amp;(J196+0.01))&gt;0,"Yes","Not yet"))</f>
        <v/>
      </c>
      <c r="O196" s="21"/>
    </row>
    <row r="197" customFormat="false" ht="15" hidden="false" customHeight="false" outlineLevel="0" collapsed="false">
      <c r="A197" s="20"/>
      <c r="B197" s="21"/>
      <c r="C197" s="21"/>
      <c r="D197" s="21"/>
      <c r="E197" s="21"/>
      <c r="F197" s="22"/>
      <c r="G197" s="20"/>
      <c r="H197" s="23"/>
      <c r="I197" s="24"/>
      <c r="J197" s="14" t="str">
        <f aca="false">IF(C197="","",-E197*H197*IF(OR(B197="Sell call",B197="Buy to close",B197="Expired",B197="Assigned"),100,1)-I197)</f>
        <v/>
      </c>
      <c r="K197" s="21"/>
      <c r="L197" s="21"/>
      <c r="M197" s="21"/>
      <c r="N197" s="8" t="str">
        <f aca="false">IF(A197="","",IF(COUNTIFS(Reconcile!$I:$I,A197,Reconcile!$H:$H,"&gt;="&amp;(J197-0.01),Reconcile!$H:$H,"&lt;="&amp;(J197+0.01))&gt;0,"Yes","Not yet"))</f>
        <v/>
      </c>
      <c r="O197" s="21"/>
    </row>
    <row r="198" customFormat="false" ht="15" hidden="false" customHeight="false" outlineLevel="0" collapsed="false">
      <c r="A198" s="20"/>
      <c r="B198" s="21"/>
      <c r="C198" s="21"/>
      <c r="D198" s="21"/>
      <c r="E198" s="21"/>
      <c r="F198" s="22"/>
      <c r="G198" s="20"/>
      <c r="H198" s="23"/>
      <c r="I198" s="24"/>
      <c r="J198" s="14" t="str">
        <f aca="false">IF(C198="","",-E198*H198*IF(OR(B198="Sell call",B198="Buy to close",B198="Expired",B198="Assigned"),100,1)-I198)</f>
        <v/>
      </c>
      <c r="K198" s="21"/>
      <c r="L198" s="21"/>
      <c r="M198" s="21"/>
      <c r="N198" s="8" t="str">
        <f aca="false">IF(A198="","",IF(COUNTIFS(Reconcile!$I:$I,A198,Reconcile!$H:$H,"&gt;="&amp;(J198-0.01),Reconcile!$H:$H,"&lt;="&amp;(J198+0.01))&gt;0,"Yes","Not yet"))</f>
        <v/>
      </c>
      <c r="O198" s="21"/>
    </row>
    <row r="199" customFormat="false" ht="15" hidden="false" customHeight="false" outlineLevel="0" collapsed="false">
      <c r="A199" s="20"/>
      <c r="B199" s="21"/>
      <c r="C199" s="21"/>
      <c r="D199" s="21"/>
      <c r="E199" s="21"/>
      <c r="F199" s="22"/>
      <c r="G199" s="20"/>
      <c r="H199" s="23"/>
      <c r="I199" s="24"/>
      <c r="J199" s="14" t="str">
        <f aca="false">IF(C199="","",-E199*H199*IF(OR(B199="Sell call",B199="Buy to close",B199="Expired",B199="Assigned"),100,1)-I199)</f>
        <v/>
      </c>
      <c r="K199" s="21"/>
      <c r="L199" s="21"/>
      <c r="M199" s="21"/>
      <c r="N199" s="8" t="str">
        <f aca="false">IF(A199="","",IF(COUNTIFS(Reconcile!$I:$I,A199,Reconcile!$H:$H,"&gt;="&amp;(J199-0.01),Reconcile!$H:$H,"&lt;="&amp;(J199+0.01))&gt;0,"Yes","Not yet"))</f>
        <v/>
      </c>
      <c r="O199" s="21"/>
    </row>
    <row r="200" customFormat="false" ht="15" hidden="false" customHeight="false" outlineLevel="0" collapsed="false">
      <c r="A200" s="20"/>
      <c r="B200" s="21"/>
      <c r="C200" s="21"/>
      <c r="D200" s="21"/>
      <c r="E200" s="21"/>
      <c r="F200" s="22"/>
      <c r="G200" s="20"/>
      <c r="H200" s="23"/>
      <c r="I200" s="24"/>
      <c r="J200" s="14" t="str">
        <f aca="false">IF(C200="","",-E200*H200*IF(OR(B200="Sell call",B200="Buy to close",B200="Expired",B200="Assigned"),100,1)-I200)</f>
        <v/>
      </c>
      <c r="K200" s="21"/>
      <c r="L200" s="21"/>
      <c r="M200" s="21"/>
      <c r="N200" s="8" t="str">
        <f aca="false">IF(A200="","",IF(COUNTIFS(Reconcile!$I:$I,A200,Reconcile!$H:$H,"&gt;="&amp;(J200-0.01),Reconcile!$H:$H,"&lt;="&amp;(J200+0.01))&gt;0,"Yes","Not yet"))</f>
        <v/>
      </c>
      <c r="O200" s="21"/>
    </row>
    <row r="201" customFormat="false" ht="15" hidden="false" customHeight="false" outlineLevel="0" collapsed="false">
      <c r="A201" s="20"/>
      <c r="B201" s="21"/>
      <c r="C201" s="21"/>
      <c r="D201" s="21"/>
      <c r="E201" s="21"/>
      <c r="F201" s="22"/>
      <c r="G201" s="20"/>
      <c r="H201" s="23"/>
      <c r="I201" s="24"/>
      <c r="J201" s="14" t="str">
        <f aca="false">IF(C201="","",-E201*H201*IF(OR(B201="Sell call",B201="Buy to close",B201="Expired",B201="Assigned"),100,1)-I201)</f>
        <v/>
      </c>
      <c r="K201" s="21"/>
      <c r="L201" s="21"/>
      <c r="M201" s="21"/>
      <c r="N201" s="8" t="str">
        <f aca="false">IF(A201="","",IF(COUNTIFS(Reconcile!$I:$I,A201,Reconcile!$H:$H,"&gt;="&amp;(J201-0.01),Reconcile!$H:$H,"&lt;="&amp;(J201+0.01))&gt;0,"Yes","Not yet"))</f>
        <v/>
      </c>
      <c r="O201" s="21"/>
    </row>
    <row r="202" customFormat="false" ht="15" hidden="false" customHeight="false" outlineLevel="0" collapsed="false">
      <c r="A202" s="20"/>
      <c r="B202" s="21"/>
      <c r="C202" s="21"/>
      <c r="D202" s="21"/>
      <c r="E202" s="21"/>
      <c r="F202" s="22"/>
      <c r="G202" s="20"/>
      <c r="H202" s="23"/>
      <c r="I202" s="24"/>
      <c r="J202" s="14" t="str">
        <f aca="false">IF(C202="","",-E202*H202*IF(OR(B202="Sell call",B202="Buy to close",B202="Expired",B202="Assigned"),100,1)-I202)</f>
        <v/>
      </c>
      <c r="K202" s="21"/>
      <c r="L202" s="21"/>
      <c r="M202" s="21"/>
      <c r="N202" s="8" t="str">
        <f aca="false">IF(A202="","",IF(COUNTIFS(Reconcile!$I:$I,A202,Reconcile!$H:$H,"&gt;="&amp;(J202-0.01),Reconcile!$H:$H,"&lt;="&amp;(J202+0.01))&gt;0,"Yes","Not yet"))</f>
        <v/>
      </c>
      <c r="O202" s="21"/>
    </row>
    <row r="203" customFormat="false" ht="15" hidden="false" customHeight="false" outlineLevel="0" collapsed="false">
      <c r="A203" s="20"/>
      <c r="B203" s="21"/>
      <c r="C203" s="21"/>
      <c r="D203" s="21"/>
      <c r="E203" s="21"/>
      <c r="F203" s="22"/>
      <c r="G203" s="20"/>
      <c r="H203" s="23"/>
      <c r="I203" s="24"/>
      <c r="J203" s="14" t="str">
        <f aca="false">IF(C203="","",-E203*H203*IF(OR(B203="Sell call",B203="Buy to close",B203="Expired",B203="Assigned"),100,1)-I203)</f>
        <v/>
      </c>
      <c r="K203" s="21"/>
      <c r="L203" s="21"/>
      <c r="M203" s="21"/>
      <c r="N203" s="8" t="str">
        <f aca="false">IF(A203="","",IF(COUNTIFS(Reconcile!$I:$I,A203,Reconcile!$H:$H,"&gt;="&amp;(J203-0.01),Reconcile!$H:$H,"&lt;="&amp;(J203+0.01))&gt;0,"Yes","Not yet"))</f>
        <v/>
      </c>
      <c r="O203" s="21"/>
    </row>
    <row r="204" customFormat="false" ht="15" hidden="false" customHeight="false" outlineLevel="0" collapsed="false">
      <c r="A204" s="20"/>
      <c r="B204" s="21"/>
      <c r="C204" s="21"/>
      <c r="D204" s="21"/>
      <c r="E204" s="21"/>
      <c r="F204" s="22"/>
      <c r="G204" s="20"/>
      <c r="H204" s="23"/>
      <c r="I204" s="24"/>
      <c r="J204" s="14" t="str">
        <f aca="false">IF(C204="","",-E204*H204*IF(OR(B204="Sell call",B204="Buy to close",B204="Expired",B204="Assigned"),100,1)-I204)</f>
        <v/>
      </c>
      <c r="K204" s="21"/>
      <c r="L204" s="21"/>
      <c r="M204" s="21"/>
      <c r="N204" s="8" t="str">
        <f aca="false">IF(A204="","",IF(COUNTIFS(Reconcile!$I:$I,A204,Reconcile!$H:$H,"&gt;="&amp;(J204-0.01),Reconcile!$H:$H,"&lt;="&amp;(J204+0.01))&gt;0,"Yes","Not yet"))</f>
        <v/>
      </c>
      <c r="O204" s="21"/>
    </row>
    <row r="205" customFormat="false" ht="15" hidden="false" customHeight="false" outlineLevel="0" collapsed="false">
      <c r="A205" s="20"/>
      <c r="B205" s="21"/>
      <c r="C205" s="21"/>
      <c r="D205" s="21"/>
      <c r="E205" s="21"/>
      <c r="F205" s="22"/>
      <c r="G205" s="20"/>
      <c r="H205" s="23"/>
      <c r="I205" s="24"/>
      <c r="J205" s="14" t="str">
        <f aca="false">IF(C205="","",-E205*H205*IF(OR(B205="Sell call",B205="Buy to close",B205="Expired",B205="Assigned"),100,1)-I205)</f>
        <v/>
      </c>
      <c r="K205" s="21"/>
      <c r="L205" s="21"/>
      <c r="M205" s="21"/>
      <c r="N205" s="8" t="str">
        <f aca="false">IF(A205="","",IF(COUNTIFS(Reconcile!$I:$I,A205,Reconcile!$H:$H,"&gt;="&amp;(J205-0.01),Reconcile!$H:$H,"&lt;="&amp;(J205+0.01))&gt;0,"Yes","Not yet"))</f>
        <v/>
      </c>
      <c r="O205" s="21"/>
    </row>
    <row r="206" customFormat="false" ht="15" hidden="false" customHeight="false" outlineLevel="0" collapsed="false">
      <c r="A206" s="20"/>
      <c r="B206" s="21"/>
      <c r="C206" s="21"/>
      <c r="D206" s="21"/>
      <c r="E206" s="21"/>
      <c r="F206" s="22"/>
      <c r="G206" s="20"/>
      <c r="H206" s="23"/>
      <c r="I206" s="24"/>
      <c r="J206" s="14" t="str">
        <f aca="false">IF(C206="","",-E206*H206*IF(OR(B206="Sell call",B206="Buy to close",B206="Expired",B206="Assigned"),100,1)-I206)</f>
        <v/>
      </c>
      <c r="K206" s="21"/>
      <c r="L206" s="21"/>
      <c r="M206" s="21"/>
      <c r="N206" s="8" t="str">
        <f aca="false">IF(A206="","",IF(COUNTIFS(Reconcile!$I:$I,A206,Reconcile!$H:$H,"&gt;="&amp;(J206-0.01),Reconcile!$H:$H,"&lt;="&amp;(J206+0.01))&gt;0,"Yes","Not yet"))</f>
        <v/>
      </c>
      <c r="O206" s="21"/>
    </row>
    <row r="207" customFormat="false" ht="15" hidden="false" customHeight="false" outlineLevel="0" collapsed="false">
      <c r="A207" s="20"/>
      <c r="B207" s="21"/>
      <c r="C207" s="21"/>
      <c r="D207" s="21"/>
      <c r="E207" s="21"/>
      <c r="F207" s="22"/>
      <c r="G207" s="20"/>
      <c r="H207" s="23"/>
      <c r="I207" s="24"/>
      <c r="J207" s="14" t="str">
        <f aca="false">IF(C207="","",-E207*H207*IF(OR(B207="Sell call",B207="Buy to close",B207="Expired",B207="Assigned"),100,1)-I207)</f>
        <v/>
      </c>
      <c r="K207" s="21"/>
      <c r="L207" s="21"/>
      <c r="M207" s="21"/>
      <c r="N207" s="8" t="str">
        <f aca="false">IF(A207="","",IF(COUNTIFS(Reconcile!$I:$I,A207,Reconcile!$H:$H,"&gt;="&amp;(J207-0.01),Reconcile!$H:$H,"&lt;="&amp;(J207+0.01))&gt;0,"Yes","Not yet"))</f>
        <v/>
      </c>
      <c r="O207" s="21"/>
    </row>
    <row r="208" customFormat="false" ht="15" hidden="false" customHeight="false" outlineLevel="0" collapsed="false">
      <c r="A208" s="20"/>
      <c r="B208" s="21"/>
      <c r="C208" s="21"/>
      <c r="D208" s="21"/>
      <c r="E208" s="21"/>
      <c r="F208" s="22"/>
      <c r="G208" s="20"/>
      <c r="H208" s="23"/>
      <c r="I208" s="24"/>
      <c r="J208" s="14" t="str">
        <f aca="false">IF(C208="","",-E208*H208*IF(OR(B208="Sell call",B208="Buy to close",B208="Expired",B208="Assigned"),100,1)-I208)</f>
        <v/>
      </c>
      <c r="K208" s="21"/>
      <c r="L208" s="21"/>
      <c r="M208" s="21"/>
      <c r="N208" s="8" t="str">
        <f aca="false">IF(A208="","",IF(COUNTIFS(Reconcile!$I:$I,A208,Reconcile!$H:$H,"&gt;="&amp;(J208-0.01),Reconcile!$H:$H,"&lt;="&amp;(J208+0.01))&gt;0,"Yes","Not yet"))</f>
        <v/>
      </c>
      <c r="O208" s="21"/>
    </row>
    <row r="209" customFormat="false" ht="15" hidden="false" customHeight="false" outlineLevel="0" collapsed="false">
      <c r="A209" s="20"/>
      <c r="B209" s="21"/>
      <c r="C209" s="21"/>
      <c r="D209" s="21"/>
      <c r="E209" s="21"/>
      <c r="F209" s="22"/>
      <c r="G209" s="20"/>
      <c r="H209" s="23"/>
      <c r="I209" s="24"/>
      <c r="J209" s="14" t="str">
        <f aca="false">IF(C209="","",-E209*H209*IF(OR(B209="Sell call",B209="Buy to close",B209="Expired",B209="Assigned"),100,1)-I209)</f>
        <v/>
      </c>
      <c r="K209" s="21"/>
      <c r="L209" s="21"/>
      <c r="M209" s="21"/>
      <c r="N209" s="8" t="str">
        <f aca="false">IF(A209="","",IF(COUNTIFS(Reconcile!$I:$I,A209,Reconcile!$H:$H,"&gt;="&amp;(J209-0.01),Reconcile!$H:$H,"&lt;="&amp;(J209+0.01))&gt;0,"Yes","Not yet"))</f>
        <v/>
      </c>
      <c r="O209" s="21"/>
    </row>
    <row r="210" customFormat="false" ht="15" hidden="false" customHeight="false" outlineLevel="0" collapsed="false">
      <c r="A210" s="20"/>
      <c r="B210" s="21"/>
      <c r="C210" s="21"/>
      <c r="D210" s="21"/>
      <c r="E210" s="21"/>
      <c r="F210" s="22"/>
      <c r="G210" s="20"/>
      <c r="H210" s="23"/>
      <c r="I210" s="24"/>
      <c r="J210" s="14" t="str">
        <f aca="false">IF(C210="","",-E210*H210*IF(OR(B210="Sell call",B210="Buy to close",B210="Expired",B210="Assigned"),100,1)-I210)</f>
        <v/>
      </c>
      <c r="K210" s="21"/>
      <c r="L210" s="21"/>
      <c r="M210" s="21"/>
      <c r="N210" s="8" t="str">
        <f aca="false">IF(A210="","",IF(COUNTIFS(Reconcile!$I:$I,A210,Reconcile!$H:$H,"&gt;="&amp;(J210-0.01),Reconcile!$H:$H,"&lt;="&amp;(J210+0.01))&gt;0,"Yes","Not yet"))</f>
        <v/>
      </c>
      <c r="O210" s="21"/>
    </row>
    <row r="211" customFormat="false" ht="15" hidden="false" customHeight="false" outlineLevel="0" collapsed="false">
      <c r="A211" s="20"/>
      <c r="B211" s="21"/>
      <c r="C211" s="21"/>
      <c r="D211" s="21"/>
      <c r="E211" s="21"/>
      <c r="F211" s="22"/>
      <c r="G211" s="20"/>
      <c r="H211" s="23"/>
      <c r="I211" s="24"/>
      <c r="J211" s="14" t="str">
        <f aca="false">IF(C211="","",-E211*H211*IF(OR(B211="Sell call",B211="Buy to close",B211="Expired",B211="Assigned"),100,1)-I211)</f>
        <v/>
      </c>
      <c r="K211" s="21"/>
      <c r="L211" s="21"/>
      <c r="M211" s="21"/>
      <c r="N211" s="8" t="str">
        <f aca="false">IF(A211="","",IF(COUNTIFS(Reconcile!$I:$I,A211,Reconcile!$H:$H,"&gt;="&amp;(J211-0.01),Reconcile!$H:$H,"&lt;="&amp;(J211+0.01))&gt;0,"Yes","Not yet"))</f>
        <v/>
      </c>
      <c r="O211" s="21"/>
    </row>
    <row r="212" customFormat="false" ht="15" hidden="false" customHeight="false" outlineLevel="0" collapsed="false">
      <c r="A212" s="20"/>
      <c r="B212" s="21"/>
      <c r="C212" s="21"/>
      <c r="D212" s="21"/>
      <c r="E212" s="21"/>
      <c r="F212" s="22"/>
      <c r="G212" s="20"/>
      <c r="H212" s="23"/>
      <c r="I212" s="24"/>
      <c r="J212" s="14" t="str">
        <f aca="false">IF(C212="","",-E212*H212*IF(OR(B212="Sell call",B212="Buy to close",B212="Expired",B212="Assigned"),100,1)-I212)</f>
        <v/>
      </c>
      <c r="K212" s="21"/>
      <c r="L212" s="21"/>
      <c r="M212" s="21"/>
      <c r="N212" s="8" t="str">
        <f aca="false">IF(A212="","",IF(COUNTIFS(Reconcile!$I:$I,A212,Reconcile!$H:$H,"&gt;="&amp;(J212-0.01),Reconcile!$H:$H,"&lt;="&amp;(J212+0.01))&gt;0,"Yes","Not yet"))</f>
        <v/>
      </c>
      <c r="O212" s="21"/>
    </row>
    <row r="213" customFormat="false" ht="15" hidden="false" customHeight="false" outlineLevel="0" collapsed="false">
      <c r="A213" s="20"/>
      <c r="B213" s="21"/>
      <c r="C213" s="21"/>
      <c r="D213" s="21"/>
      <c r="E213" s="21"/>
      <c r="F213" s="22"/>
      <c r="G213" s="20"/>
      <c r="H213" s="23"/>
      <c r="I213" s="24"/>
      <c r="J213" s="14" t="str">
        <f aca="false">IF(C213="","",-E213*H213*IF(OR(B213="Sell call",B213="Buy to close",B213="Expired",B213="Assigned"),100,1)-I213)</f>
        <v/>
      </c>
      <c r="K213" s="21"/>
      <c r="L213" s="21"/>
      <c r="M213" s="21"/>
      <c r="N213" s="8" t="str">
        <f aca="false">IF(A213="","",IF(COUNTIFS(Reconcile!$I:$I,A213,Reconcile!$H:$H,"&gt;="&amp;(J213-0.01),Reconcile!$H:$H,"&lt;="&amp;(J213+0.01))&gt;0,"Yes","Not yet"))</f>
        <v/>
      </c>
      <c r="O213" s="21"/>
    </row>
    <row r="214" customFormat="false" ht="15" hidden="false" customHeight="false" outlineLevel="0" collapsed="false">
      <c r="A214" s="20"/>
      <c r="B214" s="21"/>
      <c r="C214" s="21"/>
      <c r="D214" s="21"/>
      <c r="E214" s="21"/>
      <c r="F214" s="22"/>
      <c r="G214" s="20"/>
      <c r="H214" s="23"/>
      <c r="I214" s="24"/>
      <c r="J214" s="14" t="str">
        <f aca="false">IF(C214="","",-E214*H214*IF(OR(B214="Sell call",B214="Buy to close",B214="Expired",B214="Assigned"),100,1)-I214)</f>
        <v/>
      </c>
      <c r="K214" s="21"/>
      <c r="L214" s="21"/>
      <c r="M214" s="21"/>
      <c r="N214" s="8" t="str">
        <f aca="false">IF(A214="","",IF(COUNTIFS(Reconcile!$I:$I,A214,Reconcile!$H:$H,"&gt;="&amp;(J214-0.01),Reconcile!$H:$H,"&lt;="&amp;(J214+0.01))&gt;0,"Yes","Not yet"))</f>
        <v/>
      </c>
      <c r="O214" s="21"/>
    </row>
    <row r="215" customFormat="false" ht="15" hidden="false" customHeight="false" outlineLevel="0" collapsed="false">
      <c r="A215" s="20"/>
      <c r="B215" s="21"/>
      <c r="C215" s="21"/>
      <c r="D215" s="21"/>
      <c r="E215" s="21"/>
      <c r="F215" s="22"/>
      <c r="G215" s="20"/>
      <c r="H215" s="23"/>
      <c r="I215" s="24"/>
      <c r="J215" s="14" t="str">
        <f aca="false">IF(C215="","",-E215*H215*IF(OR(B215="Sell call",B215="Buy to close",B215="Expired",B215="Assigned"),100,1)-I215)</f>
        <v/>
      </c>
      <c r="K215" s="21"/>
      <c r="L215" s="21"/>
      <c r="M215" s="21"/>
      <c r="N215" s="8" t="str">
        <f aca="false">IF(A215="","",IF(COUNTIFS(Reconcile!$I:$I,A215,Reconcile!$H:$H,"&gt;="&amp;(J215-0.01),Reconcile!$H:$H,"&lt;="&amp;(J215+0.01))&gt;0,"Yes","Not yet"))</f>
        <v/>
      </c>
      <c r="O215" s="21"/>
    </row>
    <row r="216" customFormat="false" ht="15" hidden="false" customHeight="false" outlineLevel="0" collapsed="false">
      <c r="A216" s="20"/>
      <c r="B216" s="21"/>
      <c r="C216" s="21"/>
      <c r="D216" s="21"/>
      <c r="E216" s="21"/>
      <c r="F216" s="22"/>
      <c r="G216" s="20"/>
      <c r="H216" s="23"/>
      <c r="I216" s="24"/>
      <c r="J216" s="14" t="str">
        <f aca="false">IF(C216="","",-E216*H216*IF(OR(B216="Sell call",B216="Buy to close",B216="Expired",B216="Assigned"),100,1)-I216)</f>
        <v/>
      </c>
      <c r="K216" s="21"/>
      <c r="L216" s="21"/>
      <c r="M216" s="21"/>
      <c r="N216" s="8" t="str">
        <f aca="false">IF(A216="","",IF(COUNTIFS(Reconcile!$I:$I,A216,Reconcile!$H:$H,"&gt;="&amp;(J216-0.01),Reconcile!$H:$H,"&lt;="&amp;(J216+0.01))&gt;0,"Yes","Not yet"))</f>
        <v/>
      </c>
      <c r="O216" s="21"/>
    </row>
    <row r="217" customFormat="false" ht="15" hidden="false" customHeight="false" outlineLevel="0" collapsed="false">
      <c r="A217" s="20"/>
      <c r="B217" s="21"/>
      <c r="C217" s="21"/>
      <c r="D217" s="21"/>
      <c r="E217" s="21"/>
      <c r="F217" s="22"/>
      <c r="G217" s="20"/>
      <c r="H217" s="23"/>
      <c r="I217" s="24"/>
      <c r="J217" s="14" t="str">
        <f aca="false">IF(C217="","",-E217*H217*IF(OR(B217="Sell call",B217="Buy to close",B217="Expired",B217="Assigned"),100,1)-I217)</f>
        <v/>
      </c>
      <c r="K217" s="21"/>
      <c r="L217" s="21"/>
      <c r="M217" s="21"/>
      <c r="N217" s="8" t="str">
        <f aca="false">IF(A217="","",IF(COUNTIFS(Reconcile!$I:$I,A217,Reconcile!$H:$H,"&gt;="&amp;(J217-0.01),Reconcile!$H:$H,"&lt;="&amp;(J217+0.01))&gt;0,"Yes","Not yet"))</f>
        <v/>
      </c>
      <c r="O217" s="21"/>
    </row>
    <row r="218" customFormat="false" ht="15" hidden="false" customHeight="false" outlineLevel="0" collapsed="false">
      <c r="A218" s="20"/>
      <c r="B218" s="21"/>
      <c r="C218" s="21"/>
      <c r="D218" s="21"/>
      <c r="E218" s="21"/>
      <c r="F218" s="22"/>
      <c r="G218" s="20"/>
      <c r="H218" s="23"/>
      <c r="I218" s="24"/>
      <c r="J218" s="14" t="str">
        <f aca="false">IF(C218="","",-E218*H218*IF(OR(B218="Sell call",B218="Buy to close",B218="Expired",B218="Assigned"),100,1)-I218)</f>
        <v/>
      </c>
      <c r="K218" s="21"/>
      <c r="L218" s="21"/>
      <c r="M218" s="21"/>
      <c r="N218" s="8" t="str">
        <f aca="false">IF(A218="","",IF(COUNTIFS(Reconcile!$I:$I,A218,Reconcile!$H:$H,"&gt;="&amp;(J218-0.01),Reconcile!$H:$H,"&lt;="&amp;(J218+0.01))&gt;0,"Yes","Not yet"))</f>
        <v/>
      </c>
      <c r="O218" s="21"/>
    </row>
    <row r="219" customFormat="false" ht="15" hidden="false" customHeight="false" outlineLevel="0" collapsed="false">
      <c r="A219" s="20"/>
      <c r="B219" s="21"/>
      <c r="C219" s="21"/>
      <c r="D219" s="21"/>
      <c r="E219" s="21"/>
      <c r="F219" s="22"/>
      <c r="G219" s="20"/>
      <c r="H219" s="23"/>
      <c r="I219" s="24"/>
      <c r="J219" s="14" t="str">
        <f aca="false">IF(C219="","",-E219*H219*IF(OR(B219="Sell call",B219="Buy to close",B219="Expired",B219="Assigned"),100,1)-I219)</f>
        <v/>
      </c>
      <c r="K219" s="21"/>
      <c r="L219" s="21"/>
      <c r="M219" s="21"/>
      <c r="N219" s="8" t="str">
        <f aca="false">IF(A219="","",IF(COUNTIFS(Reconcile!$I:$I,A219,Reconcile!$H:$H,"&gt;="&amp;(J219-0.01),Reconcile!$H:$H,"&lt;="&amp;(J219+0.01))&gt;0,"Yes","Not yet"))</f>
        <v/>
      </c>
      <c r="O219" s="21"/>
    </row>
    <row r="220" customFormat="false" ht="15" hidden="false" customHeight="false" outlineLevel="0" collapsed="false">
      <c r="A220" s="20"/>
      <c r="B220" s="21"/>
      <c r="C220" s="21"/>
      <c r="D220" s="21"/>
      <c r="E220" s="21"/>
      <c r="F220" s="22"/>
      <c r="G220" s="20"/>
      <c r="H220" s="23"/>
      <c r="I220" s="24"/>
      <c r="J220" s="14" t="str">
        <f aca="false">IF(C220="","",-E220*H220*IF(OR(B220="Sell call",B220="Buy to close",B220="Expired",B220="Assigned"),100,1)-I220)</f>
        <v/>
      </c>
      <c r="K220" s="21"/>
      <c r="L220" s="21"/>
      <c r="M220" s="21"/>
      <c r="N220" s="8" t="str">
        <f aca="false">IF(A220="","",IF(COUNTIFS(Reconcile!$I:$I,A220,Reconcile!$H:$H,"&gt;="&amp;(J220-0.01),Reconcile!$H:$H,"&lt;="&amp;(J220+0.01))&gt;0,"Yes","Not yet"))</f>
        <v/>
      </c>
      <c r="O220" s="21"/>
    </row>
    <row r="221" customFormat="false" ht="15" hidden="false" customHeight="false" outlineLevel="0" collapsed="false">
      <c r="A221" s="20"/>
      <c r="B221" s="21"/>
      <c r="C221" s="21"/>
      <c r="D221" s="21"/>
      <c r="E221" s="21"/>
      <c r="F221" s="22"/>
      <c r="G221" s="20"/>
      <c r="H221" s="23"/>
      <c r="I221" s="24"/>
      <c r="J221" s="14" t="str">
        <f aca="false">IF(C221="","",-E221*H221*IF(OR(B221="Sell call",B221="Buy to close",B221="Expired",B221="Assigned"),100,1)-I221)</f>
        <v/>
      </c>
      <c r="K221" s="21"/>
      <c r="L221" s="21"/>
      <c r="M221" s="21"/>
      <c r="N221" s="8" t="str">
        <f aca="false">IF(A221="","",IF(COUNTIFS(Reconcile!$I:$I,A221,Reconcile!$H:$H,"&gt;="&amp;(J221-0.01),Reconcile!$H:$H,"&lt;="&amp;(J221+0.01))&gt;0,"Yes","Not yet"))</f>
        <v/>
      </c>
      <c r="O221" s="21"/>
    </row>
    <row r="222" customFormat="false" ht="15" hidden="false" customHeight="false" outlineLevel="0" collapsed="false">
      <c r="A222" s="20"/>
      <c r="B222" s="21"/>
      <c r="C222" s="21"/>
      <c r="D222" s="21"/>
      <c r="E222" s="21"/>
      <c r="F222" s="22"/>
      <c r="G222" s="20"/>
      <c r="H222" s="23"/>
      <c r="I222" s="24"/>
      <c r="J222" s="14" t="str">
        <f aca="false">IF(C222="","",-E222*H222*IF(OR(B222="Sell call",B222="Buy to close",B222="Expired",B222="Assigned"),100,1)-I222)</f>
        <v/>
      </c>
      <c r="K222" s="21"/>
      <c r="L222" s="21"/>
      <c r="M222" s="21"/>
      <c r="N222" s="8" t="str">
        <f aca="false">IF(A222="","",IF(COUNTIFS(Reconcile!$I:$I,A222,Reconcile!$H:$H,"&gt;="&amp;(J222-0.01),Reconcile!$H:$H,"&lt;="&amp;(J222+0.01))&gt;0,"Yes","Not yet"))</f>
        <v/>
      </c>
      <c r="O222" s="21"/>
    </row>
    <row r="223" customFormat="false" ht="15" hidden="false" customHeight="false" outlineLevel="0" collapsed="false">
      <c r="A223" s="20"/>
      <c r="B223" s="21"/>
      <c r="C223" s="21"/>
      <c r="D223" s="21"/>
      <c r="E223" s="21"/>
      <c r="F223" s="22"/>
      <c r="G223" s="20"/>
      <c r="H223" s="23"/>
      <c r="I223" s="24"/>
      <c r="J223" s="14" t="str">
        <f aca="false">IF(C223="","",-E223*H223*IF(OR(B223="Sell call",B223="Buy to close",B223="Expired",B223="Assigned"),100,1)-I223)</f>
        <v/>
      </c>
      <c r="K223" s="21"/>
      <c r="L223" s="21"/>
      <c r="M223" s="21"/>
      <c r="N223" s="8" t="str">
        <f aca="false">IF(A223="","",IF(COUNTIFS(Reconcile!$I:$I,A223,Reconcile!$H:$H,"&gt;="&amp;(J223-0.01),Reconcile!$H:$H,"&lt;="&amp;(J223+0.01))&gt;0,"Yes","Not yet"))</f>
        <v/>
      </c>
      <c r="O223" s="21"/>
    </row>
    <row r="224" customFormat="false" ht="15" hidden="false" customHeight="false" outlineLevel="0" collapsed="false">
      <c r="A224" s="20"/>
      <c r="B224" s="21"/>
      <c r="C224" s="21"/>
      <c r="D224" s="21"/>
      <c r="E224" s="21"/>
      <c r="F224" s="22"/>
      <c r="G224" s="20"/>
      <c r="H224" s="23"/>
      <c r="I224" s="24"/>
      <c r="J224" s="14" t="str">
        <f aca="false">IF(C224="","",-E224*H224*IF(OR(B224="Sell call",B224="Buy to close",B224="Expired",B224="Assigned"),100,1)-I224)</f>
        <v/>
      </c>
      <c r="K224" s="21"/>
      <c r="L224" s="21"/>
      <c r="M224" s="21"/>
      <c r="N224" s="8" t="str">
        <f aca="false">IF(A224="","",IF(COUNTIFS(Reconcile!$I:$I,A224,Reconcile!$H:$H,"&gt;="&amp;(J224-0.01),Reconcile!$H:$H,"&lt;="&amp;(J224+0.01))&gt;0,"Yes","Not yet"))</f>
        <v/>
      </c>
      <c r="O224" s="21"/>
    </row>
    <row r="225" customFormat="false" ht="15" hidden="false" customHeight="false" outlineLevel="0" collapsed="false">
      <c r="A225" s="20"/>
      <c r="B225" s="21"/>
      <c r="C225" s="21"/>
      <c r="D225" s="21"/>
      <c r="E225" s="21"/>
      <c r="F225" s="22"/>
      <c r="G225" s="20"/>
      <c r="H225" s="23"/>
      <c r="I225" s="24"/>
      <c r="J225" s="14" t="str">
        <f aca="false">IF(C225="","",-E225*H225*IF(OR(B225="Sell call",B225="Buy to close",B225="Expired",B225="Assigned"),100,1)-I225)</f>
        <v/>
      </c>
      <c r="K225" s="21"/>
      <c r="L225" s="21"/>
      <c r="M225" s="21"/>
      <c r="N225" s="8" t="str">
        <f aca="false">IF(A225="","",IF(COUNTIFS(Reconcile!$I:$I,A225,Reconcile!$H:$H,"&gt;="&amp;(J225-0.01),Reconcile!$H:$H,"&lt;="&amp;(J225+0.01))&gt;0,"Yes","Not yet"))</f>
        <v/>
      </c>
      <c r="O225" s="21"/>
    </row>
    <row r="226" customFormat="false" ht="15" hidden="false" customHeight="false" outlineLevel="0" collapsed="false">
      <c r="A226" s="20"/>
      <c r="B226" s="21"/>
      <c r="C226" s="21"/>
      <c r="D226" s="21"/>
      <c r="E226" s="21"/>
      <c r="F226" s="22"/>
      <c r="G226" s="20"/>
      <c r="H226" s="23"/>
      <c r="I226" s="24"/>
      <c r="J226" s="14" t="str">
        <f aca="false">IF(C226="","",-E226*H226*IF(OR(B226="Sell call",B226="Buy to close",B226="Expired",B226="Assigned"),100,1)-I226)</f>
        <v/>
      </c>
      <c r="K226" s="21"/>
      <c r="L226" s="21"/>
      <c r="M226" s="21"/>
      <c r="N226" s="8" t="str">
        <f aca="false">IF(A226="","",IF(COUNTIFS(Reconcile!$I:$I,A226,Reconcile!$H:$H,"&gt;="&amp;(J226-0.01),Reconcile!$H:$H,"&lt;="&amp;(J226+0.01))&gt;0,"Yes","Not yet"))</f>
        <v/>
      </c>
      <c r="O226" s="21"/>
    </row>
    <row r="227" customFormat="false" ht="15" hidden="false" customHeight="false" outlineLevel="0" collapsed="false">
      <c r="A227" s="20"/>
      <c r="B227" s="21"/>
      <c r="C227" s="21"/>
      <c r="D227" s="21"/>
      <c r="E227" s="21"/>
      <c r="F227" s="22"/>
      <c r="G227" s="20"/>
      <c r="H227" s="23"/>
      <c r="I227" s="24"/>
      <c r="J227" s="14" t="str">
        <f aca="false">IF(C227="","",-E227*H227*IF(OR(B227="Sell call",B227="Buy to close",B227="Expired",B227="Assigned"),100,1)-I227)</f>
        <v/>
      </c>
      <c r="K227" s="21"/>
      <c r="L227" s="21"/>
      <c r="M227" s="21"/>
      <c r="N227" s="8" t="str">
        <f aca="false">IF(A227="","",IF(COUNTIFS(Reconcile!$I:$I,A227,Reconcile!$H:$H,"&gt;="&amp;(J227-0.01),Reconcile!$H:$H,"&lt;="&amp;(J227+0.01))&gt;0,"Yes","Not yet"))</f>
        <v/>
      </c>
      <c r="O227" s="21"/>
    </row>
    <row r="228" customFormat="false" ht="15" hidden="false" customHeight="false" outlineLevel="0" collapsed="false">
      <c r="A228" s="20"/>
      <c r="B228" s="21"/>
      <c r="C228" s="21"/>
      <c r="D228" s="21"/>
      <c r="E228" s="21"/>
      <c r="F228" s="22"/>
      <c r="G228" s="20"/>
      <c r="H228" s="23"/>
      <c r="I228" s="24"/>
      <c r="J228" s="14" t="str">
        <f aca="false">IF(C228="","",-E228*H228*IF(OR(B228="Sell call",B228="Buy to close",B228="Expired",B228="Assigned"),100,1)-I228)</f>
        <v/>
      </c>
      <c r="K228" s="21"/>
      <c r="L228" s="21"/>
      <c r="M228" s="21"/>
      <c r="N228" s="8" t="str">
        <f aca="false">IF(A228="","",IF(COUNTIFS(Reconcile!$I:$I,A228,Reconcile!$H:$H,"&gt;="&amp;(J228-0.01),Reconcile!$H:$H,"&lt;="&amp;(J228+0.01))&gt;0,"Yes","Not yet"))</f>
        <v/>
      </c>
      <c r="O228" s="21"/>
    </row>
    <row r="229" customFormat="false" ht="15" hidden="false" customHeight="false" outlineLevel="0" collapsed="false">
      <c r="A229" s="20"/>
      <c r="B229" s="21"/>
      <c r="C229" s="21"/>
      <c r="D229" s="21"/>
      <c r="E229" s="21"/>
      <c r="F229" s="22"/>
      <c r="G229" s="20"/>
      <c r="H229" s="23"/>
      <c r="I229" s="24"/>
      <c r="J229" s="14" t="str">
        <f aca="false">IF(C229="","",-E229*H229*IF(OR(B229="Sell call",B229="Buy to close",B229="Expired",B229="Assigned"),100,1)-I229)</f>
        <v/>
      </c>
      <c r="K229" s="21"/>
      <c r="L229" s="21"/>
      <c r="M229" s="21"/>
      <c r="N229" s="8" t="str">
        <f aca="false">IF(A229="","",IF(COUNTIFS(Reconcile!$I:$I,A229,Reconcile!$H:$H,"&gt;="&amp;(J229-0.01),Reconcile!$H:$H,"&lt;="&amp;(J229+0.01))&gt;0,"Yes","Not yet"))</f>
        <v/>
      </c>
      <c r="O229" s="21"/>
    </row>
    <row r="230" customFormat="false" ht="15" hidden="false" customHeight="false" outlineLevel="0" collapsed="false">
      <c r="A230" s="20"/>
      <c r="B230" s="21"/>
      <c r="C230" s="21"/>
      <c r="D230" s="21"/>
      <c r="E230" s="21"/>
      <c r="F230" s="22"/>
      <c r="G230" s="20"/>
      <c r="H230" s="23"/>
      <c r="I230" s="24"/>
      <c r="J230" s="14" t="str">
        <f aca="false">IF(C230="","",-E230*H230*IF(OR(B230="Sell call",B230="Buy to close",B230="Expired",B230="Assigned"),100,1)-I230)</f>
        <v/>
      </c>
      <c r="K230" s="21"/>
      <c r="L230" s="21"/>
      <c r="M230" s="21"/>
      <c r="N230" s="8" t="str">
        <f aca="false">IF(A230="","",IF(COUNTIFS(Reconcile!$I:$I,A230,Reconcile!$H:$H,"&gt;="&amp;(J230-0.01),Reconcile!$H:$H,"&lt;="&amp;(J230+0.01))&gt;0,"Yes","Not yet"))</f>
        <v/>
      </c>
      <c r="O230" s="21"/>
    </row>
    <row r="231" customFormat="false" ht="15" hidden="false" customHeight="false" outlineLevel="0" collapsed="false">
      <c r="A231" s="20"/>
      <c r="B231" s="21"/>
      <c r="C231" s="21"/>
      <c r="D231" s="21"/>
      <c r="E231" s="21"/>
      <c r="F231" s="22"/>
      <c r="G231" s="20"/>
      <c r="H231" s="23"/>
      <c r="I231" s="24"/>
      <c r="J231" s="14" t="str">
        <f aca="false">IF(C231="","",-E231*H231*IF(OR(B231="Sell call",B231="Buy to close",B231="Expired",B231="Assigned"),100,1)-I231)</f>
        <v/>
      </c>
      <c r="K231" s="21"/>
      <c r="L231" s="21"/>
      <c r="M231" s="21"/>
      <c r="N231" s="8" t="str">
        <f aca="false">IF(A231="","",IF(COUNTIFS(Reconcile!$I:$I,A231,Reconcile!$H:$H,"&gt;="&amp;(J231-0.01),Reconcile!$H:$H,"&lt;="&amp;(J231+0.01))&gt;0,"Yes","Not yet"))</f>
        <v/>
      </c>
      <c r="O231" s="21"/>
    </row>
    <row r="232" customFormat="false" ht="15" hidden="false" customHeight="false" outlineLevel="0" collapsed="false">
      <c r="A232" s="20"/>
      <c r="B232" s="21"/>
      <c r="C232" s="21"/>
      <c r="D232" s="21"/>
      <c r="E232" s="21"/>
      <c r="F232" s="22"/>
      <c r="G232" s="20"/>
      <c r="H232" s="23"/>
      <c r="I232" s="24"/>
      <c r="J232" s="14" t="str">
        <f aca="false">IF(C232="","",-E232*H232*IF(OR(B232="Sell call",B232="Buy to close",B232="Expired",B232="Assigned"),100,1)-I232)</f>
        <v/>
      </c>
      <c r="K232" s="21"/>
      <c r="L232" s="21"/>
      <c r="M232" s="21"/>
      <c r="N232" s="8" t="str">
        <f aca="false">IF(A232="","",IF(COUNTIFS(Reconcile!$I:$I,A232,Reconcile!$H:$H,"&gt;="&amp;(J232-0.01),Reconcile!$H:$H,"&lt;="&amp;(J232+0.01))&gt;0,"Yes","Not yet"))</f>
        <v/>
      </c>
      <c r="O232" s="21"/>
    </row>
    <row r="233" customFormat="false" ht="15" hidden="false" customHeight="false" outlineLevel="0" collapsed="false">
      <c r="A233" s="20"/>
      <c r="B233" s="21"/>
      <c r="C233" s="21"/>
      <c r="D233" s="21"/>
      <c r="E233" s="21"/>
      <c r="F233" s="22"/>
      <c r="G233" s="20"/>
      <c r="H233" s="23"/>
      <c r="I233" s="24"/>
      <c r="J233" s="14" t="str">
        <f aca="false">IF(C233="","",-E233*H233*IF(OR(B233="Sell call",B233="Buy to close",B233="Expired",B233="Assigned"),100,1)-I233)</f>
        <v/>
      </c>
      <c r="K233" s="21"/>
      <c r="L233" s="21"/>
      <c r="M233" s="21"/>
      <c r="N233" s="8" t="str">
        <f aca="false">IF(A233="","",IF(COUNTIFS(Reconcile!$I:$I,A233,Reconcile!$H:$H,"&gt;="&amp;(J233-0.01),Reconcile!$H:$H,"&lt;="&amp;(J233+0.01))&gt;0,"Yes","Not yet"))</f>
        <v/>
      </c>
      <c r="O233" s="21"/>
    </row>
    <row r="234" customFormat="false" ht="15" hidden="false" customHeight="false" outlineLevel="0" collapsed="false">
      <c r="A234" s="20"/>
      <c r="B234" s="21"/>
      <c r="C234" s="21"/>
      <c r="D234" s="21"/>
      <c r="E234" s="21"/>
      <c r="F234" s="22"/>
      <c r="G234" s="20"/>
      <c r="H234" s="23"/>
      <c r="I234" s="24"/>
      <c r="J234" s="14" t="str">
        <f aca="false">IF(C234="","",-E234*H234*IF(OR(B234="Sell call",B234="Buy to close",B234="Expired",B234="Assigned"),100,1)-I234)</f>
        <v/>
      </c>
      <c r="K234" s="21"/>
      <c r="L234" s="21"/>
      <c r="M234" s="21"/>
      <c r="N234" s="8" t="str">
        <f aca="false">IF(A234="","",IF(COUNTIFS(Reconcile!$I:$I,A234,Reconcile!$H:$H,"&gt;="&amp;(J234-0.01),Reconcile!$H:$H,"&lt;="&amp;(J234+0.01))&gt;0,"Yes","Not yet"))</f>
        <v/>
      </c>
      <c r="O234" s="21"/>
    </row>
    <row r="235" customFormat="false" ht="15" hidden="false" customHeight="false" outlineLevel="0" collapsed="false">
      <c r="A235" s="20"/>
      <c r="B235" s="21"/>
      <c r="C235" s="21"/>
      <c r="D235" s="21"/>
      <c r="E235" s="21"/>
      <c r="F235" s="22"/>
      <c r="G235" s="20"/>
      <c r="H235" s="23"/>
      <c r="I235" s="24"/>
      <c r="J235" s="14" t="str">
        <f aca="false">IF(C235="","",-E235*H235*IF(OR(B235="Sell call",B235="Buy to close",B235="Expired",B235="Assigned"),100,1)-I235)</f>
        <v/>
      </c>
      <c r="K235" s="21"/>
      <c r="L235" s="21"/>
      <c r="M235" s="21"/>
      <c r="N235" s="8" t="str">
        <f aca="false">IF(A235="","",IF(COUNTIFS(Reconcile!$I:$I,A235,Reconcile!$H:$H,"&gt;="&amp;(J235-0.01),Reconcile!$H:$H,"&lt;="&amp;(J235+0.01))&gt;0,"Yes","Not yet"))</f>
        <v/>
      </c>
      <c r="O235" s="21"/>
    </row>
    <row r="236" customFormat="false" ht="15" hidden="false" customHeight="false" outlineLevel="0" collapsed="false">
      <c r="A236" s="20"/>
      <c r="B236" s="21"/>
      <c r="C236" s="21"/>
      <c r="D236" s="21"/>
      <c r="E236" s="21"/>
      <c r="F236" s="22"/>
      <c r="G236" s="20"/>
      <c r="H236" s="23"/>
      <c r="I236" s="24"/>
      <c r="J236" s="14" t="str">
        <f aca="false">IF(C236="","",-E236*H236*IF(OR(B236="Sell call",B236="Buy to close",B236="Expired",B236="Assigned"),100,1)-I236)</f>
        <v/>
      </c>
      <c r="K236" s="21"/>
      <c r="L236" s="21"/>
      <c r="M236" s="21"/>
      <c r="N236" s="8" t="str">
        <f aca="false">IF(A236="","",IF(COUNTIFS(Reconcile!$I:$I,A236,Reconcile!$H:$H,"&gt;="&amp;(J236-0.01),Reconcile!$H:$H,"&lt;="&amp;(J236+0.01))&gt;0,"Yes","Not yet"))</f>
        <v/>
      </c>
      <c r="O236" s="21"/>
    </row>
    <row r="237" customFormat="false" ht="15" hidden="false" customHeight="false" outlineLevel="0" collapsed="false">
      <c r="A237" s="20"/>
      <c r="B237" s="21"/>
      <c r="C237" s="21"/>
      <c r="D237" s="21"/>
      <c r="E237" s="21"/>
      <c r="F237" s="22"/>
      <c r="G237" s="20"/>
      <c r="H237" s="23"/>
      <c r="I237" s="24"/>
      <c r="J237" s="14" t="str">
        <f aca="false">IF(C237="","",-E237*H237*IF(OR(B237="Sell call",B237="Buy to close",B237="Expired",B237="Assigned"),100,1)-I237)</f>
        <v/>
      </c>
      <c r="K237" s="21"/>
      <c r="L237" s="21"/>
      <c r="M237" s="21"/>
      <c r="N237" s="8" t="str">
        <f aca="false">IF(A237="","",IF(COUNTIFS(Reconcile!$I:$I,A237,Reconcile!$H:$H,"&gt;="&amp;(J237-0.01),Reconcile!$H:$H,"&lt;="&amp;(J237+0.01))&gt;0,"Yes","Not yet"))</f>
        <v/>
      </c>
      <c r="O237" s="21"/>
    </row>
    <row r="238" customFormat="false" ht="15" hidden="false" customHeight="false" outlineLevel="0" collapsed="false">
      <c r="A238" s="20"/>
      <c r="B238" s="21"/>
      <c r="C238" s="21"/>
      <c r="D238" s="21"/>
      <c r="E238" s="21"/>
      <c r="F238" s="22"/>
      <c r="G238" s="20"/>
      <c r="H238" s="23"/>
      <c r="I238" s="24"/>
      <c r="J238" s="14" t="str">
        <f aca="false">IF(C238="","",-E238*H238*IF(OR(B238="Sell call",B238="Buy to close",B238="Expired",B238="Assigned"),100,1)-I238)</f>
        <v/>
      </c>
      <c r="K238" s="21"/>
      <c r="L238" s="21"/>
      <c r="M238" s="21"/>
      <c r="N238" s="8" t="str">
        <f aca="false">IF(A238="","",IF(COUNTIFS(Reconcile!$I:$I,A238,Reconcile!$H:$H,"&gt;="&amp;(J238-0.01),Reconcile!$H:$H,"&lt;="&amp;(J238+0.01))&gt;0,"Yes","Not yet"))</f>
        <v/>
      </c>
      <c r="O238" s="21"/>
    </row>
    <row r="239" customFormat="false" ht="15" hidden="false" customHeight="false" outlineLevel="0" collapsed="false">
      <c r="A239" s="20"/>
      <c r="B239" s="21"/>
      <c r="C239" s="21"/>
      <c r="D239" s="21"/>
      <c r="E239" s="21"/>
      <c r="F239" s="22"/>
      <c r="G239" s="20"/>
      <c r="H239" s="23"/>
      <c r="I239" s="24"/>
      <c r="J239" s="14" t="str">
        <f aca="false">IF(C239="","",-E239*H239*IF(OR(B239="Sell call",B239="Buy to close",B239="Expired",B239="Assigned"),100,1)-I239)</f>
        <v/>
      </c>
      <c r="K239" s="21"/>
      <c r="L239" s="21"/>
      <c r="M239" s="21"/>
      <c r="N239" s="8" t="str">
        <f aca="false">IF(A239="","",IF(COUNTIFS(Reconcile!$I:$I,A239,Reconcile!$H:$H,"&gt;="&amp;(J239-0.01),Reconcile!$H:$H,"&lt;="&amp;(J239+0.01))&gt;0,"Yes","Not yet"))</f>
        <v/>
      </c>
      <c r="O239" s="21"/>
    </row>
    <row r="240" customFormat="false" ht="15" hidden="false" customHeight="false" outlineLevel="0" collapsed="false">
      <c r="A240" s="20"/>
      <c r="B240" s="21"/>
      <c r="C240" s="21"/>
      <c r="D240" s="21"/>
      <c r="E240" s="21"/>
      <c r="F240" s="22"/>
      <c r="G240" s="20"/>
      <c r="H240" s="23"/>
      <c r="I240" s="24"/>
      <c r="J240" s="14" t="str">
        <f aca="false">IF(C240="","",-E240*H240*IF(OR(B240="Sell call",B240="Buy to close",B240="Expired",B240="Assigned"),100,1)-I240)</f>
        <v/>
      </c>
      <c r="K240" s="21"/>
      <c r="L240" s="21"/>
      <c r="M240" s="21"/>
      <c r="N240" s="8" t="str">
        <f aca="false">IF(A240="","",IF(COUNTIFS(Reconcile!$I:$I,A240,Reconcile!$H:$H,"&gt;="&amp;(J240-0.01),Reconcile!$H:$H,"&lt;="&amp;(J240+0.01))&gt;0,"Yes","Not yet"))</f>
        <v/>
      </c>
      <c r="O240" s="21"/>
    </row>
    <row r="241" customFormat="false" ht="15" hidden="false" customHeight="false" outlineLevel="0" collapsed="false">
      <c r="A241" s="20"/>
      <c r="B241" s="21"/>
      <c r="C241" s="21"/>
      <c r="D241" s="21"/>
      <c r="E241" s="21"/>
      <c r="F241" s="22"/>
      <c r="G241" s="20"/>
      <c r="H241" s="23"/>
      <c r="I241" s="24"/>
      <c r="J241" s="14" t="str">
        <f aca="false">IF(C241="","",-E241*H241*IF(OR(B241="Sell call",B241="Buy to close",B241="Expired",B241="Assigned"),100,1)-I241)</f>
        <v/>
      </c>
      <c r="K241" s="21"/>
      <c r="L241" s="21"/>
      <c r="M241" s="21"/>
      <c r="N241" s="8" t="str">
        <f aca="false">IF(A241="","",IF(COUNTIFS(Reconcile!$I:$I,A241,Reconcile!$H:$H,"&gt;="&amp;(J241-0.01),Reconcile!$H:$H,"&lt;="&amp;(J241+0.01))&gt;0,"Yes","Not yet"))</f>
        <v/>
      </c>
      <c r="O241" s="21"/>
    </row>
    <row r="242" customFormat="false" ht="15" hidden="false" customHeight="false" outlineLevel="0" collapsed="false">
      <c r="A242" s="20"/>
      <c r="B242" s="21"/>
      <c r="C242" s="21"/>
      <c r="D242" s="21"/>
      <c r="E242" s="21"/>
      <c r="F242" s="22"/>
      <c r="G242" s="20"/>
      <c r="H242" s="23"/>
      <c r="I242" s="24"/>
      <c r="J242" s="14" t="str">
        <f aca="false">IF(C242="","",-E242*H242*IF(OR(B242="Sell call",B242="Buy to close",B242="Expired",B242="Assigned"),100,1)-I242)</f>
        <v/>
      </c>
      <c r="K242" s="21"/>
      <c r="L242" s="21"/>
      <c r="M242" s="21"/>
      <c r="N242" s="8" t="str">
        <f aca="false">IF(A242="","",IF(COUNTIFS(Reconcile!$I:$I,A242,Reconcile!$H:$H,"&gt;="&amp;(J242-0.01),Reconcile!$H:$H,"&lt;="&amp;(J242+0.01))&gt;0,"Yes","Not yet"))</f>
        <v/>
      </c>
      <c r="O242" s="21"/>
    </row>
    <row r="243" customFormat="false" ht="15" hidden="false" customHeight="false" outlineLevel="0" collapsed="false">
      <c r="A243" s="20"/>
      <c r="B243" s="21"/>
      <c r="C243" s="21"/>
      <c r="D243" s="21"/>
      <c r="E243" s="21"/>
      <c r="F243" s="22"/>
      <c r="G243" s="20"/>
      <c r="H243" s="23"/>
      <c r="I243" s="24"/>
      <c r="J243" s="14" t="str">
        <f aca="false">IF(C243="","",-E243*H243*IF(OR(B243="Sell call",B243="Buy to close",B243="Expired",B243="Assigned"),100,1)-I243)</f>
        <v/>
      </c>
      <c r="K243" s="21"/>
      <c r="L243" s="21"/>
      <c r="M243" s="21"/>
      <c r="N243" s="8" t="str">
        <f aca="false">IF(A243="","",IF(COUNTIFS(Reconcile!$I:$I,A243,Reconcile!$H:$H,"&gt;="&amp;(J243-0.01),Reconcile!$H:$H,"&lt;="&amp;(J243+0.01))&gt;0,"Yes","Not yet"))</f>
        <v/>
      </c>
      <c r="O243" s="21"/>
    </row>
    <row r="244" customFormat="false" ht="15" hidden="false" customHeight="false" outlineLevel="0" collapsed="false">
      <c r="A244" s="20"/>
      <c r="B244" s="21"/>
      <c r="C244" s="21"/>
      <c r="D244" s="21"/>
      <c r="E244" s="21"/>
      <c r="F244" s="22"/>
      <c r="G244" s="20"/>
      <c r="H244" s="23"/>
      <c r="I244" s="24"/>
      <c r="J244" s="14" t="str">
        <f aca="false">IF(C244="","",-E244*H244*IF(OR(B244="Sell call",B244="Buy to close",B244="Expired",B244="Assigned"),100,1)-I244)</f>
        <v/>
      </c>
      <c r="K244" s="21"/>
      <c r="L244" s="21"/>
      <c r="M244" s="21"/>
      <c r="N244" s="8" t="str">
        <f aca="false">IF(A244="","",IF(COUNTIFS(Reconcile!$I:$I,A244,Reconcile!$H:$H,"&gt;="&amp;(J244-0.01),Reconcile!$H:$H,"&lt;="&amp;(J244+0.01))&gt;0,"Yes","Not yet"))</f>
        <v/>
      </c>
      <c r="O244" s="21"/>
    </row>
    <row r="245" customFormat="false" ht="15" hidden="false" customHeight="false" outlineLevel="0" collapsed="false">
      <c r="A245" s="20"/>
      <c r="B245" s="21"/>
      <c r="C245" s="21"/>
      <c r="D245" s="21"/>
      <c r="E245" s="21"/>
      <c r="F245" s="22"/>
      <c r="G245" s="20"/>
      <c r="H245" s="23"/>
      <c r="I245" s="24"/>
      <c r="J245" s="14" t="str">
        <f aca="false">IF(C245="","",-E245*H245*IF(OR(B245="Sell call",B245="Buy to close",B245="Expired",B245="Assigned"),100,1)-I245)</f>
        <v/>
      </c>
      <c r="K245" s="21"/>
      <c r="L245" s="21"/>
      <c r="M245" s="21"/>
      <c r="N245" s="8" t="str">
        <f aca="false">IF(A245="","",IF(COUNTIFS(Reconcile!$I:$I,A245,Reconcile!$H:$H,"&gt;="&amp;(J245-0.01),Reconcile!$H:$H,"&lt;="&amp;(J245+0.01))&gt;0,"Yes","Not yet"))</f>
        <v/>
      </c>
      <c r="O245" s="21"/>
    </row>
    <row r="246" customFormat="false" ht="15" hidden="false" customHeight="false" outlineLevel="0" collapsed="false">
      <c r="A246" s="20"/>
      <c r="B246" s="21"/>
      <c r="C246" s="21"/>
      <c r="D246" s="21"/>
      <c r="E246" s="21"/>
      <c r="F246" s="22"/>
      <c r="G246" s="20"/>
      <c r="H246" s="23"/>
      <c r="I246" s="24"/>
      <c r="J246" s="14" t="str">
        <f aca="false">IF(C246="","",-E246*H246*IF(OR(B246="Sell call",B246="Buy to close",B246="Expired",B246="Assigned"),100,1)-I246)</f>
        <v/>
      </c>
      <c r="K246" s="21"/>
      <c r="L246" s="21"/>
      <c r="M246" s="21"/>
      <c r="N246" s="8" t="str">
        <f aca="false">IF(A246="","",IF(COUNTIFS(Reconcile!$I:$I,A246,Reconcile!$H:$H,"&gt;="&amp;(J246-0.01),Reconcile!$H:$H,"&lt;="&amp;(J246+0.01))&gt;0,"Yes","Not yet"))</f>
        <v/>
      </c>
      <c r="O246" s="21"/>
    </row>
    <row r="247" customFormat="false" ht="15" hidden="false" customHeight="false" outlineLevel="0" collapsed="false">
      <c r="A247" s="20"/>
      <c r="B247" s="21"/>
      <c r="C247" s="21"/>
      <c r="D247" s="21"/>
      <c r="E247" s="21"/>
      <c r="F247" s="22"/>
      <c r="G247" s="20"/>
      <c r="H247" s="23"/>
      <c r="I247" s="24"/>
      <c r="J247" s="14" t="str">
        <f aca="false">IF(C247="","",-E247*H247*IF(OR(B247="Sell call",B247="Buy to close",B247="Expired",B247="Assigned"),100,1)-I247)</f>
        <v/>
      </c>
      <c r="K247" s="21"/>
      <c r="L247" s="21"/>
      <c r="M247" s="21"/>
      <c r="N247" s="8" t="str">
        <f aca="false">IF(A247="","",IF(COUNTIFS(Reconcile!$I:$I,A247,Reconcile!$H:$H,"&gt;="&amp;(J247-0.01),Reconcile!$H:$H,"&lt;="&amp;(J247+0.01))&gt;0,"Yes","Not yet"))</f>
        <v/>
      </c>
      <c r="O247" s="21"/>
    </row>
    <row r="248" customFormat="false" ht="15" hidden="false" customHeight="false" outlineLevel="0" collapsed="false">
      <c r="A248" s="20"/>
      <c r="B248" s="21"/>
      <c r="C248" s="21"/>
      <c r="D248" s="21"/>
      <c r="E248" s="21"/>
      <c r="F248" s="22"/>
      <c r="G248" s="20"/>
      <c r="H248" s="23"/>
      <c r="I248" s="24"/>
      <c r="J248" s="14" t="str">
        <f aca="false">IF(C248="","",-E248*H248*IF(OR(B248="Sell call",B248="Buy to close",B248="Expired",B248="Assigned"),100,1)-I248)</f>
        <v/>
      </c>
      <c r="K248" s="21"/>
      <c r="L248" s="21"/>
      <c r="M248" s="21"/>
      <c r="N248" s="8" t="str">
        <f aca="false">IF(A248="","",IF(COUNTIFS(Reconcile!$I:$I,A248,Reconcile!$H:$H,"&gt;="&amp;(J248-0.01),Reconcile!$H:$H,"&lt;="&amp;(J248+0.01))&gt;0,"Yes","Not yet"))</f>
        <v/>
      </c>
      <c r="O248" s="21"/>
    </row>
    <row r="249" customFormat="false" ht="15" hidden="false" customHeight="false" outlineLevel="0" collapsed="false">
      <c r="A249" s="20"/>
      <c r="B249" s="21"/>
      <c r="C249" s="21"/>
      <c r="D249" s="21"/>
      <c r="E249" s="21"/>
      <c r="F249" s="22"/>
      <c r="G249" s="20"/>
      <c r="H249" s="23"/>
      <c r="I249" s="24"/>
      <c r="J249" s="14" t="str">
        <f aca="false">IF(C249="","",-E249*H249*IF(OR(B249="Sell call",B249="Buy to close",B249="Expired",B249="Assigned"),100,1)-I249)</f>
        <v/>
      </c>
      <c r="K249" s="21"/>
      <c r="L249" s="21"/>
      <c r="M249" s="21"/>
      <c r="N249" s="8" t="str">
        <f aca="false">IF(A249="","",IF(COUNTIFS(Reconcile!$I:$I,A249,Reconcile!$H:$H,"&gt;="&amp;(J249-0.01),Reconcile!$H:$H,"&lt;="&amp;(J249+0.01))&gt;0,"Yes","Not yet"))</f>
        <v/>
      </c>
      <c r="O249" s="21"/>
    </row>
    <row r="250" customFormat="false" ht="15" hidden="false" customHeight="false" outlineLevel="0" collapsed="false">
      <c r="A250" s="20"/>
      <c r="B250" s="21"/>
      <c r="C250" s="21"/>
      <c r="D250" s="21"/>
      <c r="E250" s="21"/>
      <c r="F250" s="22"/>
      <c r="G250" s="20"/>
      <c r="H250" s="23"/>
      <c r="I250" s="24"/>
      <c r="J250" s="14" t="str">
        <f aca="false">IF(C250="","",-E250*H250*IF(OR(B250="Sell call",B250="Buy to close",B250="Expired",B250="Assigned"),100,1)-I250)</f>
        <v/>
      </c>
      <c r="K250" s="21"/>
      <c r="L250" s="21"/>
      <c r="M250" s="21"/>
      <c r="N250" s="8" t="str">
        <f aca="false">IF(A250="","",IF(COUNTIFS(Reconcile!$I:$I,A250,Reconcile!$H:$H,"&gt;="&amp;(J250-0.01),Reconcile!$H:$H,"&lt;="&amp;(J250+0.01))&gt;0,"Yes","Not yet"))</f>
        <v/>
      </c>
      <c r="O250" s="21"/>
    </row>
    <row r="251" customFormat="false" ht="15" hidden="false" customHeight="false" outlineLevel="0" collapsed="false">
      <c r="A251" s="20"/>
      <c r="B251" s="21"/>
      <c r="C251" s="21"/>
      <c r="D251" s="21"/>
      <c r="E251" s="21"/>
      <c r="F251" s="22"/>
      <c r="G251" s="20"/>
      <c r="H251" s="23"/>
      <c r="I251" s="24"/>
      <c r="J251" s="14" t="str">
        <f aca="false">IF(C251="","",-E251*H251*IF(OR(B251="Sell call",B251="Buy to close",B251="Expired",B251="Assigned"),100,1)-I251)</f>
        <v/>
      </c>
      <c r="K251" s="21"/>
      <c r="L251" s="21"/>
      <c r="M251" s="21"/>
      <c r="N251" s="8" t="str">
        <f aca="false">IF(A251="","",IF(COUNTIFS(Reconcile!$I:$I,A251,Reconcile!$H:$H,"&gt;="&amp;(J251-0.01),Reconcile!$H:$H,"&lt;="&amp;(J251+0.01))&gt;0,"Yes","Not yet"))</f>
        <v/>
      </c>
      <c r="O251" s="21"/>
    </row>
    <row r="252" customFormat="false" ht="15" hidden="false" customHeight="false" outlineLevel="0" collapsed="false">
      <c r="A252" s="20"/>
      <c r="B252" s="21"/>
      <c r="C252" s="21"/>
      <c r="D252" s="21"/>
      <c r="E252" s="21"/>
      <c r="F252" s="22"/>
      <c r="G252" s="20"/>
      <c r="H252" s="23"/>
      <c r="I252" s="24"/>
      <c r="J252" s="14" t="str">
        <f aca="false">IF(C252="","",-E252*H252*IF(OR(B252="Sell call",B252="Buy to close",B252="Expired",B252="Assigned"),100,1)-I252)</f>
        <v/>
      </c>
      <c r="K252" s="21"/>
      <c r="L252" s="21"/>
      <c r="M252" s="21"/>
      <c r="N252" s="8" t="str">
        <f aca="false">IF(A252="","",IF(COUNTIFS(Reconcile!$I:$I,A252,Reconcile!$H:$H,"&gt;="&amp;(J252-0.01),Reconcile!$H:$H,"&lt;="&amp;(J252+0.01))&gt;0,"Yes","Not yet"))</f>
        <v/>
      </c>
      <c r="O252" s="21"/>
    </row>
    <row r="253" customFormat="false" ht="15" hidden="false" customHeight="false" outlineLevel="0" collapsed="false">
      <c r="A253" s="20"/>
      <c r="B253" s="21"/>
      <c r="C253" s="21"/>
      <c r="D253" s="21"/>
      <c r="E253" s="21"/>
      <c r="F253" s="22"/>
      <c r="G253" s="20"/>
      <c r="H253" s="23"/>
      <c r="I253" s="24"/>
      <c r="J253" s="14" t="str">
        <f aca="false">IF(C253="","",-E253*H253*IF(OR(B253="Sell call",B253="Buy to close",B253="Expired",B253="Assigned"),100,1)-I253)</f>
        <v/>
      </c>
      <c r="K253" s="21"/>
      <c r="L253" s="21"/>
      <c r="M253" s="21"/>
      <c r="N253" s="8" t="str">
        <f aca="false">IF(A253="","",IF(COUNTIFS(Reconcile!$I:$I,A253,Reconcile!$H:$H,"&gt;="&amp;(J253-0.01),Reconcile!$H:$H,"&lt;="&amp;(J253+0.01))&gt;0,"Yes","Not yet"))</f>
        <v/>
      </c>
      <c r="O253" s="21"/>
    </row>
    <row r="254" customFormat="false" ht="15" hidden="false" customHeight="false" outlineLevel="0" collapsed="false">
      <c r="A254" s="20"/>
      <c r="B254" s="21"/>
      <c r="C254" s="21"/>
      <c r="D254" s="21"/>
      <c r="E254" s="21"/>
      <c r="F254" s="22"/>
      <c r="G254" s="20"/>
      <c r="H254" s="23"/>
      <c r="I254" s="24"/>
      <c r="J254" s="14" t="str">
        <f aca="false">IF(C254="","",-E254*H254*IF(OR(B254="Sell call",B254="Buy to close",B254="Expired",B254="Assigned"),100,1)-I254)</f>
        <v/>
      </c>
      <c r="K254" s="21"/>
      <c r="L254" s="21"/>
      <c r="M254" s="21"/>
      <c r="N254" s="8" t="str">
        <f aca="false">IF(A254="","",IF(COUNTIFS(Reconcile!$I:$I,A254,Reconcile!$H:$H,"&gt;="&amp;(J254-0.01),Reconcile!$H:$H,"&lt;="&amp;(J254+0.01))&gt;0,"Yes","Not yet"))</f>
        <v/>
      </c>
      <c r="O254" s="21"/>
    </row>
    <row r="255" customFormat="false" ht="15" hidden="false" customHeight="false" outlineLevel="0" collapsed="false">
      <c r="A255" s="20"/>
      <c r="B255" s="21"/>
      <c r="C255" s="21"/>
      <c r="D255" s="21"/>
      <c r="E255" s="21"/>
      <c r="F255" s="22"/>
      <c r="G255" s="20"/>
      <c r="H255" s="23"/>
      <c r="I255" s="24"/>
      <c r="J255" s="14" t="str">
        <f aca="false">IF(C255="","",-E255*H255*IF(OR(B255="Sell call",B255="Buy to close",B255="Expired",B255="Assigned"),100,1)-I255)</f>
        <v/>
      </c>
      <c r="K255" s="21"/>
      <c r="L255" s="21"/>
      <c r="M255" s="21"/>
      <c r="N255" s="8" t="str">
        <f aca="false">IF(A255="","",IF(COUNTIFS(Reconcile!$I:$I,A255,Reconcile!$H:$H,"&gt;="&amp;(J255-0.01),Reconcile!$H:$H,"&lt;="&amp;(J255+0.01))&gt;0,"Yes","Not yet"))</f>
        <v/>
      </c>
      <c r="O255" s="21"/>
    </row>
    <row r="256" customFormat="false" ht="15" hidden="false" customHeight="false" outlineLevel="0" collapsed="false">
      <c r="A256" s="20"/>
      <c r="B256" s="21"/>
      <c r="C256" s="21"/>
      <c r="D256" s="21"/>
      <c r="E256" s="21"/>
      <c r="F256" s="22"/>
      <c r="G256" s="20"/>
      <c r="H256" s="23"/>
      <c r="I256" s="24"/>
      <c r="J256" s="14" t="str">
        <f aca="false">IF(C256="","",-E256*H256*IF(OR(B256="Sell call",B256="Buy to close",B256="Expired",B256="Assigned"),100,1)-I256)</f>
        <v/>
      </c>
      <c r="K256" s="21"/>
      <c r="L256" s="21"/>
      <c r="M256" s="21"/>
      <c r="N256" s="8" t="str">
        <f aca="false">IF(A256="","",IF(COUNTIFS(Reconcile!$I:$I,A256,Reconcile!$H:$H,"&gt;="&amp;(J256-0.01),Reconcile!$H:$H,"&lt;="&amp;(J256+0.01))&gt;0,"Yes","Not yet"))</f>
        <v/>
      </c>
      <c r="O256" s="21"/>
    </row>
    <row r="257" customFormat="false" ht="15" hidden="false" customHeight="false" outlineLevel="0" collapsed="false">
      <c r="A257" s="20"/>
      <c r="B257" s="21"/>
      <c r="C257" s="21"/>
      <c r="D257" s="21"/>
      <c r="E257" s="21"/>
      <c r="F257" s="22"/>
      <c r="G257" s="20"/>
      <c r="H257" s="23"/>
      <c r="I257" s="24"/>
      <c r="J257" s="14" t="str">
        <f aca="false">IF(C257="","",-E257*H257*IF(OR(B257="Sell call",B257="Buy to close",B257="Expired",B257="Assigned"),100,1)-I257)</f>
        <v/>
      </c>
      <c r="K257" s="21"/>
      <c r="L257" s="21"/>
      <c r="M257" s="21"/>
      <c r="N257" s="8" t="str">
        <f aca="false">IF(A257="","",IF(COUNTIFS(Reconcile!$I:$I,A257,Reconcile!$H:$H,"&gt;="&amp;(J257-0.01),Reconcile!$H:$H,"&lt;="&amp;(J257+0.01))&gt;0,"Yes","Not yet"))</f>
        <v/>
      </c>
      <c r="O257" s="21"/>
    </row>
    <row r="258" customFormat="false" ht="15" hidden="false" customHeight="false" outlineLevel="0" collapsed="false">
      <c r="A258" s="20"/>
      <c r="B258" s="21"/>
      <c r="C258" s="21"/>
      <c r="D258" s="21"/>
      <c r="E258" s="21"/>
      <c r="F258" s="22"/>
      <c r="G258" s="20"/>
      <c r="H258" s="23"/>
      <c r="I258" s="24"/>
      <c r="J258" s="14" t="str">
        <f aca="false">IF(C258="","",-E258*H258*IF(OR(B258="Sell call",B258="Buy to close",B258="Expired",B258="Assigned"),100,1)-I258)</f>
        <v/>
      </c>
      <c r="K258" s="21"/>
      <c r="L258" s="21"/>
      <c r="M258" s="21"/>
      <c r="N258" s="8" t="str">
        <f aca="false">IF(A258="","",IF(COUNTIFS(Reconcile!$I:$I,A258,Reconcile!$H:$H,"&gt;="&amp;(J258-0.01),Reconcile!$H:$H,"&lt;="&amp;(J258+0.01))&gt;0,"Yes","Not yet"))</f>
        <v/>
      </c>
      <c r="O258" s="21"/>
    </row>
    <row r="259" customFormat="false" ht="15" hidden="false" customHeight="false" outlineLevel="0" collapsed="false">
      <c r="A259" s="20"/>
      <c r="B259" s="21"/>
      <c r="C259" s="21"/>
      <c r="D259" s="21"/>
      <c r="E259" s="21"/>
      <c r="F259" s="22"/>
      <c r="G259" s="20"/>
      <c r="H259" s="23"/>
      <c r="I259" s="24"/>
      <c r="J259" s="14" t="str">
        <f aca="false">IF(C259="","",-E259*H259*IF(OR(B259="Sell call",B259="Buy to close",B259="Expired",B259="Assigned"),100,1)-I259)</f>
        <v/>
      </c>
      <c r="K259" s="21"/>
      <c r="L259" s="21"/>
      <c r="M259" s="21"/>
      <c r="N259" s="8" t="str">
        <f aca="false">IF(A259="","",IF(COUNTIFS(Reconcile!$I:$I,A259,Reconcile!$H:$H,"&gt;="&amp;(J259-0.01),Reconcile!$H:$H,"&lt;="&amp;(J259+0.01))&gt;0,"Yes","Not yet"))</f>
        <v/>
      </c>
      <c r="O259" s="21"/>
    </row>
    <row r="260" customFormat="false" ht="15" hidden="false" customHeight="false" outlineLevel="0" collapsed="false">
      <c r="A260" s="20"/>
      <c r="B260" s="21"/>
      <c r="C260" s="21"/>
      <c r="D260" s="21"/>
      <c r="E260" s="21"/>
      <c r="F260" s="22"/>
      <c r="G260" s="20"/>
      <c r="H260" s="23"/>
      <c r="I260" s="24"/>
      <c r="J260" s="14" t="str">
        <f aca="false">IF(C260="","",-E260*H260*IF(OR(B260="Sell call",B260="Buy to close",B260="Expired",B260="Assigned"),100,1)-I260)</f>
        <v/>
      </c>
      <c r="K260" s="21"/>
      <c r="L260" s="21"/>
      <c r="M260" s="21"/>
      <c r="N260" s="8" t="str">
        <f aca="false">IF(A260="","",IF(COUNTIFS(Reconcile!$I:$I,A260,Reconcile!$H:$H,"&gt;="&amp;(J260-0.01),Reconcile!$H:$H,"&lt;="&amp;(J260+0.01))&gt;0,"Yes","Not yet"))</f>
        <v/>
      </c>
      <c r="O260" s="21"/>
    </row>
    <row r="261" customFormat="false" ht="15" hidden="false" customHeight="false" outlineLevel="0" collapsed="false">
      <c r="A261" s="20"/>
      <c r="B261" s="21"/>
      <c r="C261" s="21"/>
      <c r="D261" s="21"/>
      <c r="E261" s="21"/>
      <c r="F261" s="22"/>
      <c r="G261" s="20"/>
      <c r="H261" s="23"/>
      <c r="I261" s="24"/>
      <c r="J261" s="14" t="str">
        <f aca="false">IF(C261="","",-E261*H261*IF(OR(B261="Sell call",B261="Buy to close",B261="Expired",B261="Assigned"),100,1)-I261)</f>
        <v/>
      </c>
      <c r="K261" s="21"/>
      <c r="L261" s="21"/>
      <c r="M261" s="21"/>
      <c r="N261" s="8" t="str">
        <f aca="false">IF(A261="","",IF(COUNTIFS(Reconcile!$I:$I,A261,Reconcile!$H:$H,"&gt;="&amp;(J261-0.01),Reconcile!$H:$H,"&lt;="&amp;(J261+0.01))&gt;0,"Yes","Not yet"))</f>
        <v/>
      </c>
      <c r="O261" s="21"/>
    </row>
    <row r="262" customFormat="false" ht="15" hidden="false" customHeight="false" outlineLevel="0" collapsed="false">
      <c r="A262" s="20"/>
      <c r="B262" s="21"/>
      <c r="C262" s="21"/>
      <c r="D262" s="21"/>
      <c r="E262" s="21"/>
      <c r="F262" s="22"/>
      <c r="G262" s="20"/>
      <c r="H262" s="23"/>
      <c r="I262" s="24"/>
      <c r="J262" s="14" t="str">
        <f aca="false">IF(C262="","",-E262*H262*IF(OR(B262="Sell call",B262="Buy to close",B262="Expired",B262="Assigned"),100,1)-I262)</f>
        <v/>
      </c>
      <c r="K262" s="21"/>
      <c r="L262" s="21"/>
      <c r="M262" s="21"/>
      <c r="N262" s="8" t="str">
        <f aca="false">IF(A262="","",IF(COUNTIFS(Reconcile!$I:$I,A262,Reconcile!$H:$H,"&gt;="&amp;(J262-0.01),Reconcile!$H:$H,"&lt;="&amp;(J262+0.01))&gt;0,"Yes","Not yet"))</f>
        <v/>
      </c>
      <c r="O262" s="21"/>
    </row>
    <row r="263" customFormat="false" ht="15" hidden="false" customHeight="false" outlineLevel="0" collapsed="false">
      <c r="A263" s="20"/>
      <c r="B263" s="21"/>
      <c r="C263" s="21"/>
      <c r="D263" s="21"/>
      <c r="E263" s="21"/>
      <c r="F263" s="22"/>
      <c r="G263" s="20"/>
      <c r="H263" s="23"/>
      <c r="I263" s="24"/>
      <c r="J263" s="14" t="str">
        <f aca="false">IF(C263="","",-E263*H263*IF(OR(B263="Sell call",B263="Buy to close",B263="Expired",B263="Assigned"),100,1)-I263)</f>
        <v/>
      </c>
      <c r="K263" s="21"/>
      <c r="L263" s="21"/>
      <c r="M263" s="21"/>
      <c r="N263" s="8" t="str">
        <f aca="false">IF(A263="","",IF(COUNTIFS(Reconcile!$I:$I,A263,Reconcile!$H:$H,"&gt;="&amp;(J263-0.01),Reconcile!$H:$H,"&lt;="&amp;(J263+0.01))&gt;0,"Yes","Not yet"))</f>
        <v/>
      </c>
      <c r="O263" s="21"/>
    </row>
    <row r="264" customFormat="false" ht="15" hidden="false" customHeight="false" outlineLevel="0" collapsed="false">
      <c r="A264" s="20"/>
      <c r="B264" s="21"/>
      <c r="C264" s="21"/>
      <c r="D264" s="21"/>
      <c r="E264" s="21"/>
      <c r="F264" s="22"/>
      <c r="G264" s="20"/>
      <c r="H264" s="23"/>
      <c r="I264" s="24"/>
      <c r="J264" s="14" t="str">
        <f aca="false">IF(C264="","",-E264*H264*IF(OR(B264="Sell call",B264="Buy to close",B264="Expired",B264="Assigned"),100,1)-I264)</f>
        <v/>
      </c>
      <c r="K264" s="21"/>
      <c r="L264" s="21"/>
      <c r="M264" s="21"/>
      <c r="N264" s="8" t="str">
        <f aca="false">IF(A264="","",IF(COUNTIFS(Reconcile!$I:$I,A264,Reconcile!$H:$H,"&gt;="&amp;(J264-0.01),Reconcile!$H:$H,"&lt;="&amp;(J264+0.01))&gt;0,"Yes","Not yet"))</f>
        <v/>
      </c>
      <c r="O264" s="21"/>
    </row>
    <row r="265" customFormat="false" ht="15" hidden="false" customHeight="false" outlineLevel="0" collapsed="false">
      <c r="A265" s="20"/>
      <c r="B265" s="21"/>
      <c r="C265" s="21"/>
      <c r="D265" s="21"/>
      <c r="E265" s="21"/>
      <c r="F265" s="22"/>
      <c r="G265" s="20"/>
      <c r="H265" s="23"/>
      <c r="I265" s="24"/>
      <c r="J265" s="14" t="str">
        <f aca="false">IF(C265="","",-E265*H265*IF(OR(B265="Sell call",B265="Buy to close",B265="Expired",B265="Assigned"),100,1)-I265)</f>
        <v/>
      </c>
      <c r="K265" s="21"/>
      <c r="L265" s="21"/>
      <c r="M265" s="21"/>
      <c r="N265" s="8" t="str">
        <f aca="false">IF(A265="","",IF(COUNTIFS(Reconcile!$I:$I,A265,Reconcile!$H:$H,"&gt;="&amp;(J265-0.01),Reconcile!$H:$H,"&lt;="&amp;(J265+0.01))&gt;0,"Yes","Not yet"))</f>
        <v/>
      </c>
      <c r="O265" s="21"/>
    </row>
    <row r="266" customFormat="false" ht="15" hidden="false" customHeight="false" outlineLevel="0" collapsed="false">
      <c r="A266" s="20"/>
      <c r="B266" s="21"/>
      <c r="C266" s="21"/>
      <c r="D266" s="21"/>
      <c r="E266" s="21"/>
      <c r="F266" s="22"/>
      <c r="G266" s="20"/>
      <c r="H266" s="23"/>
      <c r="I266" s="24"/>
      <c r="J266" s="14" t="str">
        <f aca="false">IF(C266="","",-E266*H266*IF(OR(B266="Sell call",B266="Buy to close",B266="Expired",B266="Assigned"),100,1)-I266)</f>
        <v/>
      </c>
      <c r="K266" s="21"/>
      <c r="L266" s="21"/>
      <c r="M266" s="21"/>
      <c r="N266" s="8" t="str">
        <f aca="false">IF(A266="","",IF(COUNTIFS(Reconcile!$I:$I,A266,Reconcile!$H:$H,"&gt;="&amp;(J266-0.01),Reconcile!$H:$H,"&lt;="&amp;(J266+0.01))&gt;0,"Yes","Not yet"))</f>
        <v/>
      </c>
      <c r="O266" s="21"/>
    </row>
    <row r="267" customFormat="false" ht="15" hidden="false" customHeight="false" outlineLevel="0" collapsed="false">
      <c r="A267" s="20"/>
      <c r="B267" s="21"/>
      <c r="C267" s="21"/>
      <c r="D267" s="21"/>
      <c r="E267" s="21"/>
      <c r="F267" s="22"/>
      <c r="G267" s="20"/>
      <c r="H267" s="23"/>
      <c r="I267" s="24"/>
      <c r="J267" s="14" t="str">
        <f aca="false">IF(C267="","",-E267*H267*IF(OR(B267="Sell call",B267="Buy to close",B267="Expired",B267="Assigned"),100,1)-I267)</f>
        <v/>
      </c>
      <c r="K267" s="21"/>
      <c r="L267" s="21"/>
      <c r="M267" s="21"/>
      <c r="N267" s="8" t="str">
        <f aca="false">IF(A267="","",IF(COUNTIFS(Reconcile!$I:$I,A267,Reconcile!$H:$H,"&gt;="&amp;(J267-0.01),Reconcile!$H:$H,"&lt;="&amp;(J267+0.01))&gt;0,"Yes","Not yet"))</f>
        <v/>
      </c>
      <c r="O267" s="21"/>
    </row>
    <row r="268" customFormat="false" ht="15" hidden="false" customHeight="false" outlineLevel="0" collapsed="false">
      <c r="A268" s="20"/>
      <c r="B268" s="21"/>
      <c r="C268" s="21"/>
      <c r="D268" s="21"/>
      <c r="E268" s="21"/>
      <c r="F268" s="22"/>
      <c r="G268" s="20"/>
      <c r="H268" s="23"/>
      <c r="I268" s="24"/>
      <c r="J268" s="14" t="str">
        <f aca="false">IF(C268="","",-E268*H268*IF(OR(B268="Sell call",B268="Buy to close",B268="Expired",B268="Assigned"),100,1)-I268)</f>
        <v/>
      </c>
      <c r="K268" s="21"/>
      <c r="L268" s="21"/>
      <c r="M268" s="21"/>
      <c r="N268" s="8" t="str">
        <f aca="false">IF(A268="","",IF(COUNTIFS(Reconcile!$I:$I,A268,Reconcile!$H:$H,"&gt;="&amp;(J268-0.01),Reconcile!$H:$H,"&lt;="&amp;(J268+0.01))&gt;0,"Yes","Not yet"))</f>
        <v/>
      </c>
      <c r="O268" s="21"/>
    </row>
    <row r="269" customFormat="false" ht="15" hidden="false" customHeight="false" outlineLevel="0" collapsed="false">
      <c r="A269" s="20"/>
      <c r="B269" s="21"/>
      <c r="C269" s="21"/>
      <c r="D269" s="21"/>
      <c r="E269" s="21"/>
      <c r="F269" s="22"/>
      <c r="G269" s="20"/>
      <c r="H269" s="23"/>
      <c r="I269" s="24"/>
      <c r="J269" s="14" t="str">
        <f aca="false">IF(C269="","",-E269*H269*IF(OR(B269="Sell call",B269="Buy to close",B269="Expired",B269="Assigned"),100,1)-I269)</f>
        <v/>
      </c>
      <c r="K269" s="21"/>
      <c r="L269" s="21"/>
      <c r="M269" s="21"/>
      <c r="N269" s="8" t="str">
        <f aca="false">IF(A269="","",IF(COUNTIFS(Reconcile!$I:$I,A269,Reconcile!$H:$H,"&gt;="&amp;(J269-0.01),Reconcile!$H:$H,"&lt;="&amp;(J269+0.01))&gt;0,"Yes","Not yet"))</f>
        <v/>
      </c>
      <c r="O269" s="21"/>
    </row>
    <row r="270" customFormat="false" ht="15" hidden="false" customHeight="false" outlineLevel="0" collapsed="false">
      <c r="A270" s="20"/>
      <c r="B270" s="21"/>
      <c r="C270" s="21"/>
      <c r="D270" s="21"/>
      <c r="E270" s="21"/>
      <c r="F270" s="22"/>
      <c r="G270" s="20"/>
      <c r="H270" s="23"/>
      <c r="I270" s="24"/>
      <c r="J270" s="14" t="str">
        <f aca="false">IF(C270="","",-E270*H270*IF(OR(B270="Sell call",B270="Buy to close",B270="Expired",B270="Assigned"),100,1)-I270)</f>
        <v/>
      </c>
      <c r="K270" s="21"/>
      <c r="L270" s="21"/>
      <c r="M270" s="21"/>
      <c r="N270" s="8" t="str">
        <f aca="false">IF(A270="","",IF(COUNTIFS(Reconcile!$I:$I,A270,Reconcile!$H:$H,"&gt;="&amp;(J270-0.01),Reconcile!$H:$H,"&lt;="&amp;(J270+0.01))&gt;0,"Yes","Not yet"))</f>
        <v/>
      </c>
      <c r="O270" s="21"/>
    </row>
    <row r="271" customFormat="false" ht="15" hidden="false" customHeight="false" outlineLevel="0" collapsed="false">
      <c r="A271" s="20"/>
      <c r="B271" s="21"/>
      <c r="C271" s="21"/>
      <c r="D271" s="21"/>
      <c r="E271" s="21"/>
      <c r="F271" s="22"/>
      <c r="G271" s="20"/>
      <c r="H271" s="23"/>
      <c r="I271" s="24"/>
      <c r="J271" s="14" t="str">
        <f aca="false">IF(C271="","",-E271*H271*IF(OR(B271="Sell call",B271="Buy to close",B271="Expired",B271="Assigned"),100,1)-I271)</f>
        <v/>
      </c>
      <c r="K271" s="21"/>
      <c r="L271" s="21"/>
      <c r="M271" s="21"/>
      <c r="N271" s="8" t="str">
        <f aca="false">IF(A271="","",IF(COUNTIFS(Reconcile!$I:$I,A271,Reconcile!$H:$H,"&gt;="&amp;(J271-0.01),Reconcile!$H:$H,"&lt;="&amp;(J271+0.01))&gt;0,"Yes","Not yet"))</f>
        <v/>
      </c>
      <c r="O271" s="21"/>
    </row>
    <row r="272" customFormat="false" ht="15" hidden="false" customHeight="false" outlineLevel="0" collapsed="false">
      <c r="A272" s="20"/>
      <c r="B272" s="21"/>
      <c r="C272" s="21"/>
      <c r="D272" s="21"/>
      <c r="E272" s="21"/>
      <c r="F272" s="22"/>
      <c r="G272" s="20"/>
      <c r="H272" s="23"/>
      <c r="I272" s="24"/>
      <c r="J272" s="14" t="str">
        <f aca="false">IF(C272="","",-E272*H272*IF(OR(B272="Sell call",B272="Buy to close",B272="Expired",B272="Assigned"),100,1)-I272)</f>
        <v/>
      </c>
      <c r="K272" s="21"/>
      <c r="L272" s="21"/>
      <c r="M272" s="21"/>
      <c r="N272" s="8" t="str">
        <f aca="false">IF(A272="","",IF(COUNTIFS(Reconcile!$I:$I,A272,Reconcile!$H:$H,"&gt;="&amp;(J272-0.01),Reconcile!$H:$H,"&lt;="&amp;(J272+0.01))&gt;0,"Yes","Not yet"))</f>
        <v/>
      </c>
      <c r="O272" s="21"/>
    </row>
    <row r="273" customFormat="false" ht="15" hidden="false" customHeight="false" outlineLevel="0" collapsed="false">
      <c r="A273" s="20"/>
      <c r="B273" s="21"/>
      <c r="C273" s="21"/>
      <c r="D273" s="21"/>
      <c r="E273" s="21"/>
      <c r="F273" s="22"/>
      <c r="G273" s="20"/>
      <c r="H273" s="23"/>
      <c r="I273" s="24"/>
      <c r="J273" s="14" t="str">
        <f aca="false">IF(C273="","",-E273*H273*IF(OR(B273="Sell call",B273="Buy to close",B273="Expired",B273="Assigned"),100,1)-I273)</f>
        <v/>
      </c>
      <c r="K273" s="21"/>
      <c r="L273" s="21"/>
      <c r="M273" s="21"/>
      <c r="N273" s="8" t="str">
        <f aca="false">IF(A273="","",IF(COUNTIFS(Reconcile!$I:$I,A273,Reconcile!$H:$H,"&gt;="&amp;(J273-0.01),Reconcile!$H:$H,"&lt;="&amp;(J273+0.01))&gt;0,"Yes","Not yet"))</f>
        <v/>
      </c>
      <c r="O273" s="21"/>
    </row>
    <row r="274" customFormat="false" ht="15" hidden="false" customHeight="false" outlineLevel="0" collapsed="false">
      <c r="A274" s="20"/>
      <c r="B274" s="21"/>
      <c r="C274" s="21"/>
      <c r="D274" s="21"/>
      <c r="E274" s="21"/>
      <c r="F274" s="22"/>
      <c r="G274" s="20"/>
      <c r="H274" s="23"/>
      <c r="I274" s="24"/>
      <c r="J274" s="14" t="str">
        <f aca="false">IF(C274="","",-E274*H274*IF(OR(B274="Sell call",B274="Buy to close",B274="Expired",B274="Assigned"),100,1)-I274)</f>
        <v/>
      </c>
      <c r="K274" s="21"/>
      <c r="L274" s="21"/>
      <c r="M274" s="21"/>
      <c r="N274" s="8" t="str">
        <f aca="false">IF(A274="","",IF(COUNTIFS(Reconcile!$I:$I,A274,Reconcile!$H:$H,"&gt;="&amp;(J274-0.01),Reconcile!$H:$H,"&lt;="&amp;(J274+0.01))&gt;0,"Yes","Not yet"))</f>
        <v/>
      </c>
      <c r="O274" s="21"/>
    </row>
    <row r="275" customFormat="false" ht="15" hidden="false" customHeight="false" outlineLevel="0" collapsed="false">
      <c r="A275" s="20"/>
      <c r="B275" s="21"/>
      <c r="C275" s="21"/>
      <c r="D275" s="21"/>
      <c r="E275" s="21"/>
      <c r="F275" s="22"/>
      <c r="G275" s="20"/>
      <c r="H275" s="23"/>
      <c r="I275" s="24"/>
      <c r="J275" s="14" t="str">
        <f aca="false">IF(C275="","",-E275*H275*IF(OR(B275="Sell call",B275="Buy to close",B275="Expired",B275="Assigned"),100,1)-I275)</f>
        <v/>
      </c>
      <c r="K275" s="21"/>
      <c r="L275" s="21"/>
      <c r="M275" s="21"/>
      <c r="N275" s="8" t="str">
        <f aca="false">IF(A275="","",IF(COUNTIFS(Reconcile!$I:$I,A275,Reconcile!$H:$H,"&gt;="&amp;(J275-0.01),Reconcile!$H:$H,"&lt;="&amp;(J275+0.01))&gt;0,"Yes","Not yet"))</f>
        <v/>
      </c>
      <c r="O275" s="21"/>
    </row>
    <row r="276" customFormat="false" ht="15" hidden="false" customHeight="false" outlineLevel="0" collapsed="false">
      <c r="A276" s="20"/>
      <c r="B276" s="21"/>
      <c r="C276" s="21"/>
      <c r="D276" s="21"/>
      <c r="E276" s="21"/>
      <c r="F276" s="22"/>
      <c r="G276" s="20"/>
      <c r="H276" s="23"/>
      <c r="I276" s="24"/>
      <c r="J276" s="14" t="str">
        <f aca="false">IF(C276="","",-E276*H276*IF(OR(B276="Sell call",B276="Buy to close",B276="Expired",B276="Assigned"),100,1)-I276)</f>
        <v/>
      </c>
      <c r="K276" s="21"/>
      <c r="L276" s="21"/>
      <c r="M276" s="21"/>
      <c r="N276" s="8" t="str">
        <f aca="false">IF(A276="","",IF(COUNTIFS(Reconcile!$I:$I,A276,Reconcile!$H:$H,"&gt;="&amp;(J276-0.01),Reconcile!$H:$H,"&lt;="&amp;(J276+0.01))&gt;0,"Yes","Not yet"))</f>
        <v/>
      </c>
      <c r="O276" s="21"/>
    </row>
    <row r="277" customFormat="false" ht="15" hidden="false" customHeight="false" outlineLevel="0" collapsed="false">
      <c r="A277" s="20"/>
      <c r="B277" s="21"/>
      <c r="C277" s="21"/>
      <c r="D277" s="21"/>
      <c r="E277" s="21"/>
      <c r="F277" s="22"/>
      <c r="G277" s="20"/>
      <c r="H277" s="23"/>
      <c r="I277" s="24"/>
      <c r="J277" s="14" t="str">
        <f aca="false">IF(C277="","",-E277*H277*IF(OR(B277="Sell call",B277="Buy to close",B277="Expired",B277="Assigned"),100,1)-I277)</f>
        <v/>
      </c>
      <c r="K277" s="21"/>
      <c r="L277" s="21"/>
      <c r="M277" s="21"/>
      <c r="N277" s="8" t="str">
        <f aca="false">IF(A277="","",IF(COUNTIFS(Reconcile!$I:$I,A277,Reconcile!$H:$H,"&gt;="&amp;(J277-0.01),Reconcile!$H:$H,"&lt;="&amp;(J277+0.01))&gt;0,"Yes","Not yet"))</f>
        <v/>
      </c>
      <c r="O277" s="21"/>
    </row>
    <row r="278" customFormat="false" ht="15" hidden="false" customHeight="false" outlineLevel="0" collapsed="false">
      <c r="A278" s="20"/>
      <c r="B278" s="21"/>
      <c r="C278" s="21"/>
      <c r="D278" s="21"/>
      <c r="E278" s="21"/>
      <c r="F278" s="22"/>
      <c r="G278" s="20"/>
      <c r="H278" s="23"/>
      <c r="I278" s="24"/>
      <c r="J278" s="14" t="str">
        <f aca="false">IF(C278="","",-E278*H278*IF(OR(B278="Sell call",B278="Buy to close",B278="Expired",B278="Assigned"),100,1)-I278)</f>
        <v/>
      </c>
      <c r="K278" s="21"/>
      <c r="L278" s="21"/>
      <c r="M278" s="21"/>
      <c r="N278" s="8" t="str">
        <f aca="false">IF(A278="","",IF(COUNTIFS(Reconcile!$I:$I,A278,Reconcile!$H:$H,"&gt;="&amp;(J278-0.01),Reconcile!$H:$H,"&lt;="&amp;(J278+0.01))&gt;0,"Yes","Not yet"))</f>
        <v/>
      </c>
      <c r="O278" s="21"/>
    </row>
    <row r="279" customFormat="false" ht="15" hidden="false" customHeight="false" outlineLevel="0" collapsed="false">
      <c r="A279" s="20"/>
      <c r="B279" s="21"/>
      <c r="C279" s="21"/>
      <c r="D279" s="21"/>
      <c r="E279" s="21"/>
      <c r="F279" s="22"/>
      <c r="G279" s="20"/>
      <c r="H279" s="23"/>
      <c r="I279" s="24"/>
      <c r="J279" s="14" t="str">
        <f aca="false">IF(C279="","",-E279*H279*IF(OR(B279="Sell call",B279="Buy to close",B279="Expired",B279="Assigned"),100,1)-I279)</f>
        <v/>
      </c>
      <c r="K279" s="21"/>
      <c r="L279" s="21"/>
      <c r="M279" s="21"/>
      <c r="N279" s="8" t="str">
        <f aca="false">IF(A279="","",IF(COUNTIFS(Reconcile!$I:$I,A279,Reconcile!$H:$H,"&gt;="&amp;(J279-0.01),Reconcile!$H:$H,"&lt;="&amp;(J279+0.01))&gt;0,"Yes","Not yet"))</f>
        <v/>
      </c>
      <c r="O279" s="21"/>
    </row>
    <row r="280" customFormat="false" ht="15" hidden="false" customHeight="false" outlineLevel="0" collapsed="false">
      <c r="A280" s="20"/>
      <c r="B280" s="21"/>
      <c r="C280" s="21"/>
      <c r="D280" s="21"/>
      <c r="E280" s="21"/>
      <c r="F280" s="22"/>
      <c r="G280" s="20"/>
      <c r="H280" s="23"/>
      <c r="I280" s="24"/>
      <c r="J280" s="14" t="str">
        <f aca="false">IF(C280="","",-E280*H280*IF(OR(B280="Sell call",B280="Buy to close",B280="Expired",B280="Assigned"),100,1)-I280)</f>
        <v/>
      </c>
      <c r="K280" s="21"/>
      <c r="L280" s="21"/>
      <c r="M280" s="21"/>
      <c r="N280" s="8" t="str">
        <f aca="false">IF(A280="","",IF(COUNTIFS(Reconcile!$I:$I,A280,Reconcile!$H:$H,"&gt;="&amp;(J280-0.01),Reconcile!$H:$H,"&lt;="&amp;(J280+0.01))&gt;0,"Yes","Not yet"))</f>
        <v/>
      </c>
      <c r="O280" s="21"/>
    </row>
    <row r="281" customFormat="false" ht="15" hidden="false" customHeight="false" outlineLevel="0" collapsed="false">
      <c r="A281" s="20"/>
      <c r="B281" s="21"/>
      <c r="C281" s="21"/>
      <c r="D281" s="21"/>
      <c r="E281" s="21"/>
      <c r="F281" s="22"/>
      <c r="G281" s="20"/>
      <c r="H281" s="23"/>
      <c r="I281" s="24"/>
      <c r="J281" s="14" t="str">
        <f aca="false">IF(C281="","",-E281*H281*IF(OR(B281="Sell call",B281="Buy to close",B281="Expired",B281="Assigned"),100,1)-I281)</f>
        <v/>
      </c>
      <c r="K281" s="21"/>
      <c r="L281" s="21"/>
      <c r="M281" s="21"/>
      <c r="N281" s="8" t="str">
        <f aca="false">IF(A281="","",IF(COUNTIFS(Reconcile!$I:$I,A281,Reconcile!$H:$H,"&gt;="&amp;(J281-0.01),Reconcile!$H:$H,"&lt;="&amp;(J281+0.01))&gt;0,"Yes","Not yet"))</f>
        <v/>
      </c>
      <c r="O281" s="21"/>
    </row>
    <row r="282" customFormat="false" ht="15" hidden="false" customHeight="false" outlineLevel="0" collapsed="false">
      <c r="A282" s="20"/>
      <c r="B282" s="21"/>
      <c r="C282" s="21"/>
      <c r="D282" s="21"/>
      <c r="E282" s="21"/>
      <c r="F282" s="22"/>
      <c r="G282" s="20"/>
      <c r="H282" s="23"/>
      <c r="I282" s="24"/>
      <c r="J282" s="14" t="str">
        <f aca="false">IF(C282="","",-E282*H282*IF(OR(B282="Sell call",B282="Buy to close",B282="Expired",B282="Assigned"),100,1)-I282)</f>
        <v/>
      </c>
      <c r="K282" s="21"/>
      <c r="L282" s="21"/>
      <c r="M282" s="21"/>
      <c r="N282" s="8" t="str">
        <f aca="false">IF(A282="","",IF(COUNTIFS(Reconcile!$I:$I,A282,Reconcile!$H:$H,"&gt;="&amp;(J282-0.01),Reconcile!$H:$H,"&lt;="&amp;(J282+0.01))&gt;0,"Yes","Not yet"))</f>
        <v/>
      </c>
      <c r="O282" s="21"/>
    </row>
    <row r="283" customFormat="false" ht="15" hidden="false" customHeight="false" outlineLevel="0" collapsed="false">
      <c r="A283" s="20"/>
      <c r="B283" s="21"/>
      <c r="C283" s="21"/>
      <c r="D283" s="21"/>
      <c r="E283" s="21"/>
      <c r="F283" s="22"/>
      <c r="G283" s="20"/>
      <c r="H283" s="23"/>
      <c r="I283" s="24"/>
      <c r="J283" s="14" t="str">
        <f aca="false">IF(C283="","",-E283*H283*IF(OR(B283="Sell call",B283="Buy to close",B283="Expired",B283="Assigned"),100,1)-I283)</f>
        <v/>
      </c>
      <c r="K283" s="21"/>
      <c r="L283" s="21"/>
      <c r="M283" s="21"/>
      <c r="N283" s="8" t="str">
        <f aca="false">IF(A283="","",IF(COUNTIFS(Reconcile!$I:$I,A283,Reconcile!$H:$H,"&gt;="&amp;(J283-0.01),Reconcile!$H:$H,"&lt;="&amp;(J283+0.01))&gt;0,"Yes","Not yet"))</f>
        <v/>
      </c>
      <c r="O283" s="21"/>
    </row>
    <row r="284" customFormat="false" ht="15" hidden="false" customHeight="false" outlineLevel="0" collapsed="false">
      <c r="A284" s="20"/>
      <c r="B284" s="21"/>
      <c r="C284" s="21"/>
      <c r="D284" s="21"/>
      <c r="E284" s="21"/>
      <c r="F284" s="22"/>
      <c r="G284" s="20"/>
      <c r="H284" s="23"/>
      <c r="I284" s="24"/>
      <c r="J284" s="14" t="str">
        <f aca="false">IF(C284="","",-E284*H284*IF(OR(B284="Sell call",B284="Buy to close",B284="Expired",B284="Assigned"),100,1)-I284)</f>
        <v/>
      </c>
      <c r="K284" s="21"/>
      <c r="L284" s="21"/>
      <c r="M284" s="21"/>
      <c r="N284" s="8" t="str">
        <f aca="false">IF(A284="","",IF(COUNTIFS(Reconcile!$I:$I,A284,Reconcile!$H:$H,"&gt;="&amp;(J284-0.01),Reconcile!$H:$H,"&lt;="&amp;(J284+0.01))&gt;0,"Yes","Not yet"))</f>
        <v/>
      </c>
      <c r="O284" s="21"/>
    </row>
    <row r="285" customFormat="false" ht="15" hidden="false" customHeight="false" outlineLevel="0" collapsed="false">
      <c r="A285" s="20"/>
      <c r="B285" s="21"/>
      <c r="C285" s="21"/>
      <c r="D285" s="21"/>
      <c r="E285" s="21"/>
      <c r="F285" s="22"/>
      <c r="G285" s="20"/>
      <c r="H285" s="23"/>
      <c r="I285" s="24"/>
      <c r="J285" s="14" t="str">
        <f aca="false">IF(C285="","",-E285*H285*IF(OR(B285="Sell call",B285="Buy to close",B285="Expired",B285="Assigned"),100,1)-I285)</f>
        <v/>
      </c>
      <c r="K285" s="21"/>
      <c r="L285" s="21"/>
      <c r="M285" s="21"/>
      <c r="N285" s="8" t="str">
        <f aca="false">IF(A285="","",IF(COUNTIFS(Reconcile!$I:$I,A285,Reconcile!$H:$H,"&gt;="&amp;(J285-0.01),Reconcile!$H:$H,"&lt;="&amp;(J285+0.01))&gt;0,"Yes","Not yet"))</f>
        <v/>
      </c>
      <c r="O285" s="21"/>
    </row>
    <row r="286" customFormat="false" ht="15" hidden="false" customHeight="false" outlineLevel="0" collapsed="false">
      <c r="A286" s="20"/>
      <c r="B286" s="21"/>
      <c r="C286" s="21"/>
      <c r="D286" s="21"/>
      <c r="E286" s="21"/>
      <c r="F286" s="22"/>
      <c r="G286" s="20"/>
      <c r="H286" s="23"/>
      <c r="I286" s="24"/>
      <c r="J286" s="14" t="str">
        <f aca="false">IF(C286="","",-E286*H286*IF(OR(B286="Sell call",B286="Buy to close",B286="Expired",B286="Assigned"),100,1)-I286)</f>
        <v/>
      </c>
      <c r="K286" s="21"/>
      <c r="L286" s="21"/>
      <c r="M286" s="21"/>
      <c r="N286" s="8" t="str">
        <f aca="false">IF(A286="","",IF(COUNTIFS(Reconcile!$I:$I,A286,Reconcile!$H:$H,"&gt;="&amp;(J286-0.01),Reconcile!$H:$H,"&lt;="&amp;(J286+0.01))&gt;0,"Yes","Not yet"))</f>
        <v/>
      </c>
      <c r="O286" s="21"/>
    </row>
    <row r="287" customFormat="false" ht="15" hidden="false" customHeight="false" outlineLevel="0" collapsed="false">
      <c r="A287" s="20"/>
      <c r="B287" s="21"/>
      <c r="C287" s="21"/>
      <c r="D287" s="21"/>
      <c r="E287" s="21"/>
      <c r="F287" s="22"/>
      <c r="G287" s="20"/>
      <c r="H287" s="23"/>
      <c r="I287" s="24"/>
      <c r="J287" s="14" t="str">
        <f aca="false">IF(C287="","",-E287*H287*IF(OR(B287="Sell call",B287="Buy to close",B287="Expired",B287="Assigned"),100,1)-I287)</f>
        <v/>
      </c>
      <c r="K287" s="21"/>
      <c r="L287" s="21"/>
      <c r="M287" s="21"/>
      <c r="N287" s="8" t="str">
        <f aca="false">IF(A287="","",IF(COUNTIFS(Reconcile!$I:$I,A287,Reconcile!$H:$H,"&gt;="&amp;(J287-0.01),Reconcile!$H:$H,"&lt;="&amp;(J287+0.01))&gt;0,"Yes","Not yet"))</f>
        <v/>
      </c>
      <c r="O287" s="21"/>
    </row>
    <row r="288" customFormat="false" ht="15" hidden="false" customHeight="false" outlineLevel="0" collapsed="false">
      <c r="A288" s="20"/>
      <c r="B288" s="21"/>
      <c r="C288" s="21"/>
      <c r="D288" s="21"/>
      <c r="E288" s="21"/>
      <c r="F288" s="22"/>
      <c r="G288" s="20"/>
      <c r="H288" s="23"/>
      <c r="I288" s="24"/>
      <c r="J288" s="14" t="str">
        <f aca="false">IF(C288="","",-E288*H288*IF(OR(B288="Sell call",B288="Buy to close",B288="Expired",B288="Assigned"),100,1)-I288)</f>
        <v/>
      </c>
      <c r="K288" s="21"/>
      <c r="L288" s="21"/>
      <c r="M288" s="21"/>
      <c r="N288" s="8" t="str">
        <f aca="false">IF(A288="","",IF(COUNTIFS(Reconcile!$I:$I,A288,Reconcile!$H:$H,"&gt;="&amp;(J288-0.01),Reconcile!$H:$H,"&lt;="&amp;(J288+0.01))&gt;0,"Yes","Not yet"))</f>
        <v/>
      </c>
      <c r="O288" s="21"/>
    </row>
    <row r="289" customFormat="false" ht="15" hidden="false" customHeight="false" outlineLevel="0" collapsed="false">
      <c r="A289" s="20"/>
      <c r="B289" s="21"/>
      <c r="C289" s="21"/>
      <c r="D289" s="21"/>
      <c r="E289" s="21"/>
      <c r="F289" s="22"/>
      <c r="G289" s="20"/>
      <c r="H289" s="23"/>
      <c r="I289" s="24"/>
      <c r="J289" s="14" t="str">
        <f aca="false">IF(C289="","",-E289*H289*IF(OR(B289="Sell call",B289="Buy to close",B289="Expired",B289="Assigned"),100,1)-I289)</f>
        <v/>
      </c>
      <c r="K289" s="21"/>
      <c r="L289" s="21"/>
      <c r="M289" s="21"/>
      <c r="N289" s="8" t="str">
        <f aca="false">IF(A289="","",IF(COUNTIFS(Reconcile!$I:$I,A289,Reconcile!$H:$H,"&gt;="&amp;(J289-0.01),Reconcile!$H:$H,"&lt;="&amp;(J289+0.01))&gt;0,"Yes","Not yet"))</f>
        <v/>
      </c>
      <c r="O289" s="21"/>
    </row>
    <row r="290" customFormat="false" ht="15" hidden="false" customHeight="false" outlineLevel="0" collapsed="false">
      <c r="A290" s="20"/>
      <c r="B290" s="21"/>
      <c r="C290" s="21"/>
      <c r="D290" s="21"/>
      <c r="E290" s="21"/>
      <c r="F290" s="22"/>
      <c r="G290" s="20"/>
      <c r="H290" s="23"/>
      <c r="I290" s="24"/>
      <c r="J290" s="14" t="str">
        <f aca="false">IF(C290="","",-E290*H290*IF(OR(B290="Sell call",B290="Buy to close",B290="Expired",B290="Assigned"),100,1)-I290)</f>
        <v/>
      </c>
      <c r="K290" s="21"/>
      <c r="L290" s="21"/>
      <c r="M290" s="21"/>
      <c r="N290" s="8" t="str">
        <f aca="false">IF(A290="","",IF(COUNTIFS(Reconcile!$I:$I,A290,Reconcile!$H:$H,"&gt;="&amp;(J290-0.01),Reconcile!$H:$H,"&lt;="&amp;(J290+0.01))&gt;0,"Yes","Not yet"))</f>
        <v/>
      </c>
      <c r="O290" s="21"/>
    </row>
    <row r="291" customFormat="false" ht="15" hidden="false" customHeight="false" outlineLevel="0" collapsed="false">
      <c r="A291" s="20"/>
      <c r="B291" s="21"/>
      <c r="C291" s="21"/>
      <c r="D291" s="21"/>
      <c r="E291" s="21"/>
      <c r="F291" s="22"/>
      <c r="G291" s="20"/>
      <c r="H291" s="23"/>
      <c r="I291" s="24"/>
      <c r="J291" s="14" t="str">
        <f aca="false">IF(C291="","",-E291*H291*IF(OR(B291="Sell call",B291="Buy to close",B291="Expired",B291="Assigned"),100,1)-I291)</f>
        <v/>
      </c>
      <c r="K291" s="21"/>
      <c r="L291" s="21"/>
      <c r="M291" s="21"/>
      <c r="N291" s="8" t="str">
        <f aca="false">IF(A291="","",IF(COUNTIFS(Reconcile!$I:$I,A291,Reconcile!$H:$H,"&gt;="&amp;(J291-0.01),Reconcile!$H:$H,"&lt;="&amp;(J291+0.01))&gt;0,"Yes","Not yet"))</f>
        <v/>
      </c>
      <c r="O291" s="21"/>
    </row>
    <row r="292" customFormat="false" ht="15" hidden="false" customHeight="false" outlineLevel="0" collapsed="false">
      <c r="A292" s="20"/>
      <c r="B292" s="21"/>
      <c r="C292" s="21"/>
      <c r="D292" s="21"/>
      <c r="E292" s="21"/>
      <c r="F292" s="22"/>
      <c r="G292" s="20"/>
      <c r="H292" s="23"/>
      <c r="I292" s="24"/>
      <c r="J292" s="14" t="str">
        <f aca="false">IF(C292="","",-E292*H292*IF(OR(B292="Sell call",B292="Buy to close",B292="Expired",B292="Assigned"),100,1)-I292)</f>
        <v/>
      </c>
      <c r="K292" s="21"/>
      <c r="L292" s="21"/>
      <c r="M292" s="21"/>
      <c r="N292" s="8" t="str">
        <f aca="false">IF(A292="","",IF(COUNTIFS(Reconcile!$I:$I,A292,Reconcile!$H:$H,"&gt;="&amp;(J292-0.01),Reconcile!$H:$H,"&lt;="&amp;(J292+0.01))&gt;0,"Yes","Not yet"))</f>
        <v/>
      </c>
      <c r="O292" s="21"/>
    </row>
    <row r="293" customFormat="false" ht="15" hidden="false" customHeight="false" outlineLevel="0" collapsed="false">
      <c r="A293" s="20"/>
      <c r="B293" s="21"/>
      <c r="C293" s="21"/>
      <c r="D293" s="21"/>
      <c r="E293" s="21"/>
      <c r="F293" s="22"/>
      <c r="G293" s="20"/>
      <c r="H293" s="23"/>
      <c r="I293" s="24"/>
      <c r="J293" s="14" t="str">
        <f aca="false">IF(C293="","",-E293*H293*IF(OR(B293="Sell call",B293="Buy to close",B293="Expired",B293="Assigned"),100,1)-I293)</f>
        <v/>
      </c>
      <c r="K293" s="21"/>
      <c r="L293" s="21"/>
      <c r="M293" s="21"/>
      <c r="N293" s="8" t="str">
        <f aca="false">IF(A293="","",IF(COUNTIFS(Reconcile!$I:$I,A293,Reconcile!$H:$H,"&gt;="&amp;(J293-0.01),Reconcile!$H:$H,"&lt;="&amp;(J293+0.01))&gt;0,"Yes","Not yet"))</f>
        <v/>
      </c>
      <c r="O293" s="21"/>
    </row>
    <row r="294" customFormat="false" ht="15" hidden="false" customHeight="false" outlineLevel="0" collapsed="false">
      <c r="A294" s="20"/>
      <c r="B294" s="21"/>
      <c r="C294" s="21"/>
      <c r="D294" s="21"/>
      <c r="E294" s="21"/>
      <c r="F294" s="22"/>
      <c r="G294" s="20"/>
      <c r="H294" s="23"/>
      <c r="I294" s="24"/>
      <c r="J294" s="14" t="str">
        <f aca="false">IF(C294="","",-E294*H294*IF(OR(B294="Sell call",B294="Buy to close",B294="Expired",B294="Assigned"),100,1)-I294)</f>
        <v/>
      </c>
      <c r="K294" s="21"/>
      <c r="L294" s="21"/>
      <c r="M294" s="21"/>
      <c r="N294" s="8" t="str">
        <f aca="false">IF(A294="","",IF(COUNTIFS(Reconcile!$I:$I,A294,Reconcile!$H:$H,"&gt;="&amp;(J294-0.01),Reconcile!$H:$H,"&lt;="&amp;(J294+0.01))&gt;0,"Yes","Not yet"))</f>
        <v/>
      </c>
      <c r="O294" s="21"/>
    </row>
    <row r="295" customFormat="false" ht="15" hidden="false" customHeight="false" outlineLevel="0" collapsed="false">
      <c r="A295" s="20"/>
      <c r="B295" s="21"/>
      <c r="C295" s="21"/>
      <c r="D295" s="21"/>
      <c r="E295" s="21"/>
      <c r="F295" s="22"/>
      <c r="G295" s="20"/>
      <c r="H295" s="23"/>
      <c r="I295" s="24"/>
      <c r="J295" s="14" t="str">
        <f aca="false">IF(C295="","",-E295*H295*IF(OR(B295="Sell call",B295="Buy to close",B295="Expired",B295="Assigned"),100,1)-I295)</f>
        <v/>
      </c>
      <c r="K295" s="21"/>
      <c r="L295" s="21"/>
      <c r="M295" s="21"/>
      <c r="N295" s="8" t="str">
        <f aca="false">IF(A295="","",IF(COUNTIFS(Reconcile!$I:$I,A295,Reconcile!$H:$H,"&gt;="&amp;(J295-0.01),Reconcile!$H:$H,"&lt;="&amp;(J295+0.01))&gt;0,"Yes","Not yet"))</f>
        <v/>
      </c>
      <c r="O295" s="21"/>
    </row>
    <row r="296" customFormat="false" ht="15" hidden="false" customHeight="false" outlineLevel="0" collapsed="false">
      <c r="A296" s="20"/>
      <c r="B296" s="21"/>
      <c r="C296" s="21"/>
      <c r="D296" s="21"/>
      <c r="E296" s="21"/>
      <c r="F296" s="22"/>
      <c r="G296" s="20"/>
      <c r="H296" s="23"/>
      <c r="I296" s="24"/>
      <c r="J296" s="14" t="str">
        <f aca="false">IF(C296="","",-E296*H296*IF(OR(B296="Sell call",B296="Buy to close",B296="Expired",B296="Assigned"),100,1)-I296)</f>
        <v/>
      </c>
      <c r="K296" s="21"/>
      <c r="L296" s="21"/>
      <c r="M296" s="21"/>
      <c r="N296" s="8" t="str">
        <f aca="false">IF(A296="","",IF(COUNTIFS(Reconcile!$I:$I,A296,Reconcile!$H:$H,"&gt;="&amp;(J296-0.01),Reconcile!$H:$H,"&lt;="&amp;(J296+0.01))&gt;0,"Yes","Not yet"))</f>
        <v/>
      </c>
      <c r="O296" s="21"/>
    </row>
    <row r="297" customFormat="false" ht="15" hidden="false" customHeight="false" outlineLevel="0" collapsed="false">
      <c r="A297" s="20"/>
      <c r="B297" s="21"/>
      <c r="C297" s="21"/>
      <c r="D297" s="21"/>
      <c r="E297" s="21"/>
      <c r="F297" s="22"/>
      <c r="G297" s="20"/>
      <c r="H297" s="23"/>
      <c r="I297" s="24"/>
      <c r="J297" s="14" t="str">
        <f aca="false">IF(C297="","",-E297*H297*IF(OR(B297="Sell call",B297="Buy to close",B297="Expired",B297="Assigned"),100,1)-I297)</f>
        <v/>
      </c>
      <c r="K297" s="21"/>
      <c r="L297" s="21"/>
      <c r="M297" s="21"/>
      <c r="N297" s="8" t="str">
        <f aca="false">IF(A297="","",IF(COUNTIFS(Reconcile!$I:$I,A297,Reconcile!$H:$H,"&gt;="&amp;(J297-0.01),Reconcile!$H:$H,"&lt;="&amp;(J297+0.01))&gt;0,"Yes","Not yet"))</f>
        <v/>
      </c>
      <c r="O297" s="21"/>
    </row>
    <row r="298" customFormat="false" ht="15" hidden="false" customHeight="false" outlineLevel="0" collapsed="false">
      <c r="A298" s="20"/>
      <c r="B298" s="21"/>
      <c r="C298" s="21"/>
      <c r="D298" s="21"/>
      <c r="E298" s="21"/>
      <c r="F298" s="22"/>
      <c r="G298" s="20"/>
      <c r="H298" s="23"/>
      <c r="I298" s="24"/>
      <c r="J298" s="14" t="str">
        <f aca="false">IF(C298="","",-E298*H298*IF(OR(B298="Sell call",B298="Buy to close",B298="Expired",B298="Assigned"),100,1)-I298)</f>
        <v/>
      </c>
      <c r="K298" s="21"/>
      <c r="L298" s="21"/>
      <c r="M298" s="21"/>
      <c r="N298" s="8" t="str">
        <f aca="false">IF(A298="","",IF(COUNTIFS(Reconcile!$I:$I,A298,Reconcile!$H:$H,"&gt;="&amp;(J298-0.01),Reconcile!$H:$H,"&lt;="&amp;(J298+0.01))&gt;0,"Yes","Not yet"))</f>
        <v/>
      </c>
      <c r="O298" s="21"/>
    </row>
    <row r="299" customFormat="false" ht="15" hidden="false" customHeight="false" outlineLevel="0" collapsed="false">
      <c r="A299" s="20"/>
      <c r="B299" s="21"/>
      <c r="C299" s="21"/>
      <c r="D299" s="21"/>
      <c r="E299" s="21"/>
      <c r="F299" s="22"/>
      <c r="G299" s="20"/>
      <c r="H299" s="23"/>
      <c r="I299" s="24"/>
      <c r="J299" s="14" t="str">
        <f aca="false">IF(C299="","",-E299*H299*IF(OR(B299="Sell call",B299="Buy to close",B299="Expired",B299="Assigned"),100,1)-I299)</f>
        <v/>
      </c>
      <c r="K299" s="21"/>
      <c r="L299" s="21"/>
      <c r="M299" s="21"/>
      <c r="N299" s="8" t="str">
        <f aca="false">IF(A299="","",IF(COUNTIFS(Reconcile!$I:$I,A299,Reconcile!$H:$H,"&gt;="&amp;(J299-0.01),Reconcile!$H:$H,"&lt;="&amp;(J299+0.01))&gt;0,"Yes","Not yet"))</f>
        <v/>
      </c>
      <c r="O299" s="21"/>
    </row>
    <row r="300" customFormat="false" ht="15" hidden="false" customHeight="false" outlineLevel="0" collapsed="false">
      <c r="A300" s="20"/>
      <c r="B300" s="21"/>
      <c r="C300" s="21"/>
      <c r="D300" s="21"/>
      <c r="E300" s="21"/>
      <c r="F300" s="22"/>
      <c r="G300" s="20"/>
      <c r="H300" s="23"/>
      <c r="I300" s="24"/>
      <c r="J300" s="14" t="str">
        <f aca="false">IF(C300="","",-E300*H300*IF(OR(B300="Sell call",B300="Buy to close",B300="Expired",B300="Assigned"),100,1)-I300)</f>
        <v/>
      </c>
      <c r="K300" s="21"/>
      <c r="L300" s="21"/>
      <c r="M300" s="21"/>
      <c r="N300" s="8" t="str">
        <f aca="false">IF(A300="","",IF(COUNTIFS(Reconcile!$I:$I,A300,Reconcile!$H:$H,"&gt;="&amp;(J300-0.01),Reconcile!$H:$H,"&lt;="&amp;(J300+0.01))&gt;0,"Yes","Not yet"))</f>
        <v/>
      </c>
      <c r="O300" s="21"/>
    </row>
    <row r="301" customFormat="false" ht="15" hidden="false" customHeight="false" outlineLevel="0" collapsed="false">
      <c r="A301" s="20"/>
      <c r="B301" s="21"/>
      <c r="C301" s="21"/>
      <c r="D301" s="21"/>
      <c r="E301" s="21"/>
      <c r="F301" s="22"/>
      <c r="G301" s="20"/>
      <c r="H301" s="23"/>
      <c r="I301" s="24"/>
      <c r="J301" s="14" t="str">
        <f aca="false">IF(C301="","",-E301*H301*IF(OR(B301="Sell call",B301="Buy to close",B301="Expired",B301="Assigned"),100,1)-I301)</f>
        <v/>
      </c>
      <c r="K301" s="21"/>
      <c r="L301" s="21"/>
      <c r="M301" s="21"/>
      <c r="N301" s="8" t="str">
        <f aca="false">IF(A301="","",IF(COUNTIFS(Reconcile!$I:$I,A301,Reconcile!$H:$H,"&gt;="&amp;(J301-0.01),Reconcile!$H:$H,"&lt;="&amp;(J301+0.01))&gt;0,"Yes","Not yet"))</f>
        <v/>
      </c>
      <c r="O301" s="21"/>
    </row>
    <row r="302" customFormat="false" ht="15" hidden="false" customHeight="false" outlineLevel="0" collapsed="false">
      <c r="A302" s="20"/>
      <c r="B302" s="21"/>
      <c r="C302" s="21"/>
      <c r="D302" s="21"/>
      <c r="E302" s="21"/>
      <c r="F302" s="22"/>
      <c r="G302" s="20"/>
      <c r="H302" s="23"/>
      <c r="I302" s="24"/>
      <c r="J302" s="14" t="str">
        <f aca="false">IF(C302="","",-E302*H302*IF(OR(B302="Sell call",B302="Buy to close",B302="Expired",B302="Assigned"),100,1)-I302)</f>
        <v/>
      </c>
      <c r="K302" s="21"/>
      <c r="L302" s="21"/>
      <c r="M302" s="21"/>
      <c r="N302" s="8" t="str">
        <f aca="false">IF(A302="","",IF(COUNTIFS(Reconcile!$I:$I,A302,Reconcile!$H:$H,"&gt;="&amp;(J302-0.01),Reconcile!$H:$H,"&lt;="&amp;(J302+0.01))&gt;0,"Yes","Not yet"))</f>
        <v/>
      </c>
      <c r="O302" s="21"/>
    </row>
    <row r="303" customFormat="false" ht="15" hidden="false" customHeight="false" outlineLevel="0" collapsed="false">
      <c r="A303" s="20"/>
      <c r="B303" s="21"/>
      <c r="C303" s="21"/>
      <c r="D303" s="21"/>
      <c r="E303" s="21"/>
      <c r="F303" s="22"/>
      <c r="G303" s="20"/>
      <c r="H303" s="23"/>
      <c r="I303" s="24"/>
      <c r="J303" s="14" t="str">
        <f aca="false">IF(C303="","",-E303*H303*IF(OR(B303="Sell call",B303="Buy to close",B303="Expired",B303="Assigned"),100,1)-I303)</f>
        <v/>
      </c>
      <c r="K303" s="21"/>
      <c r="L303" s="21"/>
      <c r="M303" s="21"/>
      <c r="N303" s="8" t="str">
        <f aca="false">IF(A303="","",IF(COUNTIFS(Reconcile!$I:$I,A303,Reconcile!$H:$H,"&gt;="&amp;(J303-0.01),Reconcile!$H:$H,"&lt;="&amp;(J303+0.01))&gt;0,"Yes","Not yet"))</f>
        <v/>
      </c>
      <c r="O303" s="21"/>
    </row>
    <row r="304" customFormat="false" ht="15" hidden="false" customHeight="false" outlineLevel="0" collapsed="false">
      <c r="A304" s="20"/>
      <c r="B304" s="21"/>
      <c r="C304" s="21"/>
      <c r="D304" s="21"/>
      <c r="E304" s="21"/>
      <c r="F304" s="22"/>
      <c r="G304" s="20"/>
      <c r="H304" s="23"/>
      <c r="I304" s="24"/>
      <c r="J304" s="14" t="str">
        <f aca="false">IF(C304="","",-E304*H304*IF(OR(B304="Sell call",B304="Buy to close",B304="Expired",B304="Assigned"),100,1)-I304)</f>
        <v/>
      </c>
      <c r="K304" s="21"/>
      <c r="L304" s="21"/>
      <c r="M304" s="21"/>
      <c r="N304" s="8" t="str">
        <f aca="false">IF(A304="","",IF(COUNTIFS(Reconcile!$I:$I,A304,Reconcile!$H:$H,"&gt;="&amp;(J304-0.01),Reconcile!$H:$H,"&lt;="&amp;(J304+0.01))&gt;0,"Yes","Not yet"))</f>
        <v/>
      </c>
      <c r="O304" s="21"/>
    </row>
    <row r="305" customFormat="false" ht="15" hidden="false" customHeight="false" outlineLevel="0" collapsed="false">
      <c r="A305" s="20"/>
      <c r="B305" s="21"/>
      <c r="C305" s="21"/>
      <c r="D305" s="21"/>
      <c r="E305" s="21"/>
      <c r="F305" s="22"/>
      <c r="G305" s="20"/>
      <c r="H305" s="23"/>
      <c r="I305" s="24"/>
      <c r="J305" s="14" t="str">
        <f aca="false">IF(C305="","",-E305*H305*IF(OR(B305="Sell call",B305="Buy to close",B305="Expired",B305="Assigned"),100,1)-I305)</f>
        <v/>
      </c>
      <c r="K305" s="21"/>
      <c r="L305" s="21"/>
      <c r="M305" s="21"/>
      <c r="N305" s="8" t="str">
        <f aca="false">IF(A305="","",IF(COUNTIFS(Reconcile!$I:$I,A305,Reconcile!$H:$H,"&gt;="&amp;(J305-0.01),Reconcile!$H:$H,"&lt;="&amp;(J305+0.01))&gt;0,"Yes","Not yet"))</f>
        <v/>
      </c>
      <c r="O305" s="21"/>
    </row>
    <row r="306" customFormat="false" ht="15" hidden="false" customHeight="false" outlineLevel="0" collapsed="false">
      <c r="A306" s="20"/>
      <c r="B306" s="21"/>
      <c r="C306" s="21"/>
      <c r="D306" s="21"/>
      <c r="E306" s="21"/>
      <c r="F306" s="22"/>
      <c r="G306" s="20"/>
      <c r="H306" s="23"/>
      <c r="I306" s="24"/>
      <c r="J306" s="14" t="str">
        <f aca="false">IF(C306="","",-E306*H306*IF(OR(B306="Sell call",B306="Buy to close",B306="Expired",B306="Assigned"),100,1)-I306)</f>
        <v/>
      </c>
      <c r="K306" s="21"/>
      <c r="L306" s="21"/>
      <c r="M306" s="21"/>
      <c r="N306" s="8" t="str">
        <f aca="false">IF(A306="","",IF(COUNTIFS(Reconcile!$I:$I,A306,Reconcile!$H:$H,"&gt;="&amp;(J306-0.01),Reconcile!$H:$H,"&lt;="&amp;(J306+0.01))&gt;0,"Yes","Not yet"))</f>
        <v/>
      </c>
      <c r="O306" s="21"/>
    </row>
    <row r="307" customFormat="false" ht="15" hidden="false" customHeight="false" outlineLevel="0" collapsed="false">
      <c r="A307" s="20"/>
      <c r="B307" s="21"/>
      <c r="C307" s="21"/>
      <c r="D307" s="21"/>
      <c r="E307" s="21"/>
      <c r="F307" s="22"/>
      <c r="G307" s="20"/>
      <c r="H307" s="23"/>
      <c r="I307" s="24"/>
      <c r="J307" s="14" t="str">
        <f aca="false">IF(C307="","",-E307*H307*IF(OR(B307="Sell call",B307="Buy to close",B307="Expired",B307="Assigned"),100,1)-I307)</f>
        <v/>
      </c>
      <c r="K307" s="21"/>
      <c r="L307" s="21"/>
      <c r="M307" s="21"/>
      <c r="N307" s="8" t="str">
        <f aca="false">IF(A307="","",IF(COUNTIFS(Reconcile!$I:$I,A307,Reconcile!$H:$H,"&gt;="&amp;(J307-0.01),Reconcile!$H:$H,"&lt;="&amp;(J307+0.01))&gt;0,"Yes","Not yet"))</f>
        <v/>
      </c>
      <c r="O307" s="21"/>
    </row>
    <row r="308" customFormat="false" ht="15" hidden="false" customHeight="false" outlineLevel="0" collapsed="false">
      <c r="A308" s="20"/>
      <c r="B308" s="21"/>
      <c r="C308" s="21"/>
      <c r="D308" s="21"/>
      <c r="E308" s="21"/>
      <c r="F308" s="22"/>
      <c r="G308" s="20"/>
      <c r="H308" s="23"/>
      <c r="I308" s="24"/>
      <c r="J308" s="14" t="str">
        <f aca="false">IF(C308="","",-E308*H308*IF(OR(B308="Sell call",B308="Buy to close",B308="Expired",B308="Assigned"),100,1)-I308)</f>
        <v/>
      </c>
      <c r="K308" s="21"/>
      <c r="L308" s="21"/>
      <c r="M308" s="21"/>
      <c r="N308" s="8" t="str">
        <f aca="false">IF(A308="","",IF(COUNTIFS(Reconcile!$I:$I,A308,Reconcile!$H:$H,"&gt;="&amp;(J308-0.01),Reconcile!$H:$H,"&lt;="&amp;(J308+0.01))&gt;0,"Yes","Not yet"))</f>
        <v/>
      </c>
      <c r="O308" s="21"/>
    </row>
    <row r="309" customFormat="false" ht="15" hidden="false" customHeight="false" outlineLevel="0" collapsed="false">
      <c r="A309" s="20"/>
      <c r="B309" s="21"/>
      <c r="C309" s="21"/>
      <c r="D309" s="21"/>
      <c r="E309" s="21"/>
      <c r="F309" s="22"/>
      <c r="G309" s="20"/>
      <c r="H309" s="23"/>
      <c r="I309" s="24"/>
      <c r="J309" s="14" t="str">
        <f aca="false">IF(C309="","",-E309*H309*IF(OR(B309="Sell call",B309="Buy to close",B309="Expired",B309="Assigned"),100,1)-I309)</f>
        <v/>
      </c>
      <c r="K309" s="21"/>
      <c r="L309" s="21"/>
      <c r="M309" s="21"/>
      <c r="N309" s="8" t="str">
        <f aca="false">IF(A309="","",IF(COUNTIFS(Reconcile!$I:$I,A309,Reconcile!$H:$H,"&gt;="&amp;(J309-0.01),Reconcile!$H:$H,"&lt;="&amp;(J309+0.01))&gt;0,"Yes","Not yet"))</f>
        <v/>
      </c>
      <c r="O309" s="21"/>
    </row>
    <row r="310" customFormat="false" ht="15" hidden="false" customHeight="false" outlineLevel="0" collapsed="false">
      <c r="A310" s="20"/>
      <c r="B310" s="21"/>
      <c r="C310" s="21"/>
      <c r="D310" s="21"/>
      <c r="E310" s="21"/>
      <c r="F310" s="22"/>
      <c r="G310" s="20"/>
      <c r="H310" s="23"/>
      <c r="I310" s="24"/>
      <c r="J310" s="14" t="str">
        <f aca="false">IF(C310="","",-E310*H310*IF(OR(B310="Sell call",B310="Buy to close",B310="Expired",B310="Assigned"),100,1)-I310)</f>
        <v/>
      </c>
      <c r="K310" s="21"/>
      <c r="L310" s="21"/>
      <c r="M310" s="21"/>
      <c r="N310" s="8" t="str">
        <f aca="false">IF(A310="","",IF(COUNTIFS(Reconcile!$I:$I,A310,Reconcile!$H:$H,"&gt;="&amp;(J310-0.01),Reconcile!$H:$H,"&lt;="&amp;(J310+0.01))&gt;0,"Yes","Not yet"))</f>
        <v/>
      </c>
      <c r="O310" s="21"/>
    </row>
    <row r="311" customFormat="false" ht="15" hidden="false" customHeight="false" outlineLevel="0" collapsed="false">
      <c r="A311" s="20"/>
      <c r="B311" s="21"/>
      <c r="C311" s="21"/>
      <c r="D311" s="21"/>
      <c r="E311" s="21"/>
      <c r="F311" s="22"/>
      <c r="G311" s="20"/>
      <c r="H311" s="23"/>
      <c r="I311" s="24"/>
      <c r="J311" s="14" t="str">
        <f aca="false">IF(C311="","",-E311*H311*IF(OR(B311="Sell call",B311="Buy to close",B311="Expired",B311="Assigned"),100,1)-I311)</f>
        <v/>
      </c>
      <c r="K311" s="21"/>
      <c r="L311" s="21"/>
      <c r="M311" s="21"/>
      <c r="N311" s="8" t="str">
        <f aca="false">IF(A311="","",IF(COUNTIFS(Reconcile!$I:$I,A311,Reconcile!$H:$H,"&gt;="&amp;(J311-0.01),Reconcile!$H:$H,"&lt;="&amp;(J311+0.01))&gt;0,"Yes","Not yet"))</f>
        <v/>
      </c>
      <c r="O311" s="21"/>
    </row>
    <row r="312" customFormat="false" ht="15" hidden="false" customHeight="false" outlineLevel="0" collapsed="false">
      <c r="A312" s="20"/>
      <c r="B312" s="21"/>
      <c r="C312" s="21"/>
      <c r="D312" s="21"/>
      <c r="E312" s="21"/>
      <c r="F312" s="22"/>
      <c r="G312" s="20"/>
      <c r="H312" s="23"/>
      <c r="I312" s="24"/>
      <c r="J312" s="14" t="str">
        <f aca="false">IF(C312="","",-E312*H312*IF(OR(B312="Sell call",B312="Buy to close",B312="Expired",B312="Assigned"),100,1)-I312)</f>
        <v/>
      </c>
      <c r="K312" s="21"/>
      <c r="L312" s="21"/>
      <c r="M312" s="21"/>
      <c r="N312" s="8" t="str">
        <f aca="false">IF(A312="","",IF(COUNTIFS(Reconcile!$I:$I,A312,Reconcile!$H:$H,"&gt;="&amp;(J312-0.01),Reconcile!$H:$H,"&lt;="&amp;(J312+0.01))&gt;0,"Yes","Not yet"))</f>
        <v/>
      </c>
      <c r="O312" s="21"/>
    </row>
    <row r="313" customFormat="false" ht="15" hidden="false" customHeight="false" outlineLevel="0" collapsed="false">
      <c r="A313" s="20"/>
      <c r="B313" s="21"/>
      <c r="C313" s="21"/>
      <c r="D313" s="21"/>
      <c r="E313" s="21"/>
      <c r="F313" s="22"/>
      <c r="G313" s="20"/>
      <c r="H313" s="23"/>
      <c r="I313" s="24"/>
      <c r="J313" s="14" t="str">
        <f aca="false">IF(C313="","",-E313*H313*IF(OR(B313="Sell call",B313="Buy to close",B313="Expired",B313="Assigned"),100,1)-I313)</f>
        <v/>
      </c>
      <c r="K313" s="21"/>
      <c r="L313" s="21"/>
      <c r="M313" s="21"/>
      <c r="N313" s="8" t="str">
        <f aca="false">IF(A313="","",IF(COUNTIFS(Reconcile!$I:$I,A313,Reconcile!$H:$H,"&gt;="&amp;(J313-0.01),Reconcile!$H:$H,"&lt;="&amp;(J313+0.01))&gt;0,"Yes","Not yet"))</f>
        <v/>
      </c>
      <c r="O313" s="21"/>
    </row>
    <row r="314" customFormat="false" ht="15" hidden="false" customHeight="false" outlineLevel="0" collapsed="false">
      <c r="A314" s="20"/>
      <c r="B314" s="21"/>
      <c r="C314" s="21"/>
      <c r="D314" s="21"/>
      <c r="E314" s="21"/>
      <c r="F314" s="22"/>
      <c r="G314" s="20"/>
      <c r="H314" s="23"/>
      <c r="I314" s="24"/>
      <c r="J314" s="14" t="str">
        <f aca="false">IF(C314="","",-E314*H314*IF(OR(B314="Sell call",B314="Buy to close",B314="Expired",B314="Assigned"),100,1)-I314)</f>
        <v/>
      </c>
      <c r="K314" s="21"/>
      <c r="L314" s="21"/>
      <c r="M314" s="21"/>
      <c r="N314" s="8" t="str">
        <f aca="false">IF(A314="","",IF(COUNTIFS(Reconcile!$I:$I,A314,Reconcile!$H:$H,"&gt;="&amp;(J314-0.01),Reconcile!$H:$H,"&lt;="&amp;(J314+0.01))&gt;0,"Yes","Not yet"))</f>
        <v/>
      </c>
      <c r="O314" s="21"/>
    </row>
    <row r="315" customFormat="false" ht="15" hidden="false" customHeight="false" outlineLevel="0" collapsed="false">
      <c r="A315" s="20"/>
      <c r="B315" s="21"/>
      <c r="C315" s="21"/>
      <c r="D315" s="21"/>
      <c r="E315" s="21"/>
      <c r="F315" s="22"/>
      <c r="G315" s="20"/>
      <c r="H315" s="23"/>
      <c r="I315" s="24"/>
      <c r="J315" s="14" t="str">
        <f aca="false">IF(C315="","",-E315*H315*IF(OR(B315="Sell call",B315="Buy to close",B315="Expired",B315="Assigned"),100,1)-I315)</f>
        <v/>
      </c>
      <c r="K315" s="21"/>
      <c r="L315" s="21"/>
      <c r="M315" s="21"/>
      <c r="N315" s="8" t="str">
        <f aca="false">IF(A315="","",IF(COUNTIFS(Reconcile!$I:$I,A315,Reconcile!$H:$H,"&gt;="&amp;(J315-0.01),Reconcile!$H:$H,"&lt;="&amp;(J315+0.01))&gt;0,"Yes","Not yet"))</f>
        <v/>
      </c>
      <c r="O315" s="21"/>
    </row>
    <row r="316" customFormat="false" ht="15" hidden="false" customHeight="false" outlineLevel="0" collapsed="false">
      <c r="A316" s="20"/>
      <c r="B316" s="21"/>
      <c r="C316" s="21"/>
      <c r="D316" s="21"/>
      <c r="E316" s="21"/>
      <c r="F316" s="22"/>
      <c r="G316" s="20"/>
      <c r="H316" s="23"/>
      <c r="I316" s="24"/>
      <c r="J316" s="14" t="str">
        <f aca="false">IF(C316="","",-E316*H316*IF(OR(B316="Sell call",B316="Buy to close",B316="Expired",B316="Assigned"),100,1)-I316)</f>
        <v/>
      </c>
      <c r="K316" s="21"/>
      <c r="L316" s="21"/>
      <c r="M316" s="21"/>
      <c r="N316" s="8" t="str">
        <f aca="false">IF(A316="","",IF(COUNTIFS(Reconcile!$I:$I,A316,Reconcile!$H:$H,"&gt;="&amp;(J316-0.01),Reconcile!$H:$H,"&lt;="&amp;(J316+0.01))&gt;0,"Yes","Not yet"))</f>
        <v/>
      </c>
      <c r="O316" s="21"/>
    </row>
    <row r="317" customFormat="false" ht="15" hidden="false" customHeight="false" outlineLevel="0" collapsed="false">
      <c r="A317" s="20"/>
      <c r="B317" s="21"/>
      <c r="C317" s="21"/>
      <c r="D317" s="21"/>
      <c r="E317" s="21"/>
      <c r="F317" s="22"/>
      <c r="G317" s="20"/>
      <c r="H317" s="23"/>
      <c r="I317" s="24"/>
      <c r="J317" s="14" t="str">
        <f aca="false">IF(C317="","",-E317*H317*IF(OR(B317="Sell call",B317="Buy to close",B317="Expired",B317="Assigned"),100,1)-I317)</f>
        <v/>
      </c>
      <c r="K317" s="21"/>
      <c r="L317" s="21"/>
      <c r="M317" s="21"/>
      <c r="N317" s="8" t="str">
        <f aca="false">IF(A317="","",IF(COUNTIFS(Reconcile!$I:$I,A317,Reconcile!$H:$H,"&gt;="&amp;(J317-0.01),Reconcile!$H:$H,"&lt;="&amp;(J317+0.01))&gt;0,"Yes","Not yet"))</f>
        <v/>
      </c>
      <c r="O317" s="21"/>
    </row>
    <row r="318" customFormat="false" ht="15" hidden="false" customHeight="false" outlineLevel="0" collapsed="false">
      <c r="A318" s="20"/>
      <c r="B318" s="21"/>
      <c r="C318" s="21"/>
      <c r="D318" s="21"/>
      <c r="E318" s="21"/>
      <c r="F318" s="22"/>
      <c r="G318" s="20"/>
      <c r="H318" s="23"/>
      <c r="I318" s="24"/>
      <c r="J318" s="14" t="str">
        <f aca="false">IF(C318="","",-E318*H318*IF(OR(B318="Sell call",B318="Buy to close",B318="Expired",B318="Assigned"),100,1)-I318)</f>
        <v/>
      </c>
      <c r="K318" s="21"/>
      <c r="L318" s="21"/>
      <c r="M318" s="21"/>
      <c r="N318" s="8" t="str">
        <f aca="false">IF(A318="","",IF(COUNTIFS(Reconcile!$I:$I,A318,Reconcile!$H:$H,"&gt;="&amp;(J318-0.01),Reconcile!$H:$H,"&lt;="&amp;(J318+0.01))&gt;0,"Yes","Not yet"))</f>
        <v/>
      </c>
      <c r="O318" s="21"/>
    </row>
    <row r="319" customFormat="false" ht="15" hidden="false" customHeight="false" outlineLevel="0" collapsed="false">
      <c r="A319" s="20"/>
      <c r="B319" s="21"/>
      <c r="C319" s="21"/>
      <c r="D319" s="21"/>
      <c r="E319" s="21"/>
      <c r="F319" s="22"/>
      <c r="G319" s="20"/>
      <c r="H319" s="23"/>
      <c r="I319" s="24"/>
      <c r="J319" s="14" t="str">
        <f aca="false">IF(C319="","",-E319*H319*IF(OR(B319="Sell call",B319="Buy to close",B319="Expired",B319="Assigned"),100,1)-I319)</f>
        <v/>
      </c>
      <c r="K319" s="21"/>
      <c r="L319" s="21"/>
      <c r="M319" s="21"/>
      <c r="N319" s="8" t="str">
        <f aca="false">IF(A319="","",IF(COUNTIFS(Reconcile!$I:$I,A319,Reconcile!$H:$H,"&gt;="&amp;(J319-0.01),Reconcile!$H:$H,"&lt;="&amp;(J319+0.01))&gt;0,"Yes","Not yet"))</f>
        <v/>
      </c>
      <c r="O319" s="21"/>
    </row>
    <row r="320" customFormat="false" ht="15" hidden="false" customHeight="false" outlineLevel="0" collapsed="false">
      <c r="A320" s="20"/>
      <c r="B320" s="21"/>
      <c r="C320" s="21"/>
      <c r="D320" s="21"/>
      <c r="E320" s="21"/>
      <c r="F320" s="22"/>
      <c r="G320" s="20"/>
      <c r="H320" s="23"/>
      <c r="I320" s="24"/>
      <c r="J320" s="14" t="str">
        <f aca="false">IF(C320="","",-E320*H320*IF(OR(B320="Sell call",B320="Buy to close",B320="Expired",B320="Assigned"),100,1)-I320)</f>
        <v/>
      </c>
      <c r="K320" s="21"/>
      <c r="L320" s="21"/>
      <c r="M320" s="21"/>
      <c r="N320" s="8" t="str">
        <f aca="false">IF(A320="","",IF(COUNTIFS(Reconcile!$I:$I,A320,Reconcile!$H:$H,"&gt;="&amp;(J320-0.01),Reconcile!$H:$H,"&lt;="&amp;(J320+0.01))&gt;0,"Yes","Not yet"))</f>
        <v/>
      </c>
      <c r="O320" s="21"/>
    </row>
    <row r="321" customFormat="false" ht="15" hidden="false" customHeight="false" outlineLevel="0" collapsed="false">
      <c r="A321" s="20"/>
      <c r="B321" s="21"/>
      <c r="C321" s="21"/>
      <c r="D321" s="21"/>
      <c r="E321" s="21"/>
      <c r="F321" s="22"/>
      <c r="G321" s="20"/>
      <c r="H321" s="23"/>
      <c r="I321" s="24"/>
      <c r="J321" s="14" t="str">
        <f aca="false">IF(C321="","",-E321*H321*IF(OR(B321="Sell call",B321="Buy to close",B321="Expired",B321="Assigned"),100,1)-I321)</f>
        <v/>
      </c>
      <c r="K321" s="21"/>
      <c r="L321" s="21"/>
      <c r="M321" s="21"/>
      <c r="N321" s="8" t="str">
        <f aca="false">IF(A321="","",IF(COUNTIFS(Reconcile!$I:$I,A321,Reconcile!$H:$H,"&gt;="&amp;(J321-0.01),Reconcile!$H:$H,"&lt;="&amp;(J321+0.01))&gt;0,"Yes","Not yet"))</f>
        <v/>
      </c>
      <c r="O321" s="21"/>
    </row>
    <row r="322" customFormat="false" ht="15" hidden="false" customHeight="false" outlineLevel="0" collapsed="false">
      <c r="A322" s="20"/>
      <c r="B322" s="21"/>
      <c r="C322" s="21"/>
      <c r="D322" s="21"/>
      <c r="E322" s="21"/>
      <c r="F322" s="22"/>
      <c r="G322" s="20"/>
      <c r="H322" s="23"/>
      <c r="I322" s="24"/>
      <c r="J322" s="14" t="str">
        <f aca="false">IF(C322="","",-E322*H322*IF(OR(B322="Sell call",B322="Buy to close",B322="Expired",B322="Assigned"),100,1)-I322)</f>
        <v/>
      </c>
      <c r="K322" s="21"/>
      <c r="L322" s="21"/>
      <c r="M322" s="21"/>
      <c r="N322" s="8" t="str">
        <f aca="false">IF(A322="","",IF(COUNTIFS(Reconcile!$I:$I,A322,Reconcile!$H:$H,"&gt;="&amp;(J322-0.01),Reconcile!$H:$H,"&lt;="&amp;(J322+0.01))&gt;0,"Yes","Not yet"))</f>
        <v/>
      </c>
      <c r="O322" s="21"/>
    </row>
    <row r="323" customFormat="false" ht="15" hidden="false" customHeight="false" outlineLevel="0" collapsed="false">
      <c r="A323" s="20"/>
      <c r="B323" s="21"/>
      <c r="C323" s="21"/>
      <c r="D323" s="21"/>
      <c r="E323" s="21"/>
      <c r="F323" s="22"/>
      <c r="G323" s="20"/>
      <c r="H323" s="23"/>
      <c r="I323" s="24"/>
      <c r="J323" s="14" t="str">
        <f aca="false">IF(C323="","",-E323*H323*IF(OR(B323="Sell call",B323="Buy to close",B323="Expired",B323="Assigned"),100,1)-I323)</f>
        <v/>
      </c>
      <c r="K323" s="21"/>
      <c r="L323" s="21"/>
      <c r="M323" s="21"/>
      <c r="N323" s="8" t="str">
        <f aca="false">IF(A323="","",IF(COUNTIFS(Reconcile!$I:$I,A323,Reconcile!$H:$H,"&gt;="&amp;(J323-0.01),Reconcile!$H:$H,"&lt;="&amp;(J323+0.01))&gt;0,"Yes","Not yet"))</f>
        <v/>
      </c>
      <c r="O323" s="21"/>
    </row>
    <row r="324" customFormat="false" ht="15" hidden="false" customHeight="false" outlineLevel="0" collapsed="false">
      <c r="A324" s="20"/>
      <c r="B324" s="21"/>
      <c r="C324" s="21"/>
      <c r="D324" s="21"/>
      <c r="E324" s="21"/>
      <c r="F324" s="22"/>
      <c r="G324" s="20"/>
      <c r="H324" s="23"/>
      <c r="I324" s="24"/>
      <c r="J324" s="14" t="str">
        <f aca="false">IF(C324="","",-E324*H324*IF(OR(B324="Sell call",B324="Buy to close",B324="Expired",B324="Assigned"),100,1)-I324)</f>
        <v/>
      </c>
      <c r="K324" s="21"/>
      <c r="L324" s="21"/>
      <c r="M324" s="21"/>
      <c r="N324" s="8" t="str">
        <f aca="false">IF(A324="","",IF(COUNTIFS(Reconcile!$I:$I,A324,Reconcile!$H:$H,"&gt;="&amp;(J324-0.01),Reconcile!$H:$H,"&lt;="&amp;(J324+0.01))&gt;0,"Yes","Not yet"))</f>
        <v/>
      </c>
      <c r="O324" s="21"/>
    </row>
    <row r="325" customFormat="false" ht="15" hidden="false" customHeight="false" outlineLevel="0" collapsed="false">
      <c r="A325" s="20"/>
      <c r="B325" s="21"/>
      <c r="C325" s="21"/>
      <c r="D325" s="21"/>
      <c r="E325" s="21"/>
      <c r="F325" s="22"/>
      <c r="G325" s="20"/>
      <c r="H325" s="23"/>
      <c r="I325" s="24"/>
      <c r="J325" s="14" t="str">
        <f aca="false">IF(C325="","",-E325*H325*IF(OR(B325="Sell call",B325="Buy to close",B325="Expired",B325="Assigned"),100,1)-I325)</f>
        <v/>
      </c>
      <c r="K325" s="21"/>
      <c r="L325" s="21"/>
      <c r="M325" s="21"/>
      <c r="N325" s="8" t="str">
        <f aca="false">IF(A325="","",IF(COUNTIFS(Reconcile!$I:$I,A325,Reconcile!$H:$H,"&gt;="&amp;(J325-0.01),Reconcile!$H:$H,"&lt;="&amp;(J325+0.01))&gt;0,"Yes","Not yet"))</f>
        <v/>
      </c>
      <c r="O325" s="21"/>
    </row>
    <row r="326" customFormat="false" ht="15" hidden="false" customHeight="false" outlineLevel="0" collapsed="false">
      <c r="A326" s="20"/>
      <c r="B326" s="21"/>
      <c r="C326" s="21"/>
      <c r="D326" s="21"/>
      <c r="E326" s="21"/>
      <c r="F326" s="22"/>
      <c r="G326" s="20"/>
      <c r="H326" s="23"/>
      <c r="I326" s="24"/>
      <c r="J326" s="14" t="str">
        <f aca="false">IF(C326="","",-E326*H326*IF(OR(B326="Sell call",B326="Buy to close",B326="Expired",B326="Assigned"),100,1)-I326)</f>
        <v/>
      </c>
      <c r="K326" s="21"/>
      <c r="L326" s="21"/>
      <c r="M326" s="21"/>
      <c r="N326" s="8" t="str">
        <f aca="false">IF(A326="","",IF(COUNTIFS(Reconcile!$I:$I,A326,Reconcile!$H:$H,"&gt;="&amp;(J326-0.01),Reconcile!$H:$H,"&lt;="&amp;(J326+0.01))&gt;0,"Yes","Not yet"))</f>
        <v/>
      </c>
      <c r="O326" s="21"/>
    </row>
    <row r="327" customFormat="false" ht="15" hidden="false" customHeight="false" outlineLevel="0" collapsed="false">
      <c r="A327" s="20"/>
      <c r="B327" s="21"/>
      <c r="C327" s="21"/>
      <c r="D327" s="21"/>
      <c r="E327" s="21"/>
      <c r="F327" s="22"/>
      <c r="G327" s="20"/>
      <c r="H327" s="23"/>
      <c r="I327" s="24"/>
      <c r="J327" s="14" t="str">
        <f aca="false">IF(C327="","",-E327*H327*IF(OR(B327="Sell call",B327="Buy to close",B327="Expired",B327="Assigned"),100,1)-I327)</f>
        <v/>
      </c>
      <c r="K327" s="21"/>
      <c r="L327" s="21"/>
      <c r="M327" s="21"/>
      <c r="N327" s="8" t="str">
        <f aca="false">IF(A327="","",IF(COUNTIFS(Reconcile!$I:$I,A327,Reconcile!$H:$H,"&gt;="&amp;(J327-0.01),Reconcile!$H:$H,"&lt;="&amp;(J327+0.01))&gt;0,"Yes","Not yet"))</f>
        <v/>
      </c>
      <c r="O327" s="21"/>
    </row>
    <row r="328" customFormat="false" ht="15" hidden="false" customHeight="false" outlineLevel="0" collapsed="false">
      <c r="A328" s="20"/>
      <c r="B328" s="21"/>
      <c r="C328" s="21"/>
      <c r="D328" s="21"/>
      <c r="E328" s="21"/>
      <c r="F328" s="22"/>
      <c r="G328" s="20"/>
      <c r="H328" s="23"/>
      <c r="I328" s="24"/>
      <c r="J328" s="14" t="str">
        <f aca="false">IF(C328="","",-E328*H328*IF(OR(B328="Sell call",B328="Buy to close",B328="Expired",B328="Assigned"),100,1)-I328)</f>
        <v/>
      </c>
      <c r="K328" s="21"/>
      <c r="L328" s="21"/>
      <c r="M328" s="21"/>
      <c r="N328" s="8" t="str">
        <f aca="false">IF(A328="","",IF(COUNTIFS(Reconcile!$I:$I,A328,Reconcile!$H:$H,"&gt;="&amp;(J328-0.01),Reconcile!$H:$H,"&lt;="&amp;(J328+0.01))&gt;0,"Yes","Not yet"))</f>
        <v/>
      </c>
      <c r="O328" s="21"/>
    </row>
    <row r="329" customFormat="false" ht="15" hidden="false" customHeight="false" outlineLevel="0" collapsed="false">
      <c r="A329" s="20"/>
      <c r="B329" s="21"/>
      <c r="C329" s="21"/>
      <c r="D329" s="21"/>
      <c r="E329" s="21"/>
      <c r="F329" s="22"/>
      <c r="G329" s="20"/>
      <c r="H329" s="23"/>
      <c r="I329" s="24"/>
      <c r="J329" s="14" t="str">
        <f aca="false">IF(C329="","",-E329*H329*IF(OR(B329="Sell call",B329="Buy to close",B329="Expired",B329="Assigned"),100,1)-I329)</f>
        <v/>
      </c>
      <c r="K329" s="21"/>
      <c r="L329" s="21"/>
      <c r="M329" s="21"/>
      <c r="N329" s="8" t="str">
        <f aca="false">IF(A329="","",IF(COUNTIFS(Reconcile!$I:$I,A329,Reconcile!$H:$H,"&gt;="&amp;(J329-0.01),Reconcile!$H:$H,"&lt;="&amp;(J329+0.01))&gt;0,"Yes","Not yet"))</f>
        <v/>
      </c>
      <c r="O329" s="21"/>
    </row>
    <row r="330" customFormat="false" ht="15" hidden="false" customHeight="false" outlineLevel="0" collapsed="false">
      <c r="A330" s="20"/>
      <c r="B330" s="21"/>
      <c r="C330" s="21"/>
      <c r="D330" s="21"/>
      <c r="E330" s="21"/>
      <c r="F330" s="22"/>
      <c r="G330" s="20"/>
      <c r="H330" s="23"/>
      <c r="I330" s="24"/>
      <c r="J330" s="14" t="str">
        <f aca="false">IF(C330="","",-E330*H330*IF(OR(B330="Sell call",B330="Buy to close",B330="Expired",B330="Assigned"),100,1)-I330)</f>
        <v/>
      </c>
      <c r="K330" s="21"/>
      <c r="L330" s="21"/>
      <c r="M330" s="21"/>
      <c r="N330" s="8" t="str">
        <f aca="false">IF(A330="","",IF(COUNTIFS(Reconcile!$I:$I,A330,Reconcile!$H:$H,"&gt;="&amp;(J330-0.01),Reconcile!$H:$H,"&lt;="&amp;(J330+0.01))&gt;0,"Yes","Not yet"))</f>
        <v/>
      </c>
      <c r="O330" s="21"/>
    </row>
    <row r="331" customFormat="false" ht="15" hidden="false" customHeight="false" outlineLevel="0" collapsed="false">
      <c r="A331" s="20"/>
      <c r="B331" s="21"/>
      <c r="C331" s="21"/>
      <c r="D331" s="21"/>
      <c r="E331" s="21"/>
      <c r="F331" s="22"/>
      <c r="G331" s="20"/>
      <c r="H331" s="23"/>
      <c r="I331" s="24"/>
      <c r="J331" s="14" t="str">
        <f aca="false">IF(C331="","",-E331*H331*IF(OR(B331="Sell call",B331="Buy to close",B331="Expired",B331="Assigned"),100,1)-I331)</f>
        <v/>
      </c>
      <c r="K331" s="21"/>
      <c r="L331" s="21"/>
      <c r="M331" s="21"/>
      <c r="N331" s="8" t="str">
        <f aca="false">IF(A331="","",IF(COUNTIFS(Reconcile!$I:$I,A331,Reconcile!$H:$H,"&gt;="&amp;(J331-0.01),Reconcile!$H:$H,"&lt;="&amp;(J331+0.01))&gt;0,"Yes","Not yet"))</f>
        <v/>
      </c>
      <c r="O331" s="21"/>
    </row>
    <row r="332" customFormat="false" ht="15" hidden="false" customHeight="false" outlineLevel="0" collapsed="false">
      <c r="A332" s="20"/>
      <c r="B332" s="21"/>
      <c r="C332" s="21"/>
      <c r="D332" s="21"/>
      <c r="E332" s="21"/>
      <c r="F332" s="22"/>
      <c r="G332" s="20"/>
      <c r="H332" s="23"/>
      <c r="I332" s="24"/>
      <c r="J332" s="14" t="str">
        <f aca="false">IF(C332="","",-E332*H332*IF(OR(B332="Sell call",B332="Buy to close",B332="Expired",B332="Assigned"),100,1)-I332)</f>
        <v/>
      </c>
      <c r="K332" s="21"/>
      <c r="L332" s="21"/>
      <c r="M332" s="21"/>
      <c r="N332" s="8" t="str">
        <f aca="false">IF(A332="","",IF(COUNTIFS(Reconcile!$I:$I,A332,Reconcile!$H:$H,"&gt;="&amp;(J332-0.01),Reconcile!$H:$H,"&lt;="&amp;(J332+0.01))&gt;0,"Yes","Not yet"))</f>
        <v/>
      </c>
      <c r="O332" s="21"/>
    </row>
    <row r="333" customFormat="false" ht="15" hidden="false" customHeight="false" outlineLevel="0" collapsed="false">
      <c r="A333" s="20"/>
      <c r="B333" s="21"/>
      <c r="C333" s="21"/>
      <c r="D333" s="21"/>
      <c r="E333" s="21"/>
      <c r="F333" s="22"/>
      <c r="G333" s="20"/>
      <c r="H333" s="23"/>
      <c r="I333" s="24"/>
      <c r="J333" s="14" t="str">
        <f aca="false">IF(C333="","",-E333*H333*IF(OR(B333="Sell call",B333="Buy to close",B333="Expired",B333="Assigned"),100,1)-I333)</f>
        <v/>
      </c>
      <c r="K333" s="21"/>
      <c r="L333" s="21"/>
      <c r="M333" s="21"/>
      <c r="N333" s="8" t="str">
        <f aca="false">IF(A333="","",IF(COUNTIFS(Reconcile!$I:$I,A333,Reconcile!$H:$H,"&gt;="&amp;(J333-0.01),Reconcile!$H:$H,"&lt;="&amp;(J333+0.01))&gt;0,"Yes","Not yet"))</f>
        <v/>
      </c>
      <c r="O333" s="21"/>
    </row>
    <row r="334" customFormat="false" ht="15" hidden="false" customHeight="false" outlineLevel="0" collapsed="false">
      <c r="A334" s="20"/>
      <c r="B334" s="21"/>
      <c r="C334" s="21"/>
      <c r="D334" s="21"/>
      <c r="E334" s="21"/>
      <c r="F334" s="22"/>
      <c r="G334" s="20"/>
      <c r="H334" s="23"/>
      <c r="I334" s="24"/>
      <c r="J334" s="14" t="str">
        <f aca="false">IF(C334="","",-E334*H334*IF(OR(B334="Sell call",B334="Buy to close",B334="Expired",B334="Assigned"),100,1)-I334)</f>
        <v/>
      </c>
      <c r="K334" s="21"/>
      <c r="L334" s="21"/>
      <c r="M334" s="21"/>
      <c r="N334" s="8" t="str">
        <f aca="false">IF(A334="","",IF(COUNTIFS(Reconcile!$I:$I,A334,Reconcile!$H:$H,"&gt;="&amp;(J334-0.01),Reconcile!$H:$H,"&lt;="&amp;(J334+0.01))&gt;0,"Yes","Not yet"))</f>
        <v/>
      </c>
      <c r="O334" s="21"/>
    </row>
    <row r="335" customFormat="false" ht="15" hidden="false" customHeight="false" outlineLevel="0" collapsed="false">
      <c r="A335" s="20"/>
      <c r="B335" s="21"/>
      <c r="C335" s="21"/>
      <c r="D335" s="21"/>
      <c r="E335" s="21"/>
      <c r="F335" s="22"/>
      <c r="G335" s="20"/>
      <c r="H335" s="23"/>
      <c r="I335" s="24"/>
      <c r="J335" s="14" t="str">
        <f aca="false">IF(C335="","",-E335*H335*IF(OR(B335="Sell call",B335="Buy to close",B335="Expired",B335="Assigned"),100,1)-I335)</f>
        <v/>
      </c>
      <c r="K335" s="21"/>
      <c r="L335" s="21"/>
      <c r="M335" s="21"/>
      <c r="N335" s="8" t="str">
        <f aca="false">IF(A335="","",IF(COUNTIFS(Reconcile!$I:$I,A335,Reconcile!$H:$H,"&gt;="&amp;(J335-0.01),Reconcile!$H:$H,"&lt;="&amp;(J335+0.01))&gt;0,"Yes","Not yet"))</f>
        <v/>
      </c>
      <c r="O335" s="21"/>
    </row>
    <row r="336" customFormat="false" ht="15" hidden="false" customHeight="false" outlineLevel="0" collapsed="false">
      <c r="A336" s="20"/>
      <c r="B336" s="21"/>
      <c r="C336" s="21"/>
      <c r="D336" s="21"/>
      <c r="E336" s="21"/>
      <c r="F336" s="22"/>
      <c r="G336" s="20"/>
      <c r="H336" s="23"/>
      <c r="I336" s="24"/>
      <c r="J336" s="14" t="str">
        <f aca="false">IF(C336="","",-E336*H336*IF(OR(B336="Sell call",B336="Buy to close",B336="Expired",B336="Assigned"),100,1)-I336)</f>
        <v/>
      </c>
      <c r="K336" s="21"/>
      <c r="L336" s="21"/>
      <c r="M336" s="21"/>
      <c r="N336" s="8" t="str">
        <f aca="false">IF(A336="","",IF(COUNTIFS(Reconcile!$I:$I,A336,Reconcile!$H:$H,"&gt;="&amp;(J336-0.01),Reconcile!$H:$H,"&lt;="&amp;(J336+0.01))&gt;0,"Yes","Not yet"))</f>
        <v/>
      </c>
      <c r="O336" s="21"/>
    </row>
    <row r="337" customFormat="false" ht="15" hidden="false" customHeight="false" outlineLevel="0" collapsed="false">
      <c r="A337" s="20"/>
      <c r="B337" s="21"/>
      <c r="C337" s="21"/>
      <c r="D337" s="21"/>
      <c r="E337" s="21"/>
      <c r="F337" s="22"/>
      <c r="G337" s="20"/>
      <c r="H337" s="23"/>
      <c r="I337" s="24"/>
      <c r="J337" s="14" t="str">
        <f aca="false">IF(C337="","",-E337*H337*IF(OR(B337="Sell call",B337="Buy to close",B337="Expired",B337="Assigned"),100,1)-I337)</f>
        <v/>
      </c>
      <c r="K337" s="21"/>
      <c r="L337" s="21"/>
      <c r="M337" s="21"/>
      <c r="N337" s="8" t="str">
        <f aca="false">IF(A337="","",IF(COUNTIFS(Reconcile!$I:$I,A337,Reconcile!$H:$H,"&gt;="&amp;(J337-0.01),Reconcile!$H:$H,"&lt;="&amp;(J337+0.01))&gt;0,"Yes","Not yet"))</f>
        <v/>
      </c>
      <c r="O337" s="21"/>
    </row>
    <row r="338" customFormat="false" ht="15" hidden="false" customHeight="false" outlineLevel="0" collapsed="false">
      <c r="A338" s="20"/>
      <c r="B338" s="21"/>
      <c r="C338" s="21"/>
      <c r="D338" s="21"/>
      <c r="E338" s="21"/>
      <c r="F338" s="22"/>
      <c r="G338" s="20"/>
      <c r="H338" s="23"/>
      <c r="I338" s="24"/>
      <c r="J338" s="14" t="str">
        <f aca="false">IF(C338="","",-E338*H338*IF(OR(B338="Sell call",B338="Buy to close",B338="Expired",B338="Assigned"),100,1)-I338)</f>
        <v/>
      </c>
      <c r="K338" s="21"/>
      <c r="L338" s="21"/>
      <c r="M338" s="21"/>
      <c r="N338" s="8" t="str">
        <f aca="false">IF(A338="","",IF(COUNTIFS(Reconcile!$I:$I,A338,Reconcile!$H:$H,"&gt;="&amp;(J338-0.01),Reconcile!$H:$H,"&lt;="&amp;(J338+0.01))&gt;0,"Yes","Not yet"))</f>
        <v/>
      </c>
      <c r="O338" s="21"/>
    </row>
    <row r="339" customFormat="false" ht="15" hidden="false" customHeight="false" outlineLevel="0" collapsed="false">
      <c r="A339" s="20"/>
      <c r="B339" s="21"/>
      <c r="C339" s="21"/>
      <c r="D339" s="21"/>
      <c r="E339" s="21"/>
      <c r="F339" s="22"/>
      <c r="G339" s="20"/>
      <c r="H339" s="23"/>
      <c r="I339" s="24"/>
      <c r="J339" s="14" t="str">
        <f aca="false">IF(C339="","",-E339*H339*IF(OR(B339="Sell call",B339="Buy to close",B339="Expired",B339="Assigned"),100,1)-I339)</f>
        <v/>
      </c>
      <c r="K339" s="21"/>
      <c r="L339" s="21"/>
      <c r="M339" s="21"/>
      <c r="N339" s="8" t="str">
        <f aca="false">IF(A339="","",IF(COUNTIFS(Reconcile!$I:$I,A339,Reconcile!$H:$H,"&gt;="&amp;(J339-0.01),Reconcile!$H:$H,"&lt;="&amp;(J339+0.01))&gt;0,"Yes","Not yet"))</f>
        <v/>
      </c>
      <c r="O339" s="21"/>
    </row>
    <row r="340" customFormat="false" ht="15" hidden="false" customHeight="false" outlineLevel="0" collapsed="false">
      <c r="A340" s="20"/>
      <c r="B340" s="21"/>
      <c r="C340" s="21"/>
      <c r="D340" s="21"/>
      <c r="E340" s="21"/>
      <c r="F340" s="22"/>
      <c r="G340" s="20"/>
      <c r="H340" s="23"/>
      <c r="I340" s="24"/>
      <c r="J340" s="14" t="str">
        <f aca="false">IF(C340="","",-E340*H340*IF(OR(B340="Sell call",B340="Buy to close",B340="Expired",B340="Assigned"),100,1)-I340)</f>
        <v/>
      </c>
      <c r="K340" s="21"/>
      <c r="L340" s="21"/>
      <c r="M340" s="21"/>
      <c r="N340" s="8" t="str">
        <f aca="false">IF(A340="","",IF(COUNTIFS(Reconcile!$I:$I,A340,Reconcile!$H:$H,"&gt;="&amp;(J340-0.01),Reconcile!$H:$H,"&lt;="&amp;(J340+0.01))&gt;0,"Yes","Not yet"))</f>
        <v/>
      </c>
      <c r="O340" s="21"/>
    </row>
    <row r="341" customFormat="false" ht="15" hidden="false" customHeight="false" outlineLevel="0" collapsed="false">
      <c r="A341" s="20"/>
      <c r="B341" s="21"/>
      <c r="C341" s="21"/>
      <c r="D341" s="21"/>
      <c r="E341" s="21"/>
      <c r="F341" s="22"/>
      <c r="G341" s="20"/>
      <c r="H341" s="23"/>
      <c r="I341" s="24"/>
      <c r="J341" s="14" t="str">
        <f aca="false">IF(C341="","",-E341*H341*IF(OR(B341="Sell call",B341="Buy to close",B341="Expired",B341="Assigned"),100,1)-I341)</f>
        <v/>
      </c>
      <c r="K341" s="21"/>
      <c r="L341" s="21"/>
      <c r="M341" s="21"/>
      <c r="N341" s="8" t="str">
        <f aca="false">IF(A341="","",IF(COUNTIFS(Reconcile!$I:$I,A341,Reconcile!$H:$H,"&gt;="&amp;(J341-0.01),Reconcile!$H:$H,"&lt;="&amp;(J341+0.01))&gt;0,"Yes","Not yet"))</f>
        <v/>
      </c>
      <c r="O341" s="21"/>
    </row>
    <row r="342" customFormat="false" ht="15" hidden="false" customHeight="false" outlineLevel="0" collapsed="false">
      <c r="A342" s="20"/>
      <c r="B342" s="21"/>
      <c r="C342" s="21"/>
      <c r="D342" s="21"/>
      <c r="E342" s="21"/>
      <c r="F342" s="22"/>
      <c r="G342" s="20"/>
      <c r="H342" s="23"/>
      <c r="I342" s="24"/>
      <c r="J342" s="14" t="str">
        <f aca="false">IF(C342="","",-E342*H342*IF(OR(B342="Sell call",B342="Buy to close",B342="Expired",B342="Assigned"),100,1)-I342)</f>
        <v/>
      </c>
      <c r="K342" s="21"/>
      <c r="L342" s="21"/>
      <c r="M342" s="21"/>
      <c r="N342" s="8" t="str">
        <f aca="false">IF(A342="","",IF(COUNTIFS(Reconcile!$I:$I,A342,Reconcile!$H:$H,"&gt;="&amp;(J342-0.01),Reconcile!$H:$H,"&lt;="&amp;(J342+0.01))&gt;0,"Yes","Not yet"))</f>
        <v/>
      </c>
      <c r="O342" s="21"/>
    </row>
    <row r="343" customFormat="false" ht="15" hidden="false" customHeight="false" outlineLevel="0" collapsed="false">
      <c r="A343" s="20"/>
      <c r="B343" s="21"/>
      <c r="C343" s="21"/>
      <c r="D343" s="21"/>
      <c r="E343" s="21"/>
      <c r="F343" s="22"/>
      <c r="G343" s="20"/>
      <c r="H343" s="23"/>
      <c r="I343" s="24"/>
      <c r="J343" s="14" t="str">
        <f aca="false">IF(C343="","",-E343*H343*IF(OR(B343="Sell call",B343="Buy to close",B343="Expired",B343="Assigned"),100,1)-I343)</f>
        <v/>
      </c>
      <c r="K343" s="21"/>
      <c r="L343" s="21"/>
      <c r="M343" s="21"/>
      <c r="N343" s="8" t="str">
        <f aca="false">IF(A343="","",IF(COUNTIFS(Reconcile!$I:$I,A343,Reconcile!$H:$H,"&gt;="&amp;(J343-0.01),Reconcile!$H:$H,"&lt;="&amp;(J343+0.01))&gt;0,"Yes","Not yet"))</f>
        <v/>
      </c>
      <c r="O343" s="21"/>
    </row>
    <row r="344" customFormat="false" ht="15" hidden="false" customHeight="false" outlineLevel="0" collapsed="false">
      <c r="A344" s="20"/>
      <c r="B344" s="21"/>
      <c r="C344" s="21"/>
      <c r="D344" s="21"/>
      <c r="E344" s="21"/>
      <c r="F344" s="22"/>
      <c r="G344" s="20"/>
      <c r="H344" s="23"/>
      <c r="I344" s="24"/>
      <c r="J344" s="14" t="str">
        <f aca="false">IF(C344="","",-E344*H344*IF(OR(B344="Sell call",B344="Buy to close",B344="Expired",B344="Assigned"),100,1)-I344)</f>
        <v/>
      </c>
      <c r="K344" s="21"/>
      <c r="L344" s="21"/>
      <c r="M344" s="21"/>
      <c r="N344" s="8" t="str">
        <f aca="false">IF(A344="","",IF(COUNTIFS(Reconcile!$I:$I,A344,Reconcile!$H:$H,"&gt;="&amp;(J344-0.01),Reconcile!$H:$H,"&lt;="&amp;(J344+0.01))&gt;0,"Yes","Not yet"))</f>
        <v/>
      </c>
      <c r="O344" s="21"/>
    </row>
    <row r="345" customFormat="false" ht="15" hidden="false" customHeight="false" outlineLevel="0" collapsed="false">
      <c r="A345" s="20"/>
      <c r="B345" s="21"/>
      <c r="C345" s="21"/>
      <c r="D345" s="21"/>
      <c r="E345" s="21"/>
      <c r="F345" s="22"/>
      <c r="G345" s="20"/>
      <c r="H345" s="23"/>
      <c r="I345" s="24"/>
      <c r="J345" s="14" t="str">
        <f aca="false">IF(C345="","",-E345*H345*IF(OR(B345="Sell call",B345="Buy to close",B345="Expired",B345="Assigned"),100,1)-I345)</f>
        <v/>
      </c>
      <c r="K345" s="21"/>
      <c r="L345" s="21"/>
      <c r="M345" s="21"/>
      <c r="N345" s="8" t="str">
        <f aca="false">IF(A345="","",IF(COUNTIFS(Reconcile!$I:$I,A345,Reconcile!$H:$H,"&gt;="&amp;(J345-0.01),Reconcile!$H:$H,"&lt;="&amp;(J345+0.01))&gt;0,"Yes","Not yet"))</f>
        <v/>
      </c>
      <c r="O345" s="21"/>
    </row>
    <row r="346" customFormat="false" ht="15" hidden="false" customHeight="false" outlineLevel="0" collapsed="false">
      <c r="A346" s="20"/>
      <c r="B346" s="21"/>
      <c r="C346" s="21"/>
      <c r="D346" s="21"/>
      <c r="E346" s="21"/>
      <c r="F346" s="22"/>
      <c r="G346" s="20"/>
      <c r="H346" s="23"/>
      <c r="I346" s="24"/>
      <c r="J346" s="14" t="str">
        <f aca="false">IF(C346="","",-E346*H346*IF(OR(B346="Sell call",B346="Buy to close",B346="Expired",B346="Assigned"),100,1)-I346)</f>
        <v/>
      </c>
      <c r="K346" s="21"/>
      <c r="L346" s="21"/>
      <c r="M346" s="21"/>
      <c r="N346" s="8" t="str">
        <f aca="false">IF(A346="","",IF(COUNTIFS(Reconcile!$I:$I,A346,Reconcile!$H:$H,"&gt;="&amp;(J346-0.01),Reconcile!$H:$H,"&lt;="&amp;(J346+0.01))&gt;0,"Yes","Not yet"))</f>
        <v/>
      </c>
      <c r="O346" s="21"/>
    </row>
    <row r="347" customFormat="false" ht="15" hidden="false" customHeight="false" outlineLevel="0" collapsed="false">
      <c r="A347" s="20"/>
      <c r="B347" s="21"/>
      <c r="C347" s="21"/>
      <c r="D347" s="21"/>
      <c r="E347" s="21"/>
      <c r="F347" s="22"/>
      <c r="G347" s="20"/>
      <c r="H347" s="23"/>
      <c r="I347" s="24"/>
      <c r="J347" s="14" t="str">
        <f aca="false">IF(C347="","",-E347*H347*IF(OR(B347="Sell call",B347="Buy to close",B347="Expired",B347="Assigned"),100,1)-I347)</f>
        <v/>
      </c>
      <c r="K347" s="21"/>
      <c r="L347" s="21"/>
      <c r="M347" s="21"/>
      <c r="N347" s="8" t="str">
        <f aca="false">IF(A347="","",IF(COUNTIFS(Reconcile!$I:$I,A347,Reconcile!$H:$H,"&gt;="&amp;(J347-0.01),Reconcile!$H:$H,"&lt;="&amp;(J347+0.01))&gt;0,"Yes","Not yet"))</f>
        <v/>
      </c>
      <c r="O347" s="21"/>
    </row>
    <row r="348" customFormat="false" ht="15" hidden="false" customHeight="false" outlineLevel="0" collapsed="false">
      <c r="A348" s="20"/>
      <c r="B348" s="21"/>
      <c r="C348" s="21"/>
      <c r="D348" s="21"/>
      <c r="E348" s="21"/>
      <c r="F348" s="22"/>
      <c r="G348" s="20"/>
      <c r="H348" s="23"/>
      <c r="I348" s="24"/>
      <c r="J348" s="14" t="str">
        <f aca="false">IF(C348="","",-E348*H348*IF(OR(B348="Sell call",B348="Buy to close",B348="Expired",B348="Assigned"),100,1)-I348)</f>
        <v/>
      </c>
      <c r="K348" s="21"/>
      <c r="L348" s="21"/>
      <c r="M348" s="21"/>
      <c r="N348" s="8" t="str">
        <f aca="false">IF(A348="","",IF(COUNTIFS(Reconcile!$I:$I,A348,Reconcile!$H:$H,"&gt;="&amp;(J348-0.01),Reconcile!$H:$H,"&lt;="&amp;(J348+0.01))&gt;0,"Yes","Not yet"))</f>
        <v/>
      </c>
      <c r="O348" s="21"/>
    </row>
    <row r="349" customFormat="false" ht="15" hidden="false" customHeight="false" outlineLevel="0" collapsed="false">
      <c r="A349" s="20"/>
      <c r="B349" s="21"/>
      <c r="C349" s="21"/>
      <c r="D349" s="21"/>
      <c r="E349" s="21"/>
      <c r="F349" s="22"/>
      <c r="G349" s="20"/>
      <c r="H349" s="23"/>
      <c r="I349" s="24"/>
      <c r="J349" s="14" t="str">
        <f aca="false">IF(C349="","",-E349*H349*IF(OR(B349="Sell call",B349="Buy to close",B349="Expired",B349="Assigned"),100,1)-I349)</f>
        <v/>
      </c>
      <c r="K349" s="21"/>
      <c r="L349" s="21"/>
      <c r="M349" s="21"/>
      <c r="N349" s="8" t="str">
        <f aca="false">IF(A349="","",IF(COUNTIFS(Reconcile!$I:$I,A349,Reconcile!$H:$H,"&gt;="&amp;(J349-0.01),Reconcile!$H:$H,"&lt;="&amp;(J349+0.01))&gt;0,"Yes","Not yet"))</f>
        <v/>
      </c>
      <c r="O349" s="21"/>
    </row>
    <row r="350" customFormat="false" ht="15" hidden="false" customHeight="false" outlineLevel="0" collapsed="false">
      <c r="A350" s="20"/>
      <c r="B350" s="21"/>
      <c r="C350" s="21"/>
      <c r="D350" s="21"/>
      <c r="E350" s="21"/>
      <c r="F350" s="22"/>
      <c r="G350" s="20"/>
      <c r="H350" s="23"/>
      <c r="I350" s="24"/>
      <c r="J350" s="14" t="str">
        <f aca="false">IF(C350="","",-E350*H350*IF(OR(B350="Sell call",B350="Buy to close",B350="Expired",B350="Assigned"),100,1)-I350)</f>
        <v/>
      </c>
      <c r="K350" s="21"/>
      <c r="L350" s="21"/>
      <c r="M350" s="21"/>
      <c r="N350" s="8" t="str">
        <f aca="false">IF(A350="","",IF(COUNTIFS(Reconcile!$I:$I,A350,Reconcile!$H:$H,"&gt;="&amp;(J350-0.01),Reconcile!$H:$H,"&lt;="&amp;(J350+0.01))&gt;0,"Yes","Not yet"))</f>
        <v/>
      </c>
      <c r="O350" s="21"/>
    </row>
    <row r="351" customFormat="false" ht="15" hidden="false" customHeight="false" outlineLevel="0" collapsed="false">
      <c r="A351" s="20"/>
      <c r="B351" s="21"/>
      <c r="C351" s="21"/>
      <c r="D351" s="21"/>
      <c r="E351" s="21"/>
      <c r="F351" s="22"/>
      <c r="G351" s="20"/>
      <c r="H351" s="23"/>
      <c r="I351" s="24"/>
      <c r="J351" s="14" t="str">
        <f aca="false">IF(C351="","",-E351*H351*IF(OR(B351="Sell call",B351="Buy to close",B351="Expired",B351="Assigned"),100,1)-I351)</f>
        <v/>
      </c>
      <c r="K351" s="21"/>
      <c r="L351" s="21"/>
      <c r="M351" s="21"/>
      <c r="N351" s="8" t="str">
        <f aca="false">IF(A351="","",IF(COUNTIFS(Reconcile!$I:$I,A351,Reconcile!$H:$H,"&gt;="&amp;(J351-0.01),Reconcile!$H:$H,"&lt;="&amp;(J351+0.01))&gt;0,"Yes","Not yet"))</f>
        <v/>
      </c>
      <c r="O351" s="21"/>
    </row>
    <row r="352" customFormat="false" ht="15" hidden="false" customHeight="false" outlineLevel="0" collapsed="false">
      <c r="A352" s="20"/>
      <c r="B352" s="21"/>
      <c r="C352" s="21"/>
      <c r="D352" s="21"/>
      <c r="E352" s="21"/>
      <c r="F352" s="22"/>
      <c r="G352" s="20"/>
      <c r="H352" s="23"/>
      <c r="I352" s="24"/>
      <c r="J352" s="14" t="str">
        <f aca="false">IF(C352="","",-E352*H352*IF(OR(B352="Sell call",B352="Buy to close",B352="Expired",B352="Assigned"),100,1)-I352)</f>
        <v/>
      </c>
      <c r="K352" s="21"/>
      <c r="L352" s="21"/>
      <c r="M352" s="21"/>
      <c r="N352" s="8" t="str">
        <f aca="false">IF(A352="","",IF(COUNTIFS(Reconcile!$I:$I,A352,Reconcile!$H:$H,"&gt;="&amp;(J352-0.01),Reconcile!$H:$H,"&lt;="&amp;(J352+0.01))&gt;0,"Yes","Not yet"))</f>
        <v/>
      </c>
      <c r="O352" s="21"/>
    </row>
    <row r="353" customFormat="false" ht="15" hidden="false" customHeight="false" outlineLevel="0" collapsed="false">
      <c r="A353" s="20"/>
      <c r="B353" s="21"/>
      <c r="C353" s="21"/>
      <c r="D353" s="21"/>
      <c r="E353" s="21"/>
      <c r="F353" s="22"/>
      <c r="G353" s="20"/>
      <c r="H353" s="23"/>
      <c r="I353" s="24"/>
      <c r="J353" s="14" t="str">
        <f aca="false">IF(C353="","",-E353*H353*IF(OR(B353="Sell call",B353="Buy to close",B353="Expired",B353="Assigned"),100,1)-I353)</f>
        <v/>
      </c>
      <c r="K353" s="21"/>
      <c r="L353" s="21"/>
      <c r="M353" s="21"/>
      <c r="N353" s="8" t="str">
        <f aca="false">IF(A353="","",IF(COUNTIFS(Reconcile!$I:$I,A353,Reconcile!$H:$H,"&gt;="&amp;(J353-0.01),Reconcile!$H:$H,"&lt;="&amp;(J353+0.01))&gt;0,"Yes","Not yet"))</f>
        <v/>
      </c>
      <c r="O353" s="21"/>
    </row>
    <row r="354" customFormat="false" ht="15" hidden="false" customHeight="false" outlineLevel="0" collapsed="false">
      <c r="A354" s="20"/>
      <c r="B354" s="21"/>
      <c r="C354" s="21"/>
      <c r="D354" s="21"/>
      <c r="E354" s="21"/>
      <c r="F354" s="22"/>
      <c r="G354" s="20"/>
      <c r="H354" s="23"/>
      <c r="I354" s="24"/>
      <c r="J354" s="14" t="str">
        <f aca="false">IF(C354="","",-E354*H354*IF(OR(B354="Sell call",B354="Buy to close",B354="Expired",B354="Assigned"),100,1)-I354)</f>
        <v/>
      </c>
      <c r="K354" s="21"/>
      <c r="L354" s="21"/>
      <c r="M354" s="21"/>
      <c r="N354" s="8" t="str">
        <f aca="false">IF(A354="","",IF(COUNTIFS(Reconcile!$I:$I,A354,Reconcile!$H:$H,"&gt;="&amp;(J354-0.01),Reconcile!$H:$H,"&lt;="&amp;(J354+0.01))&gt;0,"Yes","Not yet"))</f>
        <v/>
      </c>
      <c r="O354" s="21"/>
    </row>
    <row r="355" customFormat="false" ht="15" hidden="false" customHeight="false" outlineLevel="0" collapsed="false">
      <c r="A355" s="20"/>
      <c r="B355" s="21"/>
      <c r="C355" s="21"/>
      <c r="D355" s="21"/>
      <c r="E355" s="21"/>
      <c r="F355" s="22"/>
      <c r="G355" s="20"/>
      <c r="H355" s="23"/>
      <c r="I355" s="24"/>
      <c r="J355" s="14" t="str">
        <f aca="false">IF(C355="","",-E355*H355*IF(OR(B355="Sell call",B355="Buy to close",B355="Expired",B355="Assigned"),100,1)-I355)</f>
        <v/>
      </c>
      <c r="K355" s="21"/>
      <c r="L355" s="21"/>
      <c r="M355" s="21"/>
      <c r="N355" s="8" t="str">
        <f aca="false">IF(A355="","",IF(COUNTIFS(Reconcile!$I:$I,A355,Reconcile!$H:$H,"&gt;="&amp;(J355-0.01),Reconcile!$H:$H,"&lt;="&amp;(J355+0.01))&gt;0,"Yes","Not yet"))</f>
        <v/>
      </c>
      <c r="O355" s="21"/>
    </row>
    <row r="356" customFormat="false" ht="15" hidden="false" customHeight="false" outlineLevel="0" collapsed="false">
      <c r="A356" s="20"/>
      <c r="B356" s="21"/>
      <c r="C356" s="21"/>
      <c r="D356" s="21"/>
      <c r="E356" s="21"/>
      <c r="F356" s="22"/>
      <c r="G356" s="20"/>
      <c r="H356" s="23"/>
      <c r="I356" s="24"/>
      <c r="J356" s="14" t="str">
        <f aca="false">IF(C356="","",-E356*H356*IF(OR(B356="Sell call",B356="Buy to close",B356="Expired",B356="Assigned"),100,1)-I356)</f>
        <v/>
      </c>
      <c r="K356" s="21"/>
      <c r="L356" s="21"/>
      <c r="M356" s="21"/>
      <c r="N356" s="8" t="str">
        <f aca="false">IF(A356="","",IF(COUNTIFS(Reconcile!$I:$I,A356,Reconcile!$H:$H,"&gt;="&amp;(J356-0.01),Reconcile!$H:$H,"&lt;="&amp;(J356+0.01))&gt;0,"Yes","Not yet"))</f>
        <v/>
      </c>
      <c r="O356" s="21"/>
    </row>
    <row r="357" customFormat="false" ht="15" hidden="false" customHeight="false" outlineLevel="0" collapsed="false">
      <c r="A357" s="20"/>
      <c r="B357" s="21"/>
      <c r="C357" s="21"/>
      <c r="D357" s="21"/>
      <c r="E357" s="21"/>
      <c r="F357" s="22"/>
      <c r="G357" s="20"/>
      <c r="H357" s="23"/>
      <c r="I357" s="24"/>
      <c r="J357" s="14" t="str">
        <f aca="false">IF(C357="","",-E357*H357*IF(OR(B357="Sell call",B357="Buy to close",B357="Expired",B357="Assigned"),100,1)-I357)</f>
        <v/>
      </c>
      <c r="K357" s="21"/>
      <c r="L357" s="21"/>
      <c r="M357" s="21"/>
      <c r="N357" s="8" t="str">
        <f aca="false">IF(A357="","",IF(COUNTIFS(Reconcile!$I:$I,A357,Reconcile!$H:$H,"&gt;="&amp;(J357-0.01),Reconcile!$H:$H,"&lt;="&amp;(J357+0.01))&gt;0,"Yes","Not yet"))</f>
        <v/>
      </c>
      <c r="O357" s="21"/>
    </row>
    <row r="358" customFormat="false" ht="15" hidden="false" customHeight="false" outlineLevel="0" collapsed="false">
      <c r="A358" s="20"/>
      <c r="B358" s="21"/>
      <c r="C358" s="21"/>
      <c r="D358" s="21"/>
      <c r="E358" s="21"/>
      <c r="F358" s="22"/>
      <c r="G358" s="20"/>
      <c r="H358" s="23"/>
      <c r="I358" s="24"/>
      <c r="J358" s="14" t="str">
        <f aca="false">IF(C358="","",-E358*H358*IF(OR(B358="Sell call",B358="Buy to close",B358="Expired",B358="Assigned"),100,1)-I358)</f>
        <v/>
      </c>
      <c r="K358" s="21"/>
      <c r="L358" s="21"/>
      <c r="M358" s="21"/>
      <c r="N358" s="8" t="str">
        <f aca="false">IF(A358="","",IF(COUNTIFS(Reconcile!$I:$I,A358,Reconcile!$H:$H,"&gt;="&amp;(J358-0.01),Reconcile!$H:$H,"&lt;="&amp;(J358+0.01))&gt;0,"Yes","Not yet"))</f>
        <v/>
      </c>
      <c r="O358" s="21"/>
    </row>
    <row r="359" customFormat="false" ht="15" hidden="false" customHeight="false" outlineLevel="0" collapsed="false">
      <c r="A359" s="20"/>
      <c r="B359" s="21"/>
      <c r="C359" s="21"/>
      <c r="D359" s="21"/>
      <c r="E359" s="21"/>
      <c r="F359" s="22"/>
      <c r="G359" s="20"/>
      <c r="H359" s="23"/>
      <c r="I359" s="24"/>
      <c r="J359" s="14" t="str">
        <f aca="false">IF(C359="","",-E359*H359*IF(OR(B359="Sell call",B359="Buy to close",B359="Expired",B359="Assigned"),100,1)-I359)</f>
        <v/>
      </c>
      <c r="K359" s="21"/>
      <c r="L359" s="21"/>
      <c r="M359" s="21"/>
      <c r="N359" s="8" t="str">
        <f aca="false">IF(A359="","",IF(COUNTIFS(Reconcile!$I:$I,A359,Reconcile!$H:$H,"&gt;="&amp;(J359-0.01),Reconcile!$H:$H,"&lt;="&amp;(J359+0.01))&gt;0,"Yes","Not yet"))</f>
        <v/>
      </c>
      <c r="O359" s="21"/>
    </row>
    <row r="360" customFormat="false" ht="15" hidden="false" customHeight="false" outlineLevel="0" collapsed="false">
      <c r="A360" s="20"/>
      <c r="B360" s="21"/>
      <c r="C360" s="21"/>
      <c r="D360" s="21"/>
      <c r="E360" s="21"/>
      <c r="F360" s="22"/>
      <c r="G360" s="20"/>
      <c r="H360" s="23"/>
      <c r="I360" s="24"/>
      <c r="J360" s="14" t="str">
        <f aca="false">IF(C360="","",-E360*H360*IF(OR(B360="Sell call",B360="Buy to close",B360="Expired",B360="Assigned"),100,1)-I360)</f>
        <v/>
      </c>
      <c r="K360" s="21"/>
      <c r="L360" s="21"/>
      <c r="M360" s="21"/>
      <c r="N360" s="8" t="str">
        <f aca="false">IF(A360="","",IF(COUNTIFS(Reconcile!$I:$I,A360,Reconcile!$H:$H,"&gt;="&amp;(J360-0.01),Reconcile!$H:$H,"&lt;="&amp;(J360+0.01))&gt;0,"Yes","Not yet"))</f>
        <v/>
      </c>
      <c r="O360" s="21"/>
    </row>
    <row r="361" customFormat="false" ht="15" hidden="false" customHeight="false" outlineLevel="0" collapsed="false">
      <c r="A361" s="20"/>
      <c r="B361" s="21"/>
      <c r="C361" s="21"/>
      <c r="D361" s="21"/>
      <c r="E361" s="21"/>
      <c r="F361" s="22"/>
      <c r="G361" s="20"/>
      <c r="H361" s="23"/>
      <c r="I361" s="24"/>
      <c r="J361" s="14" t="str">
        <f aca="false">IF(C361="","",-E361*H361*IF(OR(B361="Sell call",B361="Buy to close",B361="Expired",B361="Assigned"),100,1)-I361)</f>
        <v/>
      </c>
      <c r="K361" s="21"/>
      <c r="L361" s="21"/>
      <c r="M361" s="21"/>
      <c r="N361" s="8" t="str">
        <f aca="false">IF(A361="","",IF(COUNTIFS(Reconcile!$I:$I,A361,Reconcile!$H:$H,"&gt;="&amp;(J361-0.01),Reconcile!$H:$H,"&lt;="&amp;(J361+0.01))&gt;0,"Yes","Not yet"))</f>
        <v/>
      </c>
      <c r="O361" s="21"/>
    </row>
    <row r="362" customFormat="false" ht="15" hidden="false" customHeight="false" outlineLevel="0" collapsed="false">
      <c r="A362" s="20"/>
      <c r="B362" s="21"/>
      <c r="C362" s="21"/>
      <c r="D362" s="21"/>
      <c r="E362" s="21"/>
      <c r="F362" s="22"/>
      <c r="G362" s="20"/>
      <c r="H362" s="23"/>
      <c r="I362" s="24"/>
      <c r="J362" s="14" t="str">
        <f aca="false">IF(C362="","",-E362*H362*IF(OR(B362="Sell call",B362="Buy to close",B362="Expired",B362="Assigned"),100,1)-I362)</f>
        <v/>
      </c>
      <c r="K362" s="21"/>
      <c r="L362" s="21"/>
      <c r="M362" s="21"/>
      <c r="N362" s="8" t="str">
        <f aca="false">IF(A362="","",IF(COUNTIFS(Reconcile!$I:$I,A362,Reconcile!$H:$H,"&gt;="&amp;(J362-0.01),Reconcile!$H:$H,"&lt;="&amp;(J362+0.01))&gt;0,"Yes","Not yet"))</f>
        <v/>
      </c>
      <c r="O362" s="21"/>
    </row>
    <row r="363" customFormat="false" ht="15" hidden="false" customHeight="false" outlineLevel="0" collapsed="false">
      <c r="A363" s="20"/>
      <c r="B363" s="21"/>
      <c r="C363" s="21"/>
      <c r="D363" s="21"/>
      <c r="E363" s="21"/>
      <c r="F363" s="22"/>
      <c r="G363" s="20"/>
      <c r="H363" s="23"/>
      <c r="I363" s="24"/>
      <c r="J363" s="14" t="str">
        <f aca="false">IF(C363="","",-E363*H363*IF(OR(B363="Sell call",B363="Buy to close",B363="Expired",B363="Assigned"),100,1)-I363)</f>
        <v/>
      </c>
      <c r="K363" s="21"/>
      <c r="L363" s="21"/>
      <c r="M363" s="21"/>
      <c r="N363" s="8" t="str">
        <f aca="false">IF(A363="","",IF(COUNTIFS(Reconcile!$I:$I,A363,Reconcile!$H:$H,"&gt;="&amp;(J363-0.01),Reconcile!$H:$H,"&lt;="&amp;(J363+0.01))&gt;0,"Yes","Not yet"))</f>
        <v/>
      </c>
      <c r="O363" s="21"/>
    </row>
    <row r="364" customFormat="false" ht="15" hidden="false" customHeight="false" outlineLevel="0" collapsed="false">
      <c r="A364" s="20"/>
      <c r="B364" s="21"/>
      <c r="C364" s="21"/>
      <c r="D364" s="21"/>
      <c r="E364" s="21"/>
      <c r="F364" s="22"/>
      <c r="G364" s="20"/>
      <c r="H364" s="23"/>
      <c r="I364" s="24"/>
      <c r="J364" s="14" t="str">
        <f aca="false">IF(C364="","",-E364*H364*IF(OR(B364="Sell call",B364="Buy to close",B364="Expired",B364="Assigned"),100,1)-I364)</f>
        <v/>
      </c>
      <c r="K364" s="21"/>
      <c r="L364" s="21"/>
      <c r="M364" s="21"/>
      <c r="N364" s="8" t="str">
        <f aca="false">IF(A364="","",IF(COUNTIFS(Reconcile!$I:$I,A364,Reconcile!$H:$H,"&gt;="&amp;(J364-0.01),Reconcile!$H:$H,"&lt;="&amp;(J364+0.01))&gt;0,"Yes","Not yet"))</f>
        <v/>
      </c>
      <c r="O364" s="21"/>
    </row>
    <row r="365" customFormat="false" ht="15" hidden="false" customHeight="false" outlineLevel="0" collapsed="false">
      <c r="A365" s="20"/>
      <c r="B365" s="21"/>
      <c r="C365" s="21"/>
      <c r="D365" s="21"/>
      <c r="E365" s="21"/>
      <c r="F365" s="22"/>
      <c r="G365" s="20"/>
      <c r="H365" s="23"/>
      <c r="I365" s="24"/>
      <c r="J365" s="14" t="str">
        <f aca="false">IF(C365="","",-E365*H365*IF(OR(B365="Sell call",B365="Buy to close",B365="Expired",B365="Assigned"),100,1)-I365)</f>
        <v/>
      </c>
      <c r="K365" s="21"/>
      <c r="L365" s="21"/>
      <c r="M365" s="21"/>
      <c r="N365" s="8" t="str">
        <f aca="false">IF(A365="","",IF(COUNTIFS(Reconcile!$I:$I,A365,Reconcile!$H:$H,"&gt;="&amp;(J365-0.01),Reconcile!$H:$H,"&lt;="&amp;(J365+0.01))&gt;0,"Yes","Not yet"))</f>
        <v/>
      </c>
      <c r="O365" s="21"/>
    </row>
    <row r="366" customFormat="false" ht="15" hidden="false" customHeight="false" outlineLevel="0" collapsed="false">
      <c r="A366" s="20"/>
      <c r="B366" s="21"/>
      <c r="C366" s="21"/>
      <c r="D366" s="21"/>
      <c r="E366" s="21"/>
      <c r="F366" s="22"/>
      <c r="G366" s="20"/>
      <c r="H366" s="23"/>
      <c r="I366" s="24"/>
      <c r="J366" s="14" t="str">
        <f aca="false">IF(C366="","",-E366*H366*IF(OR(B366="Sell call",B366="Buy to close",B366="Expired",B366="Assigned"),100,1)-I366)</f>
        <v/>
      </c>
      <c r="K366" s="21"/>
      <c r="L366" s="21"/>
      <c r="M366" s="21"/>
      <c r="N366" s="8" t="str">
        <f aca="false">IF(A366="","",IF(COUNTIFS(Reconcile!$I:$I,A366,Reconcile!$H:$H,"&gt;="&amp;(J366-0.01),Reconcile!$H:$H,"&lt;="&amp;(J366+0.01))&gt;0,"Yes","Not yet"))</f>
        <v/>
      </c>
      <c r="O366" s="21"/>
    </row>
    <row r="367" customFormat="false" ht="15" hidden="false" customHeight="false" outlineLevel="0" collapsed="false">
      <c r="A367" s="20"/>
      <c r="B367" s="21"/>
      <c r="C367" s="21"/>
      <c r="D367" s="21"/>
      <c r="E367" s="21"/>
      <c r="F367" s="22"/>
      <c r="G367" s="20"/>
      <c r="H367" s="23"/>
      <c r="I367" s="24"/>
      <c r="J367" s="14" t="str">
        <f aca="false">IF(C367="","",-E367*H367*IF(OR(B367="Sell call",B367="Buy to close",B367="Expired",B367="Assigned"),100,1)-I367)</f>
        <v/>
      </c>
      <c r="K367" s="21"/>
      <c r="L367" s="21"/>
      <c r="M367" s="21"/>
      <c r="N367" s="8" t="str">
        <f aca="false">IF(A367="","",IF(COUNTIFS(Reconcile!$I:$I,A367,Reconcile!$H:$H,"&gt;="&amp;(J367-0.01),Reconcile!$H:$H,"&lt;="&amp;(J367+0.01))&gt;0,"Yes","Not yet"))</f>
        <v/>
      </c>
      <c r="O367" s="21"/>
    </row>
    <row r="368" customFormat="false" ht="15" hidden="false" customHeight="false" outlineLevel="0" collapsed="false">
      <c r="A368" s="20"/>
      <c r="B368" s="21"/>
      <c r="C368" s="21"/>
      <c r="D368" s="21"/>
      <c r="E368" s="21"/>
      <c r="F368" s="22"/>
      <c r="G368" s="20"/>
      <c r="H368" s="23"/>
      <c r="I368" s="24"/>
      <c r="J368" s="14" t="str">
        <f aca="false">IF(C368="","",-E368*H368*IF(OR(B368="Sell call",B368="Buy to close",B368="Expired",B368="Assigned"),100,1)-I368)</f>
        <v/>
      </c>
      <c r="K368" s="21"/>
      <c r="L368" s="21"/>
      <c r="M368" s="21"/>
      <c r="N368" s="8" t="str">
        <f aca="false">IF(A368="","",IF(COUNTIFS(Reconcile!$I:$I,A368,Reconcile!$H:$H,"&gt;="&amp;(J368-0.01),Reconcile!$H:$H,"&lt;="&amp;(J368+0.01))&gt;0,"Yes","Not yet"))</f>
        <v/>
      </c>
      <c r="O368" s="21"/>
    </row>
    <row r="369" customFormat="false" ht="15" hidden="false" customHeight="false" outlineLevel="0" collapsed="false">
      <c r="A369" s="20"/>
      <c r="B369" s="21"/>
      <c r="C369" s="21"/>
      <c r="D369" s="21"/>
      <c r="E369" s="21"/>
      <c r="F369" s="22"/>
      <c r="G369" s="20"/>
      <c r="H369" s="23"/>
      <c r="I369" s="24"/>
      <c r="J369" s="14" t="str">
        <f aca="false">IF(C369="","",-E369*H369*IF(OR(B369="Sell call",B369="Buy to close",B369="Expired",B369="Assigned"),100,1)-I369)</f>
        <v/>
      </c>
      <c r="K369" s="21"/>
      <c r="L369" s="21"/>
      <c r="M369" s="21"/>
      <c r="N369" s="8" t="str">
        <f aca="false">IF(A369="","",IF(COUNTIFS(Reconcile!$I:$I,A369,Reconcile!$H:$H,"&gt;="&amp;(J369-0.01),Reconcile!$H:$H,"&lt;="&amp;(J369+0.01))&gt;0,"Yes","Not yet"))</f>
        <v/>
      </c>
      <c r="O369" s="21"/>
    </row>
    <row r="370" customFormat="false" ht="15" hidden="false" customHeight="false" outlineLevel="0" collapsed="false">
      <c r="A370" s="20"/>
      <c r="B370" s="21"/>
      <c r="C370" s="21"/>
      <c r="D370" s="21"/>
      <c r="E370" s="21"/>
      <c r="F370" s="22"/>
      <c r="G370" s="20"/>
      <c r="H370" s="23"/>
      <c r="I370" s="24"/>
      <c r="J370" s="14" t="str">
        <f aca="false">IF(C370="","",-E370*H370*IF(OR(B370="Sell call",B370="Buy to close",B370="Expired",B370="Assigned"),100,1)-I370)</f>
        <v/>
      </c>
      <c r="K370" s="21"/>
      <c r="L370" s="21"/>
      <c r="M370" s="21"/>
      <c r="N370" s="8" t="str">
        <f aca="false">IF(A370="","",IF(COUNTIFS(Reconcile!$I:$I,A370,Reconcile!$H:$H,"&gt;="&amp;(J370-0.01),Reconcile!$H:$H,"&lt;="&amp;(J370+0.01))&gt;0,"Yes","Not yet"))</f>
        <v/>
      </c>
      <c r="O370" s="21"/>
    </row>
    <row r="371" customFormat="false" ht="15" hidden="false" customHeight="false" outlineLevel="0" collapsed="false">
      <c r="A371" s="20"/>
      <c r="B371" s="21"/>
      <c r="C371" s="21"/>
      <c r="D371" s="21"/>
      <c r="E371" s="21"/>
      <c r="F371" s="22"/>
      <c r="G371" s="20"/>
      <c r="H371" s="23"/>
      <c r="I371" s="24"/>
      <c r="J371" s="14" t="str">
        <f aca="false">IF(C371="","",-E371*H371*IF(OR(B371="Sell call",B371="Buy to close",B371="Expired",B371="Assigned"),100,1)-I371)</f>
        <v/>
      </c>
      <c r="K371" s="21"/>
      <c r="L371" s="21"/>
      <c r="M371" s="21"/>
      <c r="N371" s="8" t="str">
        <f aca="false">IF(A371="","",IF(COUNTIFS(Reconcile!$I:$I,A371,Reconcile!$H:$H,"&gt;="&amp;(J371-0.01),Reconcile!$H:$H,"&lt;="&amp;(J371+0.01))&gt;0,"Yes","Not yet"))</f>
        <v/>
      </c>
      <c r="O371" s="21"/>
    </row>
    <row r="372" customFormat="false" ht="15" hidden="false" customHeight="false" outlineLevel="0" collapsed="false">
      <c r="A372" s="20"/>
      <c r="B372" s="21"/>
      <c r="C372" s="21"/>
      <c r="D372" s="21"/>
      <c r="E372" s="21"/>
      <c r="F372" s="22"/>
      <c r="G372" s="20"/>
      <c r="H372" s="23"/>
      <c r="I372" s="24"/>
      <c r="J372" s="14" t="str">
        <f aca="false">IF(C372="","",-E372*H372*IF(OR(B372="Sell call",B372="Buy to close",B372="Expired",B372="Assigned"),100,1)-I372)</f>
        <v/>
      </c>
      <c r="K372" s="21"/>
      <c r="L372" s="21"/>
      <c r="M372" s="21"/>
      <c r="N372" s="8" t="str">
        <f aca="false">IF(A372="","",IF(COUNTIFS(Reconcile!$I:$I,A372,Reconcile!$H:$H,"&gt;="&amp;(J372-0.01),Reconcile!$H:$H,"&lt;="&amp;(J372+0.01))&gt;0,"Yes","Not yet"))</f>
        <v/>
      </c>
      <c r="O372" s="21"/>
    </row>
    <row r="373" customFormat="false" ht="15" hidden="false" customHeight="false" outlineLevel="0" collapsed="false">
      <c r="A373" s="20"/>
      <c r="B373" s="21"/>
      <c r="C373" s="21"/>
      <c r="D373" s="21"/>
      <c r="E373" s="21"/>
      <c r="F373" s="22"/>
      <c r="G373" s="20"/>
      <c r="H373" s="23"/>
      <c r="I373" s="24"/>
      <c r="J373" s="14" t="str">
        <f aca="false">IF(C373="","",-E373*H373*IF(OR(B373="Sell call",B373="Buy to close",B373="Expired",B373="Assigned"),100,1)-I373)</f>
        <v/>
      </c>
      <c r="K373" s="21"/>
      <c r="L373" s="21"/>
      <c r="M373" s="21"/>
      <c r="N373" s="8" t="str">
        <f aca="false">IF(A373="","",IF(COUNTIFS(Reconcile!$I:$I,A373,Reconcile!$H:$H,"&gt;="&amp;(J373-0.01),Reconcile!$H:$H,"&lt;="&amp;(J373+0.01))&gt;0,"Yes","Not yet"))</f>
        <v/>
      </c>
      <c r="O373" s="21"/>
    </row>
    <row r="374" customFormat="false" ht="15" hidden="false" customHeight="false" outlineLevel="0" collapsed="false">
      <c r="A374" s="20"/>
      <c r="B374" s="21"/>
      <c r="C374" s="21"/>
      <c r="D374" s="21"/>
      <c r="E374" s="21"/>
      <c r="F374" s="22"/>
      <c r="G374" s="20"/>
      <c r="H374" s="23"/>
      <c r="I374" s="24"/>
      <c r="J374" s="14" t="str">
        <f aca="false">IF(C374="","",-E374*H374*IF(OR(B374="Sell call",B374="Buy to close",B374="Expired",B374="Assigned"),100,1)-I374)</f>
        <v/>
      </c>
      <c r="K374" s="21"/>
      <c r="L374" s="21"/>
      <c r="M374" s="21"/>
      <c r="N374" s="8" t="str">
        <f aca="false">IF(A374="","",IF(COUNTIFS(Reconcile!$I:$I,A374,Reconcile!$H:$H,"&gt;="&amp;(J374-0.01),Reconcile!$H:$H,"&lt;="&amp;(J374+0.01))&gt;0,"Yes","Not yet"))</f>
        <v/>
      </c>
      <c r="O374" s="21"/>
    </row>
    <row r="375" customFormat="false" ht="15" hidden="false" customHeight="false" outlineLevel="0" collapsed="false">
      <c r="A375" s="20"/>
      <c r="B375" s="21"/>
      <c r="C375" s="21"/>
      <c r="D375" s="21"/>
      <c r="E375" s="21"/>
      <c r="F375" s="22"/>
      <c r="G375" s="20"/>
      <c r="H375" s="23"/>
      <c r="I375" s="24"/>
      <c r="J375" s="14" t="str">
        <f aca="false">IF(C375="","",-E375*H375*IF(OR(B375="Sell call",B375="Buy to close",B375="Expired",B375="Assigned"),100,1)-I375)</f>
        <v/>
      </c>
      <c r="K375" s="21"/>
      <c r="L375" s="21"/>
      <c r="M375" s="21"/>
      <c r="N375" s="8" t="str">
        <f aca="false">IF(A375="","",IF(COUNTIFS(Reconcile!$I:$I,A375,Reconcile!$H:$H,"&gt;="&amp;(J375-0.01),Reconcile!$H:$H,"&lt;="&amp;(J375+0.01))&gt;0,"Yes","Not yet"))</f>
        <v/>
      </c>
      <c r="O375" s="21"/>
    </row>
    <row r="376" customFormat="false" ht="15" hidden="false" customHeight="false" outlineLevel="0" collapsed="false">
      <c r="A376" s="20"/>
      <c r="B376" s="21"/>
      <c r="C376" s="21"/>
      <c r="D376" s="21"/>
      <c r="E376" s="21"/>
      <c r="F376" s="22"/>
      <c r="G376" s="20"/>
      <c r="H376" s="23"/>
      <c r="I376" s="24"/>
      <c r="J376" s="14" t="str">
        <f aca="false">IF(C376="","",-E376*H376*IF(OR(B376="Sell call",B376="Buy to close",B376="Expired",B376="Assigned"),100,1)-I376)</f>
        <v/>
      </c>
      <c r="K376" s="21"/>
      <c r="L376" s="21"/>
      <c r="M376" s="21"/>
      <c r="N376" s="8" t="str">
        <f aca="false">IF(A376="","",IF(COUNTIFS(Reconcile!$I:$I,A376,Reconcile!$H:$H,"&gt;="&amp;(J376-0.01),Reconcile!$H:$H,"&lt;="&amp;(J376+0.01))&gt;0,"Yes","Not yet"))</f>
        <v/>
      </c>
      <c r="O376" s="21"/>
    </row>
    <row r="377" customFormat="false" ht="15" hidden="false" customHeight="false" outlineLevel="0" collapsed="false">
      <c r="A377" s="20"/>
      <c r="B377" s="21"/>
      <c r="C377" s="21"/>
      <c r="D377" s="21"/>
      <c r="E377" s="21"/>
      <c r="F377" s="22"/>
      <c r="G377" s="20"/>
      <c r="H377" s="23"/>
      <c r="I377" s="24"/>
      <c r="J377" s="14" t="str">
        <f aca="false">IF(C377="","",-E377*H377*IF(OR(B377="Sell call",B377="Buy to close",B377="Expired",B377="Assigned"),100,1)-I377)</f>
        <v/>
      </c>
      <c r="K377" s="21"/>
      <c r="L377" s="21"/>
      <c r="M377" s="21"/>
      <c r="N377" s="8" t="str">
        <f aca="false">IF(A377="","",IF(COUNTIFS(Reconcile!$I:$I,A377,Reconcile!$H:$H,"&gt;="&amp;(J377-0.01),Reconcile!$H:$H,"&lt;="&amp;(J377+0.01))&gt;0,"Yes","Not yet"))</f>
        <v/>
      </c>
      <c r="O377" s="21"/>
    </row>
    <row r="378" customFormat="false" ht="15" hidden="false" customHeight="false" outlineLevel="0" collapsed="false">
      <c r="A378" s="20"/>
      <c r="B378" s="21"/>
      <c r="C378" s="21"/>
      <c r="D378" s="21"/>
      <c r="E378" s="21"/>
      <c r="F378" s="22"/>
      <c r="G378" s="20"/>
      <c r="H378" s="23"/>
      <c r="I378" s="24"/>
      <c r="J378" s="14" t="str">
        <f aca="false">IF(C378="","",-E378*H378*IF(OR(B378="Sell call",B378="Buy to close",B378="Expired",B378="Assigned"),100,1)-I378)</f>
        <v/>
      </c>
      <c r="K378" s="21"/>
      <c r="L378" s="21"/>
      <c r="M378" s="21"/>
      <c r="N378" s="8" t="str">
        <f aca="false">IF(A378="","",IF(COUNTIFS(Reconcile!$I:$I,A378,Reconcile!$H:$H,"&gt;="&amp;(J378-0.01),Reconcile!$H:$H,"&lt;="&amp;(J378+0.01))&gt;0,"Yes","Not yet"))</f>
        <v/>
      </c>
      <c r="O378" s="21"/>
    </row>
    <row r="379" customFormat="false" ht="15" hidden="false" customHeight="false" outlineLevel="0" collapsed="false">
      <c r="A379" s="20"/>
      <c r="B379" s="21"/>
      <c r="C379" s="21"/>
      <c r="D379" s="21"/>
      <c r="E379" s="21"/>
      <c r="F379" s="22"/>
      <c r="G379" s="20"/>
      <c r="H379" s="23"/>
      <c r="I379" s="24"/>
      <c r="J379" s="14" t="str">
        <f aca="false">IF(C379="","",-E379*H379*IF(OR(B379="Sell call",B379="Buy to close",B379="Expired",B379="Assigned"),100,1)-I379)</f>
        <v/>
      </c>
      <c r="K379" s="21"/>
      <c r="L379" s="21"/>
      <c r="M379" s="21"/>
      <c r="N379" s="8" t="str">
        <f aca="false">IF(A379="","",IF(COUNTIFS(Reconcile!$I:$I,A379,Reconcile!$H:$H,"&gt;="&amp;(J379-0.01),Reconcile!$H:$H,"&lt;="&amp;(J379+0.01))&gt;0,"Yes","Not yet"))</f>
        <v/>
      </c>
      <c r="O379" s="21"/>
    </row>
    <row r="380" customFormat="false" ht="15" hidden="false" customHeight="false" outlineLevel="0" collapsed="false">
      <c r="A380" s="20"/>
      <c r="B380" s="21"/>
      <c r="C380" s="21"/>
      <c r="D380" s="21"/>
      <c r="E380" s="21"/>
      <c r="F380" s="22"/>
      <c r="G380" s="20"/>
      <c r="H380" s="23"/>
      <c r="I380" s="24"/>
      <c r="J380" s="14" t="str">
        <f aca="false">IF(C380="","",-E380*H380*IF(OR(B380="Sell call",B380="Buy to close",B380="Expired",B380="Assigned"),100,1)-I380)</f>
        <v/>
      </c>
      <c r="K380" s="21"/>
      <c r="L380" s="21"/>
      <c r="M380" s="21"/>
      <c r="N380" s="8" t="str">
        <f aca="false">IF(A380="","",IF(COUNTIFS(Reconcile!$I:$I,A380,Reconcile!$H:$H,"&gt;="&amp;(J380-0.01),Reconcile!$H:$H,"&lt;="&amp;(J380+0.01))&gt;0,"Yes","Not yet"))</f>
        <v/>
      </c>
      <c r="O380" s="21"/>
    </row>
    <row r="381" customFormat="false" ht="15" hidden="false" customHeight="false" outlineLevel="0" collapsed="false">
      <c r="A381" s="20"/>
      <c r="B381" s="21"/>
      <c r="C381" s="21"/>
      <c r="D381" s="21"/>
      <c r="E381" s="21"/>
      <c r="F381" s="22"/>
      <c r="G381" s="20"/>
      <c r="H381" s="23"/>
      <c r="I381" s="24"/>
      <c r="J381" s="14" t="str">
        <f aca="false">IF(C381="","",-E381*H381*IF(OR(B381="Sell call",B381="Buy to close",B381="Expired",B381="Assigned"),100,1)-I381)</f>
        <v/>
      </c>
      <c r="K381" s="21"/>
      <c r="L381" s="21"/>
      <c r="M381" s="21"/>
      <c r="N381" s="8" t="str">
        <f aca="false">IF(A381="","",IF(COUNTIFS(Reconcile!$I:$I,A381,Reconcile!$H:$H,"&gt;="&amp;(J381-0.01),Reconcile!$H:$H,"&lt;="&amp;(J381+0.01))&gt;0,"Yes","Not yet"))</f>
        <v/>
      </c>
      <c r="O381" s="21"/>
    </row>
    <row r="382" customFormat="false" ht="15" hidden="false" customHeight="false" outlineLevel="0" collapsed="false">
      <c r="A382" s="20"/>
      <c r="B382" s="21"/>
      <c r="C382" s="21"/>
      <c r="D382" s="21"/>
      <c r="E382" s="21"/>
      <c r="F382" s="22"/>
      <c r="G382" s="20"/>
      <c r="H382" s="23"/>
      <c r="I382" s="24"/>
      <c r="J382" s="14" t="str">
        <f aca="false">IF(C382="","",-E382*H382*IF(OR(B382="Sell call",B382="Buy to close",B382="Expired",B382="Assigned"),100,1)-I382)</f>
        <v/>
      </c>
      <c r="K382" s="21"/>
      <c r="L382" s="21"/>
      <c r="M382" s="21"/>
      <c r="N382" s="8" t="str">
        <f aca="false">IF(A382="","",IF(COUNTIFS(Reconcile!$I:$I,A382,Reconcile!$H:$H,"&gt;="&amp;(J382-0.01),Reconcile!$H:$H,"&lt;="&amp;(J382+0.01))&gt;0,"Yes","Not yet"))</f>
        <v/>
      </c>
      <c r="O382" s="21"/>
    </row>
    <row r="383" customFormat="false" ht="15" hidden="false" customHeight="false" outlineLevel="0" collapsed="false">
      <c r="A383" s="20"/>
      <c r="B383" s="21"/>
      <c r="C383" s="21"/>
      <c r="D383" s="21"/>
      <c r="E383" s="21"/>
      <c r="F383" s="22"/>
      <c r="G383" s="20"/>
      <c r="H383" s="23"/>
      <c r="I383" s="24"/>
      <c r="J383" s="14" t="str">
        <f aca="false">IF(C383="","",-E383*H383*IF(OR(B383="Sell call",B383="Buy to close",B383="Expired",B383="Assigned"),100,1)-I383)</f>
        <v/>
      </c>
      <c r="K383" s="21"/>
      <c r="L383" s="21"/>
      <c r="M383" s="21"/>
      <c r="N383" s="8" t="str">
        <f aca="false">IF(A383="","",IF(COUNTIFS(Reconcile!$I:$I,A383,Reconcile!$H:$H,"&gt;="&amp;(J383-0.01),Reconcile!$H:$H,"&lt;="&amp;(J383+0.01))&gt;0,"Yes","Not yet"))</f>
        <v/>
      </c>
      <c r="O383" s="21"/>
    </row>
    <row r="384" customFormat="false" ht="15" hidden="false" customHeight="false" outlineLevel="0" collapsed="false">
      <c r="A384" s="20"/>
      <c r="B384" s="21"/>
      <c r="C384" s="21"/>
      <c r="D384" s="21"/>
      <c r="E384" s="21"/>
      <c r="F384" s="22"/>
      <c r="G384" s="20"/>
      <c r="H384" s="23"/>
      <c r="I384" s="24"/>
      <c r="J384" s="14" t="str">
        <f aca="false">IF(C384="","",-E384*H384*IF(OR(B384="Sell call",B384="Buy to close",B384="Expired",B384="Assigned"),100,1)-I384)</f>
        <v/>
      </c>
      <c r="K384" s="21"/>
      <c r="L384" s="21"/>
      <c r="M384" s="21"/>
      <c r="N384" s="8" t="str">
        <f aca="false">IF(A384="","",IF(COUNTIFS(Reconcile!$I:$I,A384,Reconcile!$H:$H,"&gt;="&amp;(J384-0.01),Reconcile!$H:$H,"&lt;="&amp;(J384+0.01))&gt;0,"Yes","Not yet"))</f>
        <v/>
      </c>
      <c r="O384" s="21"/>
    </row>
    <row r="385" customFormat="false" ht="15" hidden="false" customHeight="false" outlineLevel="0" collapsed="false">
      <c r="A385" s="20"/>
      <c r="B385" s="21"/>
      <c r="C385" s="21"/>
      <c r="D385" s="21"/>
      <c r="E385" s="21"/>
      <c r="F385" s="22"/>
      <c r="G385" s="20"/>
      <c r="H385" s="23"/>
      <c r="I385" s="24"/>
      <c r="J385" s="14" t="str">
        <f aca="false">IF(C385="","",-E385*H385*IF(OR(B385="Sell call",B385="Buy to close",B385="Expired",B385="Assigned"),100,1)-I385)</f>
        <v/>
      </c>
      <c r="K385" s="21"/>
      <c r="L385" s="21"/>
      <c r="M385" s="21"/>
      <c r="N385" s="8" t="str">
        <f aca="false">IF(A385="","",IF(COUNTIFS(Reconcile!$I:$I,A385,Reconcile!$H:$H,"&gt;="&amp;(J385-0.01),Reconcile!$H:$H,"&lt;="&amp;(J385+0.01))&gt;0,"Yes","Not yet"))</f>
        <v/>
      </c>
      <c r="O385" s="21"/>
    </row>
    <row r="386" customFormat="false" ht="15" hidden="false" customHeight="false" outlineLevel="0" collapsed="false">
      <c r="A386" s="20"/>
      <c r="B386" s="21"/>
      <c r="C386" s="21"/>
      <c r="D386" s="21"/>
      <c r="E386" s="21"/>
      <c r="F386" s="22"/>
      <c r="G386" s="20"/>
      <c r="H386" s="23"/>
      <c r="I386" s="24"/>
      <c r="J386" s="14" t="str">
        <f aca="false">IF(C386="","",-E386*H386*IF(OR(B386="Sell call",B386="Buy to close",B386="Expired",B386="Assigned"),100,1)-I386)</f>
        <v/>
      </c>
      <c r="K386" s="21"/>
      <c r="L386" s="21"/>
      <c r="M386" s="21"/>
      <c r="N386" s="8" t="str">
        <f aca="false">IF(A386="","",IF(COUNTIFS(Reconcile!$I:$I,A386,Reconcile!$H:$H,"&gt;="&amp;(J386-0.01),Reconcile!$H:$H,"&lt;="&amp;(J386+0.01))&gt;0,"Yes","Not yet"))</f>
        <v/>
      </c>
      <c r="O386" s="21"/>
    </row>
    <row r="387" customFormat="false" ht="15" hidden="false" customHeight="false" outlineLevel="0" collapsed="false">
      <c r="A387" s="20"/>
      <c r="B387" s="21"/>
      <c r="C387" s="21"/>
      <c r="D387" s="21"/>
      <c r="E387" s="21"/>
      <c r="F387" s="22"/>
      <c r="G387" s="20"/>
      <c r="H387" s="23"/>
      <c r="I387" s="24"/>
      <c r="J387" s="14" t="str">
        <f aca="false">IF(C387="","",-E387*H387*IF(OR(B387="Sell call",B387="Buy to close",B387="Expired",B387="Assigned"),100,1)-I387)</f>
        <v/>
      </c>
      <c r="K387" s="21"/>
      <c r="L387" s="21"/>
      <c r="M387" s="21"/>
      <c r="N387" s="8" t="str">
        <f aca="false">IF(A387="","",IF(COUNTIFS(Reconcile!$I:$I,A387,Reconcile!$H:$H,"&gt;="&amp;(J387-0.01),Reconcile!$H:$H,"&lt;="&amp;(J387+0.01))&gt;0,"Yes","Not yet"))</f>
        <v/>
      </c>
      <c r="O387" s="21"/>
    </row>
    <row r="388" customFormat="false" ht="15" hidden="false" customHeight="false" outlineLevel="0" collapsed="false">
      <c r="A388" s="20"/>
      <c r="B388" s="21"/>
      <c r="C388" s="21"/>
      <c r="D388" s="21"/>
      <c r="E388" s="21"/>
      <c r="F388" s="22"/>
      <c r="G388" s="20"/>
      <c r="H388" s="23"/>
      <c r="I388" s="24"/>
      <c r="J388" s="14" t="str">
        <f aca="false">IF(C388="","",-E388*H388*IF(OR(B388="Sell call",B388="Buy to close",B388="Expired",B388="Assigned"),100,1)-I388)</f>
        <v/>
      </c>
      <c r="K388" s="21"/>
      <c r="L388" s="21"/>
      <c r="M388" s="21"/>
      <c r="N388" s="8" t="str">
        <f aca="false">IF(A388="","",IF(COUNTIFS(Reconcile!$I:$I,A388,Reconcile!$H:$H,"&gt;="&amp;(J388-0.01),Reconcile!$H:$H,"&lt;="&amp;(J388+0.01))&gt;0,"Yes","Not yet"))</f>
        <v/>
      </c>
      <c r="O388" s="21"/>
    </row>
    <row r="389" customFormat="false" ht="15" hidden="false" customHeight="false" outlineLevel="0" collapsed="false">
      <c r="A389" s="20"/>
      <c r="B389" s="21"/>
      <c r="C389" s="21"/>
      <c r="D389" s="21"/>
      <c r="E389" s="21"/>
      <c r="F389" s="22"/>
      <c r="G389" s="20"/>
      <c r="H389" s="23"/>
      <c r="I389" s="24"/>
      <c r="J389" s="14" t="str">
        <f aca="false">IF(C389="","",-E389*H389*IF(OR(B389="Sell call",B389="Buy to close",B389="Expired",B389="Assigned"),100,1)-I389)</f>
        <v/>
      </c>
      <c r="K389" s="21"/>
      <c r="L389" s="21"/>
      <c r="M389" s="21"/>
      <c r="N389" s="8" t="str">
        <f aca="false">IF(A389="","",IF(COUNTIFS(Reconcile!$I:$I,A389,Reconcile!$H:$H,"&gt;="&amp;(J389-0.01),Reconcile!$H:$H,"&lt;="&amp;(J389+0.01))&gt;0,"Yes","Not yet"))</f>
        <v/>
      </c>
      <c r="O389" s="21"/>
    </row>
    <row r="390" customFormat="false" ht="15" hidden="false" customHeight="false" outlineLevel="0" collapsed="false">
      <c r="A390" s="20"/>
      <c r="B390" s="21"/>
      <c r="C390" s="21"/>
      <c r="D390" s="21"/>
      <c r="E390" s="21"/>
      <c r="F390" s="22"/>
      <c r="G390" s="20"/>
      <c r="H390" s="23"/>
      <c r="I390" s="24"/>
      <c r="J390" s="14" t="str">
        <f aca="false">IF(C390="","",-E390*H390*IF(OR(B390="Sell call",B390="Buy to close",B390="Expired",B390="Assigned"),100,1)-I390)</f>
        <v/>
      </c>
      <c r="K390" s="21"/>
      <c r="L390" s="21"/>
      <c r="M390" s="21"/>
      <c r="N390" s="8" t="str">
        <f aca="false">IF(A390="","",IF(COUNTIFS(Reconcile!$I:$I,A390,Reconcile!$H:$H,"&gt;="&amp;(J390-0.01),Reconcile!$H:$H,"&lt;="&amp;(J390+0.01))&gt;0,"Yes","Not yet"))</f>
        <v/>
      </c>
      <c r="O390" s="21"/>
    </row>
    <row r="391" customFormat="false" ht="15" hidden="false" customHeight="false" outlineLevel="0" collapsed="false">
      <c r="A391" s="20"/>
      <c r="B391" s="21"/>
      <c r="C391" s="21"/>
      <c r="D391" s="21"/>
      <c r="E391" s="21"/>
      <c r="F391" s="22"/>
      <c r="G391" s="20"/>
      <c r="H391" s="23"/>
      <c r="I391" s="24"/>
      <c r="J391" s="14" t="str">
        <f aca="false">IF(C391="","",-E391*H391*IF(OR(B391="Sell call",B391="Buy to close",B391="Expired",B391="Assigned"),100,1)-I391)</f>
        <v/>
      </c>
      <c r="K391" s="21"/>
      <c r="L391" s="21"/>
      <c r="M391" s="21"/>
      <c r="N391" s="8" t="str">
        <f aca="false">IF(A391="","",IF(COUNTIFS(Reconcile!$I:$I,A391,Reconcile!$H:$H,"&gt;="&amp;(J391-0.01),Reconcile!$H:$H,"&lt;="&amp;(J391+0.01))&gt;0,"Yes","Not yet"))</f>
        <v/>
      </c>
      <c r="O391" s="21"/>
    </row>
    <row r="392" customFormat="false" ht="15" hidden="false" customHeight="false" outlineLevel="0" collapsed="false">
      <c r="A392" s="20"/>
      <c r="B392" s="21"/>
      <c r="C392" s="21"/>
      <c r="D392" s="21"/>
      <c r="E392" s="21"/>
      <c r="F392" s="22"/>
      <c r="G392" s="20"/>
      <c r="H392" s="23"/>
      <c r="I392" s="24"/>
      <c r="J392" s="14" t="str">
        <f aca="false">IF(C392="","",-E392*H392*IF(OR(B392="Sell call",B392="Buy to close",B392="Expired",B392="Assigned"),100,1)-I392)</f>
        <v/>
      </c>
      <c r="K392" s="21"/>
      <c r="L392" s="21"/>
      <c r="M392" s="21"/>
      <c r="N392" s="8" t="str">
        <f aca="false">IF(A392="","",IF(COUNTIFS(Reconcile!$I:$I,A392,Reconcile!$H:$H,"&gt;="&amp;(J392-0.01),Reconcile!$H:$H,"&lt;="&amp;(J392+0.01))&gt;0,"Yes","Not yet"))</f>
        <v/>
      </c>
      <c r="O392" s="21"/>
    </row>
    <row r="393" customFormat="false" ht="15" hidden="false" customHeight="false" outlineLevel="0" collapsed="false">
      <c r="A393" s="20"/>
      <c r="B393" s="21"/>
      <c r="C393" s="21"/>
      <c r="D393" s="21"/>
      <c r="E393" s="21"/>
      <c r="F393" s="22"/>
      <c r="G393" s="20"/>
      <c r="H393" s="23"/>
      <c r="I393" s="24"/>
      <c r="J393" s="14" t="str">
        <f aca="false">IF(C393="","",-E393*H393*IF(OR(B393="Sell call",B393="Buy to close",B393="Expired",B393="Assigned"),100,1)-I393)</f>
        <v/>
      </c>
      <c r="K393" s="21"/>
      <c r="L393" s="21"/>
      <c r="M393" s="21"/>
      <c r="N393" s="8" t="str">
        <f aca="false">IF(A393="","",IF(COUNTIFS(Reconcile!$I:$I,A393,Reconcile!$H:$H,"&gt;="&amp;(J393-0.01),Reconcile!$H:$H,"&lt;="&amp;(J393+0.01))&gt;0,"Yes","Not yet"))</f>
        <v/>
      </c>
      <c r="O393" s="21"/>
    </row>
    <row r="394" customFormat="false" ht="15" hidden="false" customHeight="false" outlineLevel="0" collapsed="false">
      <c r="A394" s="20"/>
      <c r="B394" s="21"/>
      <c r="C394" s="21"/>
      <c r="D394" s="21"/>
      <c r="E394" s="21"/>
      <c r="F394" s="22"/>
      <c r="G394" s="20"/>
      <c r="H394" s="23"/>
      <c r="I394" s="24"/>
      <c r="J394" s="14" t="str">
        <f aca="false">IF(C394="","",-E394*H394*IF(OR(B394="Sell call",B394="Buy to close",B394="Expired",B394="Assigned"),100,1)-I394)</f>
        <v/>
      </c>
      <c r="K394" s="21"/>
      <c r="L394" s="21"/>
      <c r="M394" s="21"/>
      <c r="N394" s="8" t="str">
        <f aca="false">IF(A394="","",IF(COUNTIFS(Reconcile!$I:$I,A394,Reconcile!$H:$H,"&gt;="&amp;(J394-0.01),Reconcile!$H:$H,"&lt;="&amp;(J394+0.01))&gt;0,"Yes","Not yet"))</f>
        <v/>
      </c>
      <c r="O394" s="21"/>
    </row>
    <row r="395" customFormat="false" ht="15" hidden="false" customHeight="false" outlineLevel="0" collapsed="false">
      <c r="A395" s="20"/>
      <c r="B395" s="21"/>
      <c r="C395" s="21"/>
      <c r="D395" s="21"/>
      <c r="E395" s="21"/>
      <c r="F395" s="22"/>
      <c r="G395" s="20"/>
      <c r="H395" s="23"/>
      <c r="I395" s="24"/>
      <c r="J395" s="14" t="str">
        <f aca="false">IF(C395="","",-E395*H395*IF(OR(B395="Sell call",B395="Buy to close",B395="Expired",B395="Assigned"),100,1)-I395)</f>
        <v/>
      </c>
      <c r="K395" s="21"/>
      <c r="L395" s="21"/>
      <c r="M395" s="21"/>
      <c r="N395" s="8" t="str">
        <f aca="false">IF(A395="","",IF(COUNTIFS(Reconcile!$I:$I,A395,Reconcile!$H:$H,"&gt;="&amp;(J395-0.01),Reconcile!$H:$H,"&lt;="&amp;(J395+0.01))&gt;0,"Yes","Not yet"))</f>
        <v/>
      </c>
      <c r="O395" s="21"/>
    </row>
    <row r="396" customFormat="false" ht="15" hidden="false" customHeight="false" outlineLevel="0" collapsed="false">
      <c r="A396" s="20"/>
      <c r="B396" s="21"/>
      <c r="C396" s="21"/>
      <c r="D396" s="21"/>
      <c r="E396" s="21"/>
      <c r="F396" s="22"/>
      <c r="G396" s="20"/>
      <c r="H396" s="23"/>
      <c r="I396" s="24"/>
      <c r="J396" s="14" t="str">
        <f aca="false">IF(C396="","",-E396*H396*IF(OR(B396="Sell call",B396="Buy to close",B396="Expired",B396="Assigned"),100,1)-I396)</f>
        <v/>
      </c>
      <c r="K396" s="21"/>
      <c r="L396" s="21"/>
      <c r="M396" s="21"/>
      <c r="N396" s="8" t="str">
        <f aca="false">IF(A396="","",IF(COUNTIFS(Reconcile!$I:$I,A396,Reconcile!$H:$H,"&gt;="&amp;(J396-0.01),Reconcile!$H:$H,"&lt;="&amp;(J396+0.01))&gt;0,"Yes","Not yet"))</f>
        <v/>
      </c>
      <c r="O396" s="21"/>
    </row>
    <row r="397" customFormat="false" ht="15" hidden="false" customHeight="false" outlineLevel="0" collapsed="false">
      <c r="A397" s="20"/>
      <c r="B397" s="21"/>
      <c r="C397" s="21"/>
      <c r="D397" s="21"/>
      <c r="E397" s="21"/>
      <c r="F397" s="22"/>
      <c r="G397" s="20"/>
      <c r="H397" s="23"/>
      <c r="I397" s="24"/>
      <c r="J397" s="14" t="str">
        <f aca="false">IF(C397="","",-E397*H397*IF(OR(B397="Sell call",B397="Buy to close",B397="Expired",B397="Assigned"),100,1)-I397)</f>
        <v/>
      </c>
      <c r="K397" s="21"/>
      <c r="L397" s="21"/>
      <c r="M397" s="21"/>
      <c r="N397" s="8" t="str">
        <f aca="false">IF(A397="","",IF(COUNTIFS(Reconcile!$I:$I,A397,Reconcile!$H:$H,"&gt;="&amp;(J397-0.01),Reconcile!$H:$H,"&lt;="&amp;(J397+0.01))&gt;0,"Yes","Not yet"))</f>
        <v/>
      </c>
      <c r="O397" s="21"/>
    </row>
    <row r="398" customFormat="false" ht="15" hidden="false" customHeight="false" outlineLevel="0" collapsed="false">
      <c r="A398" s="20"/>
      <c r="B398" s="21"/>
      <c r="C398" s="21"/>
      <c r="D398" s="21"/>
      <c r="E398" s="21"/>
      <c r="F398" s="22"/>
      <c r="G398" s="20"/>
      <c r="H398" s="23"/>
      <c r="I398" s="24"/>
      <c r="J398" s="14" t="str">
        <f aca="false">IF(C398="","",-E398*H398*IF(OR(B398="Sell call",B398="Buy to close",B398="Expired",B398="Assigned"),100,1)-I398)</f>
        <v/>
      </c>
      <c r="K398" s="21"/>
      <c r="L398" s="21"/>
      <c r="M398" s="21"/>
      <c r="N398" s="8" t="str">
        <f aca="false">IF(A398="","",IF(COUNTIFS(Reconcile!$I:$I,A398,Reconcile!$H:$H,"&gt;="&amp;(J398-0.01),Reconcile!$H:$H,"&lt;="&amp;(J398+0.01))&gt;0,"Yes","Not yet"))</f>
        <v/>
      </c>
      <c r="O398" s="21"/>
    </row>
    <row r="399" customFormat="false" ht="15" hidden="false" customHeight="false" outlineLevel="0" collapsed="false">
      <c r="A399" s="20"/>
      <c r="B399" s="21"/>
      <c r="C399" s="21"/>
      <c r="D399" s="21"/>
      <c r="E399" s="21"/>
      <c r="F399" s="22"/>
      <c r="G399" s="20"/>
      <c r="H399" s="23"/>
      <c r="I399" s="24"/>
      <c r="J399" s="14" t="str">
        <f aca="false">IF(C399="","",-E399*H399*IF(OR(B399="Sell call",B399="Buy to close",B399="Expired",B399="Assigned"),100,1)-I399)</f>
        <v/>
      </c>
      <c r="K399" s="21"/>
      <c r="L399" s="21"/>
      <c r="M399" s="21"/>
      <c r="N399" s="8" t="str">
        <f aca="false">IF(A399="","",IF(COUNTIFS(Reconcile!$I:$I,A399,Reconcile!$H:$H,"&gt;="&amp;(J399-0.01),Reconcile!$H:$H,"&lt;="&amp;(J399+0.01))&gt;0,"Yes","Not yet"))</f>
        <v/>
      </c>
      <c r="O399" s="21"/>
    </row>
    <row r="400" customFormat="false" ht="15" hidden="false" customHeight="false" outlineLevel="0" collapsed="false">
      <c r="A400" s="20"/>
      <c r="B400" s="21"/>
      <c r="C400" s="21"/>
      <c r="D400" s="21"/>
      <c r="E400" s="21"/>
      <c r="F400" s="22"/>
      <c r="G400" s="20"/>
      <c r="H400" s="23"/>
      <c r="I400" s="24"/>
      <c r="J400" s="14" t="str">
        <f aca="false">IF(C400="","",-E400*H400*IF(OR(B400="Sell call",B400="Buy to close",B400="Expired",B400="Assigned"),100,1)-I400)</f>
        <v/>
      </c>
      <c r="K400" s="21"/>
      <c r="L400" s="21"/>
      <c r="M400" s="21"/>
      <c r="N400" s="8" t="str">
        <f aca="false">IF(A400="","",IF(COUNTIFS(Reconcile!$I:$I,A400,Reconcile!$H:$H,"&gt;="&amp;(J400-0.01),Reconcile!$H:$H,"&lt;="&amp;(J400+0.01))&gt;0,"Yes","Not yet"))</f>
        <v/>
      </c>
      <c r="O400" s="21"/>
    </row>
    <row r="401" customFormat="false" ht="15" hidden="false" customHeight="false" outlineLevel="0" collapsed="false">
      <c r="A401" s="20"/>
      <c r="B401" s="21"/>
      <c r="C401" s="21"/>
      <c r="D401" s="21"/>
      <c r="E401" s="21"/>
      <c r="F401" s="22"/>
      <c r="G401" s="20"/>
      <c r="H401" s="23"/>
      <c r="I401" s="24"/>
      <c r="J401" s="14" t="str">
        <f aca="false">IF(C401="","",-E401*H401*IF(OR(B401="Sell call",B401="Buy to close",B401="Expired",B401="Assigned"),100,1)-I401)</f>
        <v/>
      </c>
      <c r="K401" s="21"/>
      <c r="L401" s="21"/>
      <c r="M401" s="21"/>
      <c r="N401" s="8" t="str">
        <f aca="false">IF(A401="","",IF(COUNTIFS(Reconcile!$I:$I,A401,Reconcile!$H:$H,"&gt;="&amp;(J401-0.01),Reconcile!$H:$H,"&lt;="&amp;(J401+0.01))&gt;0,"Yes","Not yet"))</f>
        <v/>
      </c>
      <c r="O401" s="21"/>
    </row>
    <row r="402" customFormat="false" ht="15" hidden="false" customHeight="false" outlineLevel="0" collapsed="false">
      <c r="A402" s="20"/>
      <c r="B402" s="21"/>
      <c r="C402" s="21"/>
      <c r="D402" s="21"/>
      <c r="E402" s="21"/>
      <c r="F402" s="22"/>
      <c r="G402" s="20"/>
      <c r="H402" s="23"/>
      <c r="I402" s="24"/>
      <c r="J402" s="14" t="str">
        <f aca="false">IF(C402="","",-E402*H402*IF(OR(B402="Sell call",B402="Buy to close",B402="Expired",B402="Assigned"),100,1)-I402)</f>
        <v/>
      </c>
      <c r="K402" s="21"/>
      <c r="L402" s="21"/>
      <c r="M402" s="21"/>
      <c r="N402" s="8" t="str">
        <f aca="false">IF(A402="","",IF(COUNTIFS(Reconcile!$I:$I,A402,Reconcile!$H:$H,"&gt;="&amp;(J402-0.01),Reconcile!$H:$H,"&lt;="&amp;(J402+0.01))&gt;0,"Yes","Not yet"))</f>
        <v/>
      </c>
      <c r="O402" s="21"/>
    </row>
    <row r="403" customFormat="false" ht="15" hidden="false" customHeight="false" outlineLevel="0" collapsed="false">
      <c r="A403" s="20"/>
      <c r="B403" s="21"/>
      <c r="C403" s="21"/>
      <c r="D403" s="21"/>
      <c r="E403" s="21"/>
      <c r="F403" s="22"/>
      <c r="G403" s="20"/>
      <c r="H403" s="23"/>
      <c r="I403" s="24"/>
      <c r="J403" s="14" t="str">
        <f aca="false">IF(C403="","",-E403*H403*IF(OR(B403="Sell call",B403="Buy to close",B403="Expired",B403="Assigned"),100,1)-I403)</f>
        <v/>
      </c>
      <c r="K403" s="21"/>
      <c r="L403" s="21"/>
      <c r="M403" s="21"/>
      <c r="N403" s="8" t="str">
        <f aca="false">IF(A403="","",IF(COUNTIFS(Reconcile!$I:$I,A403,Reconcile!$H:$H,"&gt;="&amp;(J403-0.01),Reconcile!$H:$H,"&lt;="&amp;(J403+0.01))&gt;0,"Yes","Not yet"))</f>
        <v/>
      </c>
      <c r="O403" s="21"/>
    </row>
    <row r="404" customFormat="false" ht="15" hidden="false" customHeight="false" outlineLevel="0" collapsed="false">
      <c r="A404" s="20"/>
      <c r="B404" s="21"/>
      <c r="C404" s="21"/>
      <c r="D404" s="21"/>
      <c r="E404" s="21"/>
      <c r="F404" s="22"/>
      <c r="G404" s="20"/>
      <c r="H404" s="23"/>
      <c r="I404" s="24"/>
      <c r="J404" s="14" t="str">
        <f aca="false">IF(C404="","",-E404*H404*IF(OR(B404="Sell call",B404="Buy to close",B404="Expired",B404="Assigned"),100,1)-I404)</f>
        <v/>
      </c>
      <c r="K404" s="21"/>
      <c r="L404" s="21"/>
      <c r="M404" s="21"/>
      <c r="N404" s="8" t="str">
        <f aca="false">IF(A404="","",IF(COUNTIFS(Reconcile!$I:$I,A404,Reconcile!$H:$H,"&gt;="&amp;(J404-0.01),Reconcile!$H:$H,"&lt;="&amp;(J404+0.01))&gt;0,"Yes","Not yet"))</f>
        <v/>
      </c>
      <c r="O404" s="21"/>
    </row>
    <row r="405" customFormat="false" ht="15" hidden="false" customHeight="false" outlineLevel="0" collapsed="false">
      <c r="A405" s="20"/>
      <c r="B405" s="21"/>
      <c r="C405" s="21"/>
      <c r="D405" s="21"/>
      <c r="E405" s="21"/>
      <c r="F405" s="22"/>
      <c r="G405" s="20"/>
      <c r="H405" s="23"/>
      <c r="I405" s="24"/>
      <c r="J405" s="14" t="str">
        <f aca="false">IF(C405="","",-E405*H405*IF(OR(B405="Sell call",B405="Buy to close",B405="Expired",B405="Assigned"),100,1)-I405)</f>
        <v/>
      </c>
      <c r="K405" s="21"/>
      <c r="L405" s="21"/>
      <c r="M405" s="21"/>
      <c r="N405" s="8" t="str">
        <f aca="false">IF(A405="","",IF(COUNTIFS(Reconcile!$I:$I,A405,Reconcile!$H:$H,"&gt;="&amp;(J405-0.01),Reconcile!$H:$H,"&lt;="&amp;(J405+0.01))&gt;0,"Yes","Not yet"))</f>
        <v/>
      </c>
      <c r="O405" s="21"/>
    </row>
    <row r="406" customFormat="false" ht="15" hidden="false" customHeight="false" outlineLevel="0" collapsed="false">
      <c r="A406" s="20"/>
      <c r="B406" s="21"/>
      <c r="C406" s="21"/>
      <c r="D406" s="21"/>
      <c r="E406" s="21"/>
      <c r="F406" s="22"/>
      <c r="G406" s="20"/>
      <c r="H406" s="23"/>
      <c r="I406" s="24"/>
      <c r="J406" s="14" t="str">
        <f aca="false">IF(C406="","",-E406*H406*IF(OR(B406="Sell call",B406="Buy to close",B406="Expired",B406="Assigned"),100,1)-I406)</f>
        <v/>
      </c>
      <c r="K406" s="21"/>
      <c r="L406" s="21"/>
      <c r="M406" s="21"/>
      <c r="N406" s="8" t="str">
        <f aca="false">IF(A406="","",IF(COUNTIFS(Reconcile!$I:$I,A406,Reconcile!$H:$H,"&gt;="&amp;(J406-0.01),Reconcile!$H:$H,"&lt;="&amp;(J406+0.01))&gt;0,"Yes","Not yet"))</f>
        <v/>
      </c>
      <c r="O406" s="21"/>
    </row>
    <row r="407" customFormat="false" ht="15" hidden="false" customHeight="false" outlineLevel="0" collapsed="false">
      <c r="A407" s="20"/>
      <c r="B407" s="21"/>
      <c r="C407" s="21"/>
      <c r="D407" s="21"/>
      <c r="E407" s="21"/>
      <c r="F407" s="22"/>
      <c r="G407" s="20"/>
      <c r="H407" s="23"/>
      <c r="I407" s="24"/>
      <c r="J407" s="14" t="str">
        <f aca="false">IF(C407="","",-E407*H407*IF(OR(B407="Sell call",B407="Buy to close",B407="Expired",B407="Assigned"),100,1)-I407)</f>
        <v/>
      </c>
      <c r="K407" s="21"/>
      <c r="L407" s="21"/>
      <c r="M407" s="21"/>
      <c r="N407" s="8" t="str">
        <f aca="false">IF(A407="","",IF(COUNTIFS(Reconcile!$I:$I,A407,Reconcile!$H:$H,"&gt;="&amp;(J407-0.01),Reconcile!$H:$H,"&lt;="&amp;(J407+0.01))&gt;0,"Yes","Not yet"))</f>
        <v/>
      </c>
      <c r="O407" s="21"/>
    </row>
    <row r="408" customFormat="false" ht="15" hidden="false" customHeight="false" outlineLevel="0" collapsed="false">
      <c r="A408" s="20"/>
      <c r="B408" s="21"/>
      <c r="C408" s="21"/>
      <c r="D408" s="21"/>
      <c r="E408" s="21"/>
      <c r="F408" s="22"/>
      <c r="G408" s="20"/>
      <c r="H408" s="23"/>
      <c r="I408" s="24"/>
      <c r="J408" s="14" t="str">
        <f aca="false">IF(C408="","",-E408*H408*IF(OR(B408="Sell call",B408="Buy to close",B408="Expired",B408="Assigned"),100,1)-I408)</f>
        <v/>
      </c>
      <c r="K408" s="21"/>
      <c r="L408" s="21"/>
      <c r="M408" s="21"/>
      <c r="N408" s="8" t="str">
        <f aca="false">IF(A408="","",IF(COUNTIFS(Reconcile!$I:$I,A408,Reconcile!$H:$H,"&gt;="&amp;(J408-0.01),Reconcile!$H:$H,"&lt;="&amp;(J408+0.01))&gt;0,"Yes","Not yet"))</f>
        <v/>
      </c>
      <c r="O408" s="21"/>
    </row>
    <row r="409" customFormat="false" ht="15" hidden="false" customHeight="false" outlineLevel="0" collapsed="false">
      <c r="A409" s="20"/>
      <c r="B409" s="21"/>
      <c r="C409" s="21"/>
      <c r="D409" s="21"/>
      <c r="E409" s="21"/>
      <c r="F409" s="22"/>
      <c r="G409" s="20"/>
      <c r="H409" s="23"/>
      <c r="I409" s="24"/>
      <c r="J409" s="14" t="str">
        <f aca="false">IF(C409="","",-E409*H409*IF(OR(B409="Sell call",B409="Buy to close",B409="Expired",B409="Assigned"),100,1)-I409)</f>
        <v/>
      </c>
      <c r="K409" s="21"/>
      <c r="L409" s="21"/>
      <c r="M409" s="21"/>
      <c r="N409" s="8" t="str">
        <f aca="false">IF(A409="","",IF(COUNTIFS(Reconcile!$I:$I,A409,Reconcile!$H:$H,"&gt;="&amp;(J409-0.01),Reconcile!$H:$H,"&lt;="&amp;(J409+0.01))&gt;0,"Yes","Not yet"))</f>
        <v/>
      </c>
      <c r="O409" s="21"/>
    </row>
    <row r="410" customFormat="false" ht="15" hidden="false" customHeight="false" outlineLevel="0" collapsed="false">
      <c r="A410" s="20"/>
      <c r="B410" s="21"/>
      <c r="C410" s="21"/>
      <c r="D410" s="21"/>
      <c r="E410" s="21"/>
      <c r="F410" s="22"/>
      <c r="G410" s="20"/>
      <c r="H410" s="23"/>
      <c r="I410" s="24"/>
      <c r="J410" s="14" t="str">
        <f aca="false">IF(C410="","",-E410*H410*IF(OR(B410="Sell call",B410="Buy to close",B410="Expired",B410="Assigned"),100,1)-I410)</f>
        <v/>
      </c>
      <c r="K410" s="21"/>
      <c r="L410" s="21"/>
      <c r="M410" s="21"/>
      <c r="N410" s="8" t="str">
        <f aca="false">IF(A410="","",IF(COUNTIFS(Reconcile!$I:$I,A410,Reconcile!$H:$H,"&gt;="&amp;(J410-0.01),Reconcile!$H:$H,"&lt;="&amp;(J410+0.01))&gt;0,"Yes","Not yet"))</f>
        <v/>
      </c>
      <c r="O410" s="21"/>
    </row>
    <row r="411" customFormat="false" ht="15" hidden="false" customHeight="false" outlineLevel="0" collapsed="false">
      <c r="A411" s="20"/>
      <c r="B411" s="21"/>
      <c r="C411" s="21"/>
      <c r="D411" s="21"/>
      <c r="E411" s="21"/>
      <c r="F411" s="22"/>
      <c r="G411" s="20"/>
      <c r="H411" s="23"/>
      <c r="I411" s="24"/>
      <c r="J411" s="14" t="str">
        <f aca="false">IF(C411="","",-E411*H411*IF(OR(B411="Sell call",B411="Buy to close",B411="Expired",B411="Assigned"),100,1)-I411)</f>
        <v/>
      </c>
      <c r="K411" s="21"/>
      <c r="L411" s="21"/>
      <c r="M411" s="21"/>
      <c r="N411" s="8" t="str">
        <f aca="false">IF(A411="","",IF(COUNTIFS(Reconcile!$I:$I,A411,Reconcile!$H:$H,"&gt;="&amp;(J411-0.01),Reconcile!$H:$H,"&lt;="&amp;(J411+0.01))&gt;0,"Yes","Not yet"))</f>
        <v/>
      </c>
      <c r="O411" s="21"/>
    </row>
    <row r="412" customFormat="false" ht="15" hidden="false" customHeight="false" outlineLevel="0" collapsed="false">
      <c r="A412" s="20"/>
      <c r="B412" s="21"/>
      <c r="C412" s="21"/>
      <c r="D412" s="21"/>
      <c r="E412" s="21"/>
      <c r="F412" s="22"/>
      <c r="G412" s="20"/>
      <c r="H412" s="23"/>
      <c r="I412" s="24"/>
      <c r="J412" s="14" t="str">
        <f aca="false">IF(C412="","",-E412*H412*IF(OR(B412="Sell call",B412="Buy to close",B412="Expired",B412="Assigned"),100,1)-I412)</f>
        <v/>
      </c>
      <c r="K412" s="21"/>
      <c r="L412" s="21"/>
      <c r="M412" s="21"/>
      <c r="N412" s="8" t="str">
        <f aca="false">IF(A412="","",IF(COUNTIFS(Reconcile!$I:$I,A412,Reconcile!$H:$H,"&gt;="&amp;(J412-0.01),Reconcile!$H:$H,"&lt;="&amp;(J412+0.01))&gt;0,"Yes","Not yet"))</f>
        <v/>
      </c>
      <c r="O412" s="21"/>
    </row>
    <row r="413" customFormat="false" ht="15" hidden="false" customHeight="false" outlineLevel="0" collapsed="false">
      <c r="A413" s="20"/>
      <c r="B413" s="21"/>
      <c r="C413" s="21"/>
      <c r="D413" s="21"/>
      <c r="E413" s="21"/>
      <c r="F413" s="22"/>
      <c r="G413" s="20"/>
      <c r="H413" s="23"/>
      <c r="I413" s="24"/>
      <c r="J413" s="14" t="str">
        <f aca="false">IF(C413="","",-E413*H413*IF(OR(B413="Sell call",B413="Buy to close",B413="Expired",B413="Assigned"),100,1)-I413)</f>
        <v/>
      </c>
      <c r="K413" s="21"/>
      <c r="L413" s="21"/>
      <c r="M413" s="21"/>
      <c r="N413" s="8" t="str">
        <f aca="false">IF(A413="","",IF(COUNTIFS(Reconcile!$I:$I,A413,Reconcile!$H:$H,"&gt;="&amp;(J413-0.01),Reconcile!$H:$H,"&lt;="&amp;(J413+0.01))&gt;0,"Yes","Not yet"))</f>
        <v/>
      </c>
      <c r="O413" s="21"/>
    </row>
    <row r="414" customFormat="false" ht="15" hidden="false" customHeight="false" outlineLevel="0" collapsed="false">
      <c r="A414" s="20"/>
      <c r="B414" s="21"/>
      <c r="C414" s="21"/>
      <c r="D414" s="21"/>
      <c r="E414" s="21"/>
      <c r="F414" s="22"/>
      <c r="G414" s="20"/>
      <c r="H414" s="23"/>
      <c r="I414" s="24"/>
      <c r="J414" s="14" t="str">
        <f aca="false">IF(C414="","",-E414*H414*IF(OR(B414="Sell call",B414="Buy to close",B414="Expired",B414="Assigned"),100,1)-I414)</f>
        <v/>
      </c>
      <c r="K414" s="21"/>
      <c r="L414" s="21"/>
      <c r="M414" s="21"/>
      <c r="N414" s="8" t="str">
        <f aca="false">IF(A414="","",IF(COUNTIFS(Reconcile!$I:$I,A414,Reconcile!$H:$H,"&gt;="&amp;(J414-0.01),Reconcile!$H:$H,"&lt;="&amp;(J414+0.01))&gt;0,"Yes","Not yet"))</f>
        <v/>
      </c>
      <c r="O414" s="21"/>
    </row>
    <row r="415" customFormat="false" ht="15" hidden="false" customHeight="false" outlineLevel="0" collapsed="false">
      <c r="A415" s="20"/>
      <c r="B415" s="21"/>
      <c r="C415" s="21"/>
      <c r="D415" s="21"/>
      <c r="E415" s="21"/>
      <c r="F415" s="22"/>
      <c r="G415" s="20"/>
      <c r="H415" s="23"/>
      <c r="I415" s="24"/>
      <c r="J415" s="14" t="str">
        <f aca="false">IF(C415="","",-E415*H415*IF(OR(B415="Sell call",B415="Buy to close",B415="Expired",B415="Assigned"),100,1)-I415)</f>
        <v/>
      </c>
      <c r="K415" s="21"/>
      <c r="L415" s="21"/>
      <c r="M415" s="21"/>
      <c r="N415" s="8" t="str">
        <f aca="false">IF(A415="","",IF(COUNTIFS(Reconcile!$I:$I,A415,Reconcile!$H:$H,"&gt;="&amp;(J415-0.01),Reconcile!$H:$H,"&lt;="&amp;(J415+0.01))&gt;0,"Yes","Not yet"))</f>
        <v/>
      </c>
      <c r="O415" s="21"/>
    </row>
    <row r="416" customFormat="false" ht="15" hidden="false" customHeight="false" outlineLevel="0" collapsed="false">
      <c r="A416" s="20"/>
      <c r="B416" s="21"/>
      <c r="C416" s="21"/>
      <c r="D416" s="21"/>
      <c r="E416" s="21"/>
      <c r="F416" s="22"/>
      <c r="G416" s="20"/>
      <c r="H416" s="23"/>
      <c r="I416" s="24"/>
      <c r="J416" s="14" t="str">
        <f aca="false">IF(C416="","",-E416*H416*IF(OR(B416="Sell call",B416="Buy to close",B416="Expired",B416="Assigned"),100,1)-I416)</f>
        <v/>
      </c>
      <c r="K416" s="21"/>
      <c r="L416" s="21"/>
      <c r="M416" s="21"/>
      <c r="N416" s="8" t="str">
        <f aca="false">IF(A416="","",IF(COUNTIFS(Reconcile!$I:$I,A416,Reconcile!$H:$H,"&gt;="&amp;(J416-0.01),Reconcile!$H:$H,"&lt;="&amp;(J416+0.01))&gt;0,"Yes","Not yet"))</f>
        <v/>
      </c>
      <c r="O416" s="21"/>
    </row>
    <row r="417" customFormat="false" ht="15" hidden="false" customHeight="false" outlineLevel="0" collapsed="false">
      <c r="A417" s="20"/>
      <c r="B417" s="21"/>
      <c r="C417" s="21"/>
      <c r="D417" s="21"/>
      <c r="E417" s="21"/>
      <c r="F417" s="22"/>
      <c r="G417" s="20"/>
      <c r="H417" s="23"/>
      <c r="I417" s="24"/>
      <c r="J417" s="14" t="str">
        <f aca="false">IF(C417="","",-E417*H417*IF(OR(B417="Sell call",B417="Buy to close",B417="Expired",B417="Assigned"),100,1)-I417)</f>
        <v/>
      </c>
      <c r="K417" s="21"/>
      <c r="L417" s="21"/>
      <c r="M417" s="21"/>
      <c r="N417" s="8" t="str">
        <f aca="false">IF(A417="","",IF(COUNTIFS(Reconcile!$I:$I,A417,Reconcile!$H:$H,"&gt;="&amp;(J417-0.01),Reconcile!$H:$H,"&lt;="&amp;(J417+0.01))&gt;0,"Yes","Not yet"))</f>
        <v/>
      </c>
      <c r="O417" s="21"/>
    </row>
    <row r="418" customFormat="false" ht="15" hidden="false" customHeight="false" outlineLevel="0" collapsed="false">
      <c r="A418" s="20"/>
      <c r="B418" s="21"/>
      <c r="C418" s="21"/>
      <c r="D418" s="21"/>
      <c r="E418" s="21"/>
      <c r="F418" s="22"/>
      <c r="G418" s="20"/>
      <c r="H418" s="23"/>
      <c r="I418" s="24"/>
      <c r="J418" s="14" t="str">
        <f aca="false">IF(C418="","",-E418*H418*IF(OR(B418="Sell call",B418="Buy to close",B418="Expired",B418="Assigned"),100,1)-I418)</f>
        <v/>
      </c>
      <c r="K418" s="21"/>
      <c r="L418" s="21"/>
      <c r="M418" s="21"/>
      <c r="N418" s="8" t="str">
        <f aca="false">IF(A418="","",IF(COUNTIFS(Reconcile!$I:$I,A418,Reconcile!$H:$H,"&gt;="&amp;(J418-0.01),Reconcile!$H:$H,"&lt;="&amp;(J418+0.01))&gt;0,"Yes","Not yet"))</f>
        <v/>
      </c>
      <c r="O418" s="21"/>
    </row>
    <row r="419" customFormat="false" ht="15" hidden="false" customHeight="false" outlineLevel="0" collapsed="false">
      <c r="A419" s="20"/>
      <c r="B419" s="21"/>
      <c r="C419" s="21"/>
      <c r="D419" s="21"/>
      <c r="E419" s="21"/>
      <c r="F419" s="22"/>
      <c r="G419" s="20"/>
      <c r="H419" s="23"/>
      <c r="I419" s="24"/>
      <c r="J419" s="14" t="str">
        <f aca="false">IF(C419="","",-E419*H419*IF(OR(B419="Sell call",B419="Buy to close",B419="Expired",B419="Assigned"),100,1)-I419)</f>
        <v/>
      </c>
      <c r="K419" s="21"/>
      <c r="L419" s="21"/>
      <c r="M419" s="21"/>
      <c r="N419" s="8" t="str">
        <f aca="false">IF(A419="","",IF(COUNTIFS(Reconcile!$I:$I,A419,Reconcile!$H:$H,"&gt;="&amp;(J419-0.01),Reconcile!$H:$H,"&lt;="&amp;(J419+0.01))&gt;0,"Yes","Not yet"))</f>
        <v/>
      </c>
      <c r="O419" s="21"/>
    </row>
    <row r="420" customFormat="false" ht="15" hidden="false" customHeight="false" outlineLevel="0" collapsed="false">
      <c r="A420" s="20"/>
      <c r="B420" s="21"/>
      <c r="C420" s="21"/>
      <c r="D420" s="21"/>
      <c r="E420" s="21"/>
      <c r="F420" s="22"/>
      <c r="G420" s="20"/>
      <c r="H420" s="23"/>
      <c r="I420" s="24"/>
      <c r="J420" s="14" t="str">
        <f aca="false">IF(C420="","",-E420*H420*IF(OR(B420="Sell call",B420="Buy to close",B420="Expired",B420="Assigned"),100,1)-I420)</f>
        <v/>
      </c>
      <c r="K420" s="21"/>
      <c r="L420" s="21"/>
      <c r="M420" s="21"/>
      <c r="N420" s="8" t="str">
        <f aca="false">IF(A420="","",IF(COUNTIFS(Reconcile!$I:$I,A420,Reconcile!$H:$H,"&gt;="&amp;(J420-0.01),Reconcile!$H:$H,"&lt;="&amp;(J420+0.01))&gt;0,"Yes","Not yet"))</f>
        <v/>
      </c>
      <c r="O420" s="21"/>
    </row>
    <row r="421" customFormat="false" ht="15" hidden="false" customHeight="false" outlineLevel="0" collapsed="false">
      <c r="A421" s="20"/>
      <c r="B421" s="21"/>
      <c r="C421" s="21"/>
      <c r="D421" s="21"/>
      <c r="E421" s="21"/>
      <c r="F421" s="22"/>
      <c r="G421" s="20"/>
      <c r="H421" s="23"/>
      <c r="I421" s="24"/>
      <c r="J421" s="14" t="str">
        <f aca="false">IF(C421="","",-E421*H421*IF(OR(B421="Sell call",B421="Buy to close",B421="Expired",B421="Assigned"),100,1)-I421)</f>
        <v/>
      </c>
      <c r="K421" s="21"/>
      <c r="L421" s="21"/>
      <c r="M421" s="21"/>
      <c r="N421" s="8" t="str">
        <f aca="false">IF(A421="","",IF(COUNTIFS(Reconcile!$I:$I,A421,Reconcile!$H:$H,"&gt;="&amp;(J421-0.01),Reconcile!$H:$H,"&lt;="&amp;(J421+0.01))&gt;0,"Yes","Not yet"))</f>
        <v/>
      </c>
      <c r="O421" s="21"/>
    </row>
    <row r="422" customFormat="false" ht="15" hidden="false" customHeight="false" outlineLevel="0" collapsed="false">
      <c r="A422" s="20"/>
      <c r="B422" s="21"/>
      <c r="C422" s="21"/>
      <c r="D422" s="21"/>
      <c r="E422" s="21"/>
      <c r="F422" s="22"/>
      <c r="G422" s="20"/>
      <c r="H422" s="23"/>
      <c r="I422" s="24"/>
      <c r="J422" s="14" t="str">
        <f aca="false">IF(C422="","",-E422*H422*IF(OR(B422="Sell call",B422="Buy to close",B422="Expired",B422="Assigned"),100,1)-I422)</f>
        <v/>
      </c>
      <c r="K422" s="21"/>
      <c r="L422" s="21"/>
      <c r="M422" s="21"/>
      <c r="N422" s="8" t="str">
        <f aca="false">IF(A422="","",IF(COUNTIFS(Reconcile!$I:$I,A422,Reconcile!$H:$H,"&gt;="&amp;(J422-0.01),Reconcile!$H:$H,"&lt;="&amp;(J422+0.01))&gt;0,"Yes","Not yet"))</f>
        <v/>
      </c>
      <c r="O422" s="21"/>
    </row>
    <row r="423" customFormat="false" ht="15" hidden="false" customHeight="false" outlineLevel="0" collapsed="false">
      <c r="A423" s="20"/>
      <c r="B423" s="21"/>
      <c r="C423" s="21"/>
      <c r="D423" s="21"/>
      <c r="E423" s="21"/>
      <c r="F423" s="22"/>
      <c r="G423" s="20"/>
      <c r="H423" s="23"/>
      <c r="I423" s="24"/>
      <c r="J423" s="14" t="str">
        <f aca="false">IF(C423="","",-E423*H423*IF(OR(B423="Sell call",B423="Buy to close",B423="Expired",B423="Assigned"),100,1)-I423)</f>
        <v/>
      </c>
      <c r="K423" s="21"/>
      <c r="L423" s="21"/>
      <c r="M423" s="21"/>
      <c r="N423" s="8" t="str">
        <f aca="false">IF(A423="","",IF(COUNTIFS(Reconcile!$I:$I,A423,Reconcile!$H:$H,"&gt;="&amp;(J423-0.01),Reconcile!$H:$H,"&lt;="&amp;(J423+0.01))&gt;0,"Yes","Not yet"))</f>
        <v/>
      </c>
      <c r="O423" s="21"/>
    </row>
    <row r="424" customFormat="false" ht="15" hidden="false" customHeight="false" outlineLevel="0" collapsed="false">
      <c r="A424" s="20"/>
      <c r="B424" s="21"/>
      <c r="C424" s="21"/>
      <c r="D424" s="21"/>
      <c r="E424" s="21"/>
      <c r="F424" s="22"/>
      <c r="G424" s="20"/>
      <c r="H424" s="23"/>
      <c r="I424" s="24"/>
      <c r="J424" s="14" t="str">
        <f aca="false">IF(C424="","",-E424*H424*IF(OR(B424="Sell call",B424="Buy to close",B424="Expired",B424="Assigned"),100,1)-I424)</f>
        <v/>
      </c>
      <c r="K424" s="21"/>
      <c r="L424" s="21"/>
      <c r="M424" s="21"/>
      <c r="N424" s="8" t="str">
        <f aca="false">IF(A424="","",IF(COUNTIFS(Reconcile!$I:$I,A424,Reconcile!$H:$H,"&gt;="&amp;(J424-0.01),Reconcile!$H:$H,"&lt;="&amp;(J424+0.01))&gt;0,"Yes","Not yet"))</f>
        <v/>
      </c>
      <c r="O424" s="21"/>
    </row>
    <row r="425" customFormat="false" ht="15" hidden="false" customHeight="false" outlineLevel="0" collapsed="false">
      <c r="A425" s="20"/>
      <c r="B425" s="21"/>
      <c r="C425" s="21"/>
      <c r="D425" s="21"/>
      <c r="E425" s="21"/>
      <c r="F425" s="22"/>
      <c r="G425" s="20"/>
      <c r="H425" s="23"/>
      <c r="I425" s="24"/>
      <c r="J425" s="14" t="str">
        <f aca="false">IF(C425="","",-E425*H425*IF(OR(B425="Sell call",B425="Buy to close",B425="Expired",B425="Assigned"),100,1)-I425)</f>
        <v/>
      </c>
      <c r="K425" s="21"/>
      <c r="L425" s="21"/>
      <c r="M425" s="21"/>
      <c r="N425" s="8" t="str">
        <f aca="false">IF(A425="","",IF(COUNTIFS(Reconcile!$I:$I,A425,Reconcile!$H:$H,"&gt;="&amp;(J425-0.01),Reconcile!$H:$H,"&lt;="&amp;(J425+0.01))&gt;0,"Yes","Not yet"))</f>
        <v/>
      </c>
      <c r="O425" s="21"/>
    </row>
    <row r="426" customFormat="false" ht="15" hidden="false" customHeight="false" outlineLevel="0" collapsed="false">
      <c r="A426" s="20"/>
      <c r="B426" s="21"/>
      <c r="C426" s="21"/>
      <c r="D426" s="21"/>
      <c r="E426" s="21"/>
      <c r="F426" s="22"/>
      <c r="G426" s="20"/>
      <c r="H426" s="23"/>
      <c r="I426" s="24"/>
      <c r="J426" s="14" t="str">
        <f aca="false">IF(C426="","",-E426*H426*IF(OR(B426="Sell call",B426="Buy to close",B426="Expired",B426="Assigned"),100,1)-I426)</f>
        <v/>
      </c>
      <c r="K426" s="21"/>
      <c r="L426" s="21"/>
      <c r="M426" s="21"/>
      <c r="N426" s="8" t="str">
        <f aca="false">IF(A426="","",IF(COUNTIFS(Reconcile!$I:$I,A426,Reconcile!$H:$H,"&gt;="&amp;(J426-0.01),Reconcile!$H:$H,"&lt;="&amp;(J426+0.01))&gt;0,"Yes","Not yet"))</f>
        <v/>
      </c>
      <c r="O426" s="21"/>
    </row>
    <row r="427" customFormat="false" ht="15" hidden="false" customHeight="false" outlineLevel="0" collapsed="false">
      <c r="A427" s="20"/>
      <c r="B427" s="21"/>
      <c r="C427" s="21"/>
      <c r="D427" s="21"/>
      <c r="E427" s="21"/>
      <c r="F427" s="22"/>
      <c r="G427" s="20"/>
      <c r="H427" s="23"/>
      <c r="I427" s="24"/>
      <c r="J427" s="14" t="str">
        <f aca="false">IF(C427="","",-E427*H427*IF(OR(B427="Sell call",B427="Buy to close",B427="Expired",B427="Assigned"),100,1)-I427)</f>
        <v/>
      </c>
      <c r="K427" s="21"/>
      <c r="L427" s="21"/>
      <c r="M427" s="21"/>
      <c r="N427" s="8" t="str">
        <f aca="false">IF(A427="","",IF(COUNTIFS(Reconcile!$I:$I,A427,Reconcile!$H:$H,"&gt;="&amp;(J427-0.01),Reconcile!$H:$H,"&lt;="&amp;(J427+0.01))&gt;0,"Yes","Not yet"))</f>
        <v/>
      </c>
      <c r="O427" s="21"/>
    </row>
    <row r="428" customFormat="false" ht="15" hidden="false" customHeight="false" outlineLevel="0" collapsed="false">
      <c r="A428" s="20"/>
      <c r="B428" s="21"/>
      <c r="C428" s="21"/>
      <c r="D428" s="21"/>
      <c r="E428" s="21"/>
      <c r="F428" s="22"/>
      <c r="G428" s="20"/>
      <c r="H428" s="23"/>
      <c r="I428" s="24"/>
      <c r="J428" s="14" t="str">
        <f aca="false">IF(C428="","",-E428*H428*IF(OR(B428="Sell call",B428="Buy to close",B428="Expired",B428="Assigned"),100,1)-I428)</f>
        <v/>
      </c>
      <c r="K428" s="21"/>
      <c r="L428" s="21"/>
      <c r="M428" s="21"/>
      <c r="N428" s="8" t="str">
        <f aca="false">IF(A428="","",IF(COUNTIFS(Reconcile!$I:$I,A428,Reconcile!$H:$H,"&gt;="&amp;(J428-0.01),Reconcile!$H:$H,"&lt;="&amp;(J428+0.01))&gt;0,"Yes","Not yet"))</f>
        <v/>
      </c>
      <c r="O428" s="21"/>
    </row>
    <row r="429" customFormat="false" ht="15" hidden="false" customHeight="false" outlineLevel="0" collapsed="false">
      <c r="A429" s="20"/>
      <c r="B429" s="21"/>
      <c r="C429" s="21"/>
      <c r="D429" s="21"/>
      <c r="E429" s="21"/>
      <c r="F429" s="22"/>
      <c r="G429" s="20"/>
      <c r="H429" s="23"/>
      <c r="I429" s="24"/>
      <c r="J429" s="14" t="str">
        <f aca="false">IF(C429="","",-E429*H429*IF(OR(B429="Sell call",B429="Buy to close",B429="Expired",B429="Assigned"),100,1)-I429)</f>
        <v/>
      </c>
      <c r="K429" s="21"/>
      <c r="L429" s="21"/>
      <c r="M429" s="21"/>
      <c r="N429" s="8" t="str">
        <f aca="false">IF(A429="","",IF(COUNTIFS(Reconcile!$I:$I,A429,Reconcile!$H:$H,"&gt;="&amp;(J429-0.01),Reconcile!$H:$H,"&lt;="&amp;(J429+0.01))&gt;0,"Yes","Not yet"))</f>
        <v/>
      </c>
      <c r="O429" s="21"/>
    </row>
    <row r="430" customFormat="false" ht="15" hidden="false" customHeight="false" outlineLevel="0" collapsed="false">
      <c r="A430" s="20"/>
      <c r="B430" s="21"/>
      <c r="C430" s="21"/>
      <c r="D430" s="21"/>
      <c r="E430" s="21"/>
      <c r="F430" s="22"/>
      <c r="G430" s="20"/>
      <c r="H430" s="23"/>
      <c r="I430" s="24"/>
      <c r="J430" s="14" t="str">
        <f aca="false">IF(C430="","",-E430*H430*IF(OR(B430="Sell call",B430="Buy to close",B430="Expired",B430="Assigned"),100,1)-I430)</f>
        <v/>
      </c>
      <c r="K430" s="21"/>
      <c r="L430" s="21"/>
      <c r="M430" s="21"/>
      <c r="N430" s="8" t="str">
        <f aca="false">IF(A430="","",IF(COUNTIFS(Reconcile!$I:$I,A430,Reconcile!$H:$H,"&gt;="&amp;(J430-0.01),Reconcile!$H:$H,"&lt;="&amp;(J430+0.01))&gt;0,"Yes","Not yet"))</f>
        <v/>
      </c>
      <c r="O430" s="21"/>
    </row>
    <row r="431" customFormat="false" ht="15" hidden="false" customHeight="false" outlineLevel="0" collapsed="false">
      <c r="A431" s="20"/>
      <c r="B431" s="21"/>
      <c r="C431" s="21"/>
      <c r="D431" s="21"/>
      <c r="E431" s="21"/>
      <c r="F431" s="22"/>
      <c r="G431" s="20"/>
      <c r="H431" s="23"/>
      <c r="I431" s="24"/>
      <c r="J431" s="14" t="str">
        <f aca="false">IF(C431="","",-E431*H431*IF(OR(B431="Sell call",B431="Buy to close",B431="Expired",B431="Assigned"),100,1)-I431)</f>
        <v/>
      </c>
      <c r="K431" s="21"/>
      <c r="L431" s="21"/>
      <c r="M431" s="21"/>
      <c r="N431" s="8" t="str">
        <f aca="false">IF(A431="","",IF(COUNTIFS(Reconcile!$I:$I,A431,Reconcile!$H:$H,"&gt;="&amp;(J431-0.01),Reconcile!$H:$H,"&lt;="&amp;(J431+0.01))&gt;0,"Yes","Not yet"))</f>
        <v/>
      </c>
      <c r="O431" s="21"/>
    </row>
    <row r="432" customFormat="false" ht="15" hidden="false" customHeight="false" outlineLevel="0" collapsed="false">
      <c r="A432" s="20"/>
      <c r="B432" s="21"/>
      <c r="C432" s="21"/>
      <c r="D432" s="21"/>
      <c r="E432" s="21"/>
      <c r="F432" s="22"/>
      <c r="G432" s="20"/>
      <c r="H432" s="23"/>
      <c r="I432" s="24"/>
      <c r="J432" s="14" t="str">
        <f aca="false">IF(C432="","",-E432*H432*IF(OR(B432="Sell call",B432="Buy to close",B432="Expired",B432="Assigned"),100,1)-I432)</f>
        <v/>
      </c>
      <c r="K432" s="21"/>
      <c r="L432" s="21"/>
      <c r="M432" s="21"/>
      <c r="N432" s="8" t="str">
        <f aca="false">IF(A432="","",IF(COUNTIFS(Reconcile!$I:$I,A432,Reconcile!$H:$H,"&gt;="&amp;(J432-0.01),Reconcile!$H:$H,"&lt;="&amp;(J432+0.01))&gt;0,"Yes","Not yet"))</f>
        <v/>
      </c>
      <c r="O432" s="21"/>
    </row>
    <row r="433" customFormat="false" ht="15" hidden="false" customHeight="false" outlineLevel="0" collapsed="false">
      <c r="A433" s="20"/>
      <c r="B433" s="21"/>
      <c r="C433" s="21"/>
      <c r="D433" s="21"/>
      <c r="E433" s="21"/>
      <c r="F433" s="22"/>
      <c r="G433" s="20"/>
      <c r="H433" s="23"/>
      <c r="I433" s="24"/>
      <c r="J433" s="14" t="str">
        <f aca="false">IF(C433="","",-E433*H433*IF(OR(B433="Sell call",B433="Buy to close",B433="Expired",B433="Assigned"),100,1)-I433)</f>
        <v/>
      </c>
      <c r="K433" s="21"/>
      <c r="L433" s="21"/>
      <c r="M433" s="21"/>
      <c r="N433" s="8" t="str">
        <f aca="false">IF(A433="","",IF(COUNTIFS(Reconcile!$I:$I,A433,Reconcile!$H:$H,"&gt;="&amp;(J433-0.01),Reconcile!$H:$H,"&lt;="&amp;(J433+0.01))&gt;0,"Yes","Not yet"))</f>
        <v/>
      </c>
      <c r="O433" s="21"/>
    </row>
    <row r="434" customFormat="false" ht="15" hidden="false" customHeight="false" outlineLevel="0" collapsed="false">
      <c r="A434" s="20"/>
      <c r="B434" s="21"/>
      <c r="C434" s="21"/>
      <c r="D434" s="21"/>
      <c r="E434" s="21"/>
      <c r="F434" s="22"/>
      <c r="G434" s="20"/>
      <c r="H434" s="23"/>
      <c r="I434" s="24"/>
      <c r="J434" s="14" t="str">
        <f aca="false">IF(C434="","",-E434*H434*IF(OR(B434="Sell call",B434="Buy to close",B434="Expired",B434="Assigned"),100,1)-I434)</f>
        <v/>
      </c>
      <c r="K434" s="21"/>
      <c r="L434" s="21"/>
      <c r="M434" s="21"/>
      <c r="N434" s="8" t="str">
        <f aca="false">IF(A434="","",IF(COUNTIFS(Reconcile!$I:$I,A434,Reconcile!$H:$H,"&gt;="&amp;(J434-0.01),Reconcile!$H:$H,"&lt;="&amp;(J434+0.01))&gt;0,"Yes","Not yet"))</f>
        <v/>
      </c>
      <c r="O434" s="21"/>
    </row>
    <row r="435" customFormat="false" ht="15" hidden="false" customHeight="false" outlineLevel="0" collapsed="false">
      <c r="A435" s="20"/>
      <c r="B435" s="21"/>
      <c r="C435" s="21"/>
      <c r="D435" s="21"/>
      <c r="E435" s="21"/>
      <c r="F435" s="22"/>
      <c r="G435" s="20"/>
      <c r="H435" s="23"/>
      <c r="I435" s="24"/>
      <c r="J435" s="14" t="str">
        <f aca="false">IF(C435="","",-E435*H435*IF(OR(B435="Sell call",B435="Buy to close",B435="Expired",B435="Assigned"),100,1)-I435)</f>
        <v/>
      </c>
      <c r="K435" s="21"/>
      <c r="L435" s="21"/>
      <c r="M435" s="21"/>
      <c r="N435" s="8" t="str">
        <f aca="false">IF(A435="","",IF(COUNTIFS(Reconcile!$I:$I,A435,Reconcile!$H:$H,"&gt;="&amp;(J435-0.01),Reconcile!$H:$H,"&lt;="&amp;(J435+0.01))&gt;0,"Yes","Not yet"))</f>
        <v/>
      </c>
      <c r="O435" s="21"/>
    </row>
    <row r="436" customFormat="false" ht="15" hidden="false" customHeight="false" outlineLevel="0" collapsed="false">
      <c r="A436" s="20"/>
      <c r="B436" s="21"/>
      <c r="C436" s="21"/>
      <c r="D436" s="21"/>
      <c r="E436" s="21"/>
      <c r="F436" s="22"/>
      <c r="G436" s="20"/>
      <c r="H436" s="23"/>
      <c r="I436" s="24"/>
      <c r="J436" s="14" t="str">
        <f aca="false">IF(C436="","",-E436*H436*IF(OR(B436="Sell call",B436="Buy to close",B436="Expired",B436="Assigned"),100,1)-I436)</f>
        <v/>
      </c>
      <c r="K436" s="21"/>
      <c r="L436" s="21"/>
      <c r="M436" s="21"/>
      <c r="N436" s="8" t="str">
        <f aca="false">IF(A436="","",IF(COUNTIFS(Reconcile!$I:$I,A436,Reconcile!$H:$H,"&gt;="&amp;(J436-0.01),Reconcile!$H:$H,"&lt;="&amp;(J436+0.01))&gt;0,"Yes","Not yet"))</f>
        <v/>
      </c>
      <c r="O436" s="21"/>
    </row>
    <row r="437" customFormat="false" ht="15" hidden="false" customHeight="false" outlineLevel="0" collapsed="false">
      <c r="A437" s="20"/>
      <c r="B437" s="21"/>
      <c r="C437" s="21"/>
      <c r="D437" s="21"/>
      <c r="E437" s="21"/>
      <c r="F437" s="22"/>
      <c r="G437" s="20"/>
      <c r="H437" s="23"/>
      <c r="I437" s="24"/>
      <c r="J437" s="14" t="str">
        <f aca="false">IF(C437="","",-E437*H437*IF(OR(B437="Sell call",B437="Buy to close",B437="Expired",B437="Assigned"),100,1)-I437)</f>
        <v/>
      </c>
      <c r="K437" s="21"/>
      <c r="L437" s="21"/>
      <c r="M437" s="21"/>
      <c r="N437" s="8" t="str">
        <f aca="false">IF(A437="","",IF(COUNTIFS(Reconcile!$I:$I,A437,Reconcile!$H:$H,"&gt;="&amp;(J437-0.01),Reconcile!$H:$H,"&lt;="&amp;(J437+0.01))&gt;0,"Yes","Not yet"))</f>
        <v/>
      </c>
      <c r="O437" s="21"/>
    </row>
    <row r="438" customFormat="false" ht="15" hidden="false" customHeight="false" outlineLevel="0" collapsed="false">
      <c r="A438" s="20"/>
      <c r="B438" s="21"/>
      <c r="C438" s="21"/>
      <c r="D438" s="21"/>
      <c r="E438" s="21"/>
      <c r="F438" s="22"/>
      <c r="G438" s="20"/>
      <c r="H438" s="23"/>
      <c r="I438" s="24"/>
      <c r="J438" s="14" t="str">
        <f aca="false">IF(C438="","",-E438*H438*IF(OR(B438="Sell call",B438="Buy to close",B438="Expired",B438="Assigned"),100,1)-I438)</f>
        <v/>
      </c>
      <c r="K438" s="21"/>
      <c r="L438" s="21"/>
      <c r="M438" s="21"/>
      <c r="N438" s="8" t="str">
        <f aca="false">IF(A438="","",IF(COUNTIFS(Reconcile!$I:$I,A438,Reconcile!$H:$H,"&gt;="&amp;(J438-0.01),Reconcile!$H:$H,"&lt;="&amp;(J438+0.01))&gt;0,"Yes","Not yet"))</f>
        <v/>
      </c>
      <c r="O438" s="21"/>
    </row>
    <row r="439" customFormat="false" ht="15" hidden="false" customHeight="false" outlineLevel="0" collapsed="false">
      <c r="A439" s="20"/>
      <c r="B439" s="21"/>
      <c r="C439" s="21"/>
      <c r="D439" s="21"/>
      <c r="E439" s="21"/>
      <c r="F439" s="22"/>
      <c r="G439" s="20"/>
      <c r="H439" s="23"/>
      <c r="I439" s="24"/>
      <c r="J439" s="14" t="str">
        <f aca="false">IF(C439="","",-E439*H439*IF(OR(B439="Sell call",B439="Buy to close",B439="Expired",B439="Assigned"),100,1)-I439)</f>
        <v/>
      </c>
      <c r="K439" s="21"/>
      <c r="L439" s="21"/>
      <c r="M439" s="21"/>
      <c r="N439" s="8" t="str">
        <f aca="false">IF(A439="","",IF(COUNTIFS(Reconcile!$I:$I,A439,Reconcile!$H:$H,"&gt;="&amp;(J439-0.01),Reconcile!$H:$H,"&lt;="&amp;(J439+0.01))&gt;0,"Yes","Not yet"))</f>
        <v/>
      </c>
      <c r="O439" s="21"/>
    </row>
    <row r="440" customFormat="false" ht="15" hidden="false" customHeight="false" outlineLevel="0" collapsed="false">
      <c r="A440" s="20"/>
      <c r="B440" s="21"/>
      <c r="C440" s="21"/>
      <c r="D440" s="21"/>
      <c r="E440" s="21"/>
      <c r="F440" s="22"/>
      <c r="G440" s="20"/>
      <c r="H440" s="23"/>
      <c r="I440" s="24"/>
      <c r="J440" s="14" t="str">
        <f aca="false">IF(C440="","",-E440*H440*IF(OR(B440="Sell call",B440="Buy to close",B440="Expired",B440="Assigned"),100,1)-I440)</f>
        <v/>
      </c>
      <c r="K440" s="21"/>
      <c r="L440" s="21"/>
      <c r="M440" s="21"/>
      <c r="N440" s="8" t="str">
        <f aca="false">IF(A440="","",IF(COUNTIFS(Reconcile!$I:$I,A440,Reconcile!$H:$H,"&gt;="&amp;(J440-0.01),Reconcile!$H:$H,"&lt;="&amp;(J440+0.01))&gt;0,"Yes","Not yet"))</f>
        <v/>
      </c>
      <c r="O440" s="21"/>
    </row>
    <row r="441" customFormat="false" ht="15" hidden="false" customHeight="false" outlineLevel="0" collapsed="false">
      <c r="A441" s="20"/>
      <c r="B441" s="21"/>
      <c r="C441" s="21"/>
      <c r="D441" s="21"/>
      <c r="E441" s="21"/>
      <c r="F441" s="22"/>
      <c r="G441" s="20"/>
      <c r="H441" s="23"/>
      <c r="I441" s="24"/>
      <c r="J441" s="14" t="str">
        <f aca="false">IF(C441="","",-E441*H441*IF(OR(B441="Sell call",B441="Buy to close",B441="Expired",B441="Assigned"),100,1)-I441)</f>
        <v/>
      </c>
      <c r="K441" s="21"/>
      <c r="L441" s="21"/>
      <c r="M441" s="21"/>
      <c r="N441" s="8" t="str">
        <f aca="false">IF(A441="","",IF(COUNTIFS(Reconcile!$I:$I,A441,Reconcile!$H:$H,"&gt;="&amp;(J441-0.01),Reconcile!$H:$H,"&lt;="&amp;(J441+0.01))&gt;0,"Yes","Not yet"))</f>
        <v/>
      </c>
      <c r="O441" s="21"/>
    </row>
    <row r="442" customFormat="false" ht="15" hidden="false" customHeight="false" outlineLevel="0" collapsed="false">
      <c r="A442" s="20"/>
      <c r="B442" s="21"/>
      <c r="C442" s="21"/>
      <c r="D442" s="21"/>
      <c r="E442" s="21"/>
      <c r="F442" s="22"/>
      <c r="G442" s="20"/>
      <c r="H442" s="23"/>
      <c r="I442" s="24"/>
      <c r="J442" s="14" t="str">
        <f aca="false">IF(C442="","",-E442*H442*IF(OR(B442="Sell call",B442="Buy to close",B442="Expired",B442="Assigned"),100,1)-I442)</f>
        <v/>
      </c>
      <c r="K442" s="21"/>
      <c r="L442" s="21"/>
      <c r="M442" s="21"/>
      <c r="N442" s="8" t="str">
        <f aca="false">IF(A442="","",IF(COUNTIFS(Reconcile!$I:$I,A442,Reconcile!$H:$H,"&gt;="&amp;(J442-0.01),Reconcile!$H:$H,"&lt;="&amp;(J442+0.01))&gt;0,"Yes","Not yet"))</f>
        <v/>
      </c>
      <c r="O442" s="21"/>
    </row>
    <row r="443" customFormat="false" ht="15" hidden="false" customHeight="false" outlineLevel="0" collapsed="false">
      <c r="A443" s="20"/>
      <c r="B443" s="21"/>
      <c r="C443" s="21"/>
      <c r="D443" s="21"/>
      <c r="E443" s="21"/>
      <c r="F443" s="22"/>
      <c r="G443" s="20"/>
      <c r="H443" s="23"/>
      <c r="I443" s="24"/>
      <c r="J443" s="14" t="str">
        <f aca="false">IF(C443="","",-E443*H443*IF(OR(B443="Sell call",B443="Buy to close",B443="Expired",B443="Assigned"),100,1)-I443)</f>
        <v/>
      </c>
      <c r="K443" s="21"/>
      <c r="L443" s="21"/>
      <c r="M443" s="21"/>
      <c r="N443" s="8" t="str">
        <f aca="false">IF(A443="","",IF(COUNTIFS(Reconcile!$I:$I,A443,Reconcile!$H:$H,"&gt;="&amp;(J443-0.01),Reconcile!$H:$H,"&lt;="&amp;(J443+0.01))&gt;0,"Yes","Not yet"))</f>
        <v/>
      </c>
      <c r="O443" s="21"/>
    </row>
    <row r="444" customFormat="false" ht="15" hidden="false" customHeight="false" outlineLevel="0" collapsed="false">
      <c r="A444" s="20"/>
      <c r="B444" s="21"/>
      <c r="C444" s="21"/>
      <c r="D444" s="21"/>
      <c r="E444" s="21"/>
      <c r="F444" s="22"/>
      <c r="G444" s="20"/>
      <c r="H444" s="23"/>
      <c r="I444" s="24"/>
      <c r="J444" s="14" t="str">
        <f aca="false">IF(C444="","",-E444*H444*IF(OR(B444="Sell call",B444="Buy to close",B444="Expired",B444="Assigned"),100,1)-I444)</f>
        <v/>
      </c>
      <c r="K444" s="21"/>
      <c r="L444" s="21"/>
      <c r="M444" s="21"/>
      <c r="N444" s="8" t="str">
        <f aca="false">IF(A444="","",IF(COUNTIFS(Reconcile!$I:$I,A444,Reconcile!$H:$H,"&gt;="&amp;(J444-0.01),Reconcile!$H:$H,"&lt;="&amp;(J444+0.01))&gt;0,"Yes","Not yet"))</f>
        <v/>
      </c>
      <c r="O444" s="21"/>
    </row>
    <row r="445" customFormat="false" ht="15" hidden="false" customHeight="false" outlineLevel="0" collapsed="false">
      <c r="A445" s="20"/>
      <c r="B445" s="21"/>
      <c r="C445" s="21"/>
      <c r="D445" s="21"/>
      <c r="E445" s="21"/>
      <c r="F445" s="22"/>
      <c r="G445" s="20"/>
      <c r="H445" s="23"/>
      <c r="I445" s="24"/>
      <c r="J445" s="14" t="str">
        <f aca="false">IF(C445="","",-E445*H445*IF(OR(B445="Sell call",B445="Buy to close",B445="Expired",B445="Assigned"),100,1)-I445)</f>
        <v/>
      </c>
      <c r="K445" s="21"/>
      <c r="L445" s="21"/>
      <c r="M445" s="21"/>
      <c r="N445" s="8" t="str">
        <f aca="false">IF(A445="","",IF(COUNTIFS(Reconcile!$I:$I,A445,Reconcile!$H:$H,"&gt;="&amp;(J445-0.01),Reconcile!$H:$H,"&lt;="&amp;(J445+0.01))&gt;0,"Yes","Not yet"))</f>
        <v/>
      </c>
      <c r="O445" s="21"/>
    </row>
    <row r="446" customFormat="false" ht="15" hidden="false" customHeight="false" outlineLevel="0" collapsed="false">
      <c r="A446" s="20"/>
      <c r="B446" s="21"/>
      <c r="C446" s="21"/>
      <c r="D446" s="21"/>
      <c r="E446" s="21"/>
      <c r="F446" s="22"/>
      <c r="G446" s="20"/>
      <c r="H446" s="23"/>
      <c r="I446" s="24"/>
      <c r="J446" s="14" t="str">
        <f aca="false">IF(C446="","",-E446*H446*IF(OR(B446="Sell call",B446="Buy to close",B446="Expired",B446="Assigned"),100,1)-I446)</f>
        <v/>
      </c>
      <c r="K446" s="21"/>
      <c r="L446" s="21"/>
      <c r="M446" s="21"/>
      <c r="N446" s="8" t="str">
        <f aca="false">IF(A446="","",IF(COUNTIFS(Reconcile!$I:$I,A446,Reconcile!$H:$H,"&gt;="&amp;(J446-0.01),Reconcile!$H:$H,"&lt;="&amp;(J446+0.01))&gt;0,"Yes","Not yet"))</f>
        <v/>
      </c>
      <c r="O446" s="21"/>
    </row>
    <row r="447" customFormat="false" ht="15" hidden="false" customHeight="false" outlineLevel="0" collapsed="false">
      <c r="A447" s="20"/>
      <c r="B447" s="21"/>
      <c r="C447" s="21"/>
      <c r="D447" s="21"/>
      <c r="E447" s="21"/>
      <c r="F447" s="22"/>
      <c r="G447" s="20"/>
      <c r="H447" s="23"/>
      <c r="I447" s="24"/>
      <c r="J447" s="14" t="str">
        <f aca="false">IF(C447="","",-E447*H447*IF(OR(B447="Sell call",B447="Buy to close",B447="Expired",B447="Assigned"),100,1)-I447)</f>
        <v/>
      </c>
      <c r="K447" s="21"/>
      <c r="L447" s="21"/>
      <c r="M447" s="21"/>
      <c r="N447" s="8" t="str">
        <f aca="false">IF(A447="","",IF(COUNTIFS(Reconcile!$I:$I,A447,Reconcile!$H:$H,"&gt;="&amp;(J447-0.01),Reconcile!$H:$H,"&lt;="&amp;(J447+0.01))&gt;0,"Yes","Not yet"))</f>
        <v/>
      </c>
      <c r="O447" s="21"/>
    </row>
    <row r="448" customFormat="false" ht="15" hidden="false" customHeight="false" outlineLevel="0" collapsed="false">
      <c r="A448" s="20"/>
      <c r="B448" s="21"/>
      <c r="C448" s="21"/>
      <c r="D448" s="21"/>
      <c r="E448" s="21"/>
      <c r="F448" s="22"/>
      <c r="G448" s="20"/>
      <c r="H448" s="23"/>
      <c r="I448" s="24"/>
      <c r="J448" s="14" t="str">
        <f aca="false">IF(C448="","",-E448*H448*IF(OR(B448="Sell call",B448="Buy to close",B448="Expired",B448="Assigned"),100,1)-I448)</f>
        <v/>
      </c>
      <c r="K448" s="21"/>
      <c r="L448" s="21"/>
      <c r="M448" s="21"/>
      <c r="N448" s="8" t="str">
        <f aca="false">IF(A448="","",IF(COUNTIFS(Reconcile!$I:$I,A448,Reconcile!$H:$H,"&gt;="&amp;(J448-0.01),Reconcile!$H:$H,"&lt;="&amp;(J448+0.01))&gt;0,"Yes","Not yet"))</f>
        <v/>
      </c>
      <c r="O448" s="21"/>
    </row>
    <row r="449" customFormat="false" ht="15" hidden="false" customHeight="false" outlineLevel="0" collapsed="false">
      <c r="A449" s="20"/>
      <c r="B449" s="21"/>
      <c r="C449" s="21"/>
      <c r="D449" s="21"/>
      <c r="E449" s="21"/>
      <c r="F449" s="22"/>
      <c r="G449" s="20"/>
      <c r="H449" s="23"/>
      <c r="I449" s="24"/>
      <c r="J449" s="14" t="str">
        <f aca="false">IF(C449="","",-E449*H449*IF(OR(B449="Sell call",B449="Buy to close",B449="Expired",B449="Assigned"),100,1)-I449)</f>
        <v/>
      </c>
      <c r="K449" s="21"/>
      <c r="L449" s="21"/>
      <c r="M449" s="21"/>
      <c r="N449" s="8" t="str">
        <f aca="false">IF(A449="","",IF(COUNTIFS(Reconcile!$I:$I,A449,Reconcile!$H:$H,"&gt;="&amp;(J449-0.01),Reconcile!$H:$H,"&lt;="&amp;(J449+0.01))&gt;0,"Yes","Not yet"))</f>
        <v/>
      </c>
      <c r="O449" s="21"/>
    </row>
    <row r="450" customFormat="false" ht="15" hidden="false" customHeight="false" outlineLevel="0" collapsed="false">
      <c r="A450" s="20"/>
      <c r="B450" s="21"/>
      <c r="C450" s="21"/>
      <c r="D450" s="21"/>
      <c r="E450" s="21"/>
      <c r="F450" s="22"/>
      <c r="G450" s="20"/>
      <c r="H450" s="23"/>
      <c r="I450" s="24"/>
      <c r="J450" s="14" t="str">
        <f aca="false">IF(C450="","",-E450*H450*IF(OR(B450="Sell call",B450="Buy to close",B450="Expired",B450="Assigned"),100,1)-I450)</f>
        <v/>
      </c>
      <c r="K450" s="21"/>
      <c r="L450" s="21"/>
      <c r="M450" s="21"/>
      <c r="N450" s="8" t="str">
        <f aca="false">IF(A450="","",IF(COUNTIFS(Reconcile!$I:$I,A450,Reconcile!$H:$H,"&gt;="&amp;(J450-0.01),Reconcile!$H:$H,"&lt;="&amp;(J450+0.01))&gt;0,"Yes","Not yet"))</f>
        <v/>
      </c>
      <c r="O450" s="21"/>
    </row>
    <row r="451" customFormat="false" ht="15" hidden="false" customHeight="false" outlineLevel="0" collapsed="false">
      <c r="A451" s="20"/>
      <c r="B451" s="21"/>
      <c r="C451" s="21"/>
      <c r="D451" s="21"/>
      <c r="E451" s="21"/>
      <c r="F451" s="22"/>
      <c r="G451" s="20"/>
      <c r="H451" s="23"/>
      <c r="I451" s="24"/>
      <c r="J451" s="14" t="str">
        <f aca="false">IF(C451="","",-E451*H451*IF(OR(B451="Sell call",B451="Buy to close",B451="Expired",B451="Assigned"),100,1)-I451)</f>
        <v/>
      </c>
      <c r="K451" s="21"/>
      <c r="L451" s="21"/>
      <c r="M451" s="21"/>
      <c r="N451" s="8" t="str">
        <f aca="false">IF(A451="","",IF(COUNTIFS(Reconcile!$I:$I,A451,Reconcile!$H:$H,"&gt;="&amp;(J451-0.01),Reconcile!$H:$H,"&lt;="&amp;(J451+0.01))&gt;0,"Yes","Not yet"))</f>
        <v/>
      </c>
      <c r="O451" s="21"/>
    </row>
    <row r="452" customFormat="false" ht="15" hidden="false" customHeight="false" outlineLevel="0" collapsed="false">
      <c r="A452" s="20"/>
      <c r="B452" s="21"/>
      <c r="C452" s="21"/>
      <c r="D452" s="21"/>
      <c r="E452" s="21"/>
      <c r="F452" s="22"/>
      <c r="G452" s="20"/>
      <c r="H452" s="23"/>
      <c r="I452" s="24"/>
      <c r="J452" s="14" t="str">
        <f aca="false">IF(C452="","",-E452*H452*IF(OR(B452="Sell call",B452="Buy to close",B452="Expired",B452="Assigned"),100,1)-I452)</f>
        <v/>
      </c>
      <c r="K452" s="21"/>
      <c r="L452" s="21"/>
      <c r="M452" s="21"/>
      <c r="N452" s="8" t="str">
        <f aca="false">IF(A452="","",IF(COUNTIFS(Reconcile!$I:$I,A452,Reconcile!$H:$H,"&gt;="&amp;(J452-0.01),Reconcile!$H:$H,"&lt;="&amp;(J452+0.01))&gt;0,"Yes","Not yet"))</f>
        <v/>
      </c>
      <c r="O452" s="21"/>
    </row>
    <row r="453" customFormat="false" ht="15" hidden="false" customHeight="false" outlineLevel="0" collapsed="false">
      <c r="A453" s="20"/>
      <c r="B453" s="21"/>
      <c r="C453" s="21"/>
      <c r="D453" s="21"/>
      <c r="E453" s="21"/>
      <c r="F453" s="22"/>
      <c r="G453" s="20"/>
      <c r="H453" s="23"/>
      <c r="I453" s="24"/>
      <c r="J453" s="14" t="str">
        <f aca="false">IF(C453="","",-E453*H453*IF(OR(B453="Sell call",B453="Buy to close",B453="Expired",B453="Assigned"),100,1)-I453)</f>
        <v/>
      </c>
      <c r="K453" s="21"/>
      <c r="L453" s="21"/>
      <c r="M453" s="21"/>
      <c r="N453" s="8" t="str">
        <f aca="false">IF(A453="","",IF(COUNTIFS(Reconcile!$I:$I,A453,Reconcile!$H:$H,"&gt;="&amp;(J453-0.01),Reconcile!$H:$H,"&lt;="&amp;(J453+0.01))&gt;0,"Yes","Not yet"))</f>
        <v/>
      </c>
      <c r="O453" s="21"/>
    </row>
    <row r="454" customFormat="false" ht="15" hidden="false" customHeight="false" outlineLevel="0" collapsed="false">
      <c r="A454" s="20"/>
      <c r="B454" s="21"/>
      <c r="C454" s="21"/>
      <c r="D454" s="21"/>
      <c r="E454" s="21"/>
      <c r="F454" s="22"/>
      <c r="G454" s="20"/>
      <c r="H454" s="23"/>
      <c r="I454" s="24"/>
      <c r="J454" s="14" t="str">
        <f aca="false">IF(C454="","",-E454*H454*IF(OR(B454="Sell call",B454="Buy to close",B454="Expired",B454="Assigned"),100,1)-I454)</f>
        <v/>
      </c>
      <c r="K454" s="21"/>
      <c r="L454" s="21"/>
      <c r="M454" s="21"/>
      <c r="N454" s="8" t="str">
        <f aca="false">IF(A454="","",IF(COUNTIFS(Reconcile!$I:$I,A454,Reconcile!$H:$H,"&gt;="&amp;(J454-0.01),Reconcile!$H:$H,"&lt;="&amp;(J454+0.01))&gt;0,"Yes","Not yet"))</f>
        <v/>
      </c>
      <c r="O454" s="21"/>
    </row>
    <row r="455" customFormat="false" ht="15" hidden="false" customHeight="false" outlineLevel="0" collapsed="false">
      <c r="A455" s="20"/>
      <c r="B455" s="21"/>
      <c r="C455" s="21"/>
      <c r="D455" s="21"/>
      <c r="E455" s="21"/>
      <c r="F455" s="22"/>
      <c r="G455" s="20"/>
      <c r="H455" s="23"/>
      <c r="I455" s="24"/>
      <c r="J455" s="14" t="str">
        <f aca="false">IF(C455="","",-E455*H455*IF(OR(B455="Sell call",B455="Buy to close",B455="Expired",B455="Assigned"),100,1)-I455)</f>
        <v/>
      </c>
      <c r="K455" s="21"/>
      <c r="L455" s="21"/>
      <c r="M455" s="21"/>
      <c r="N455" s="8" t="str">
        <f aca="false">IF(A455="","",IF(COUNTIFS(Reconcile!$I:$I,A455,Reconcile!$H:$H,"&gt;="&amp;(J455-0.01),Reconcile!$H:$H,"&lt;="&amp;(J455+0.01))&gt;0,"Yes","Not yet"))</f>
        <v/>
      </c>
      <c r="O455" s="21"/>
    </row>
    <row r="456" customFormat="false" ht="15" hidden="false" customHeight="false" outlineLevel="0" collapsed="false">
      <c r="A456" s="20"/>
      <c r="B456" s="21"/>
      <c r="C456" s="21"/>
      <c r="D456" s="21"/>
      <c r="E456" s="21"/>
      <c r="F456" s="22"/>
      <c r="G456" s="20"/>
      <c r="H456" s="23"/>
      <c r="I456" s="24"/>
      <c r="J456" s="14" t="str">
        <f aca="false">IF(C456="","",-E456*H456*IF(OR(B456="Sell call",B456="Buy to close",B456="Expired",B456="Assigned"),100,1)-I456)</f>
        <v/>
      </c>
      <c r="K456" s="21"/>
      <c r="L456" s="21"/>
      <c r="M456" s="21"/>
      <c r="N456" s="8" t="str">
        <f aca="false">IF(A456="","",IF(COUNTIFS(Reconcile!$I:$I,A456,Reconcile!$H:$H,"&gt;="&amp;(J456-0.01),Reconcile!$H:$H,"&lt;="&amp;(J456+0.01))&gt;0,"Yes","Not yet"))</f>
        <v/>
      </c>
      <c r="O456" s="21"/>
    </row>
    <row r="457" customFormat="false" ht="15" hidden="false" customHeight="false" outlineLevel="0" collapsed="false">
      <c r="A457" s="20"/>
      <c r="B457" s="21"/>
      <c r="C457" s="21"/>
      <c r="D457" s="21"/>
      <c r="E457" s="21"/>
      <c r="F457" s="22"/>
      <c r="G457" s="20"/>
      <c r="H457" s="23"/>
      <c r="I457" s="24"/>
      <c r="J457" s="14" t="str">
        <f aca="false">IF(C457="","",-E457*H457*IF(OR(B457="Sell call",B457="Buy to close",B457="Expired",B457="Assigned"),100,1)-I457)</f>
        <v/>
      </c>
      <c r="K457" s="21"/>
      <c r="L457" s="21"/>
      <c r="M457" s="21"/>
      <c r="N457" s="8" t="str">
        <f aca="false">IF(A457="","",IF(COUNTIFS(Reconcile!$I:$I,A457,Reconcile!$H:$H,"&gt;="&amp;(J457-0.01),Reconcile!$H:$H,"&lt;="&amp;(J457+0.01))&gt;0,"Yes","Not yet"))</f>
        <v/>
      </c>
      <c r="O457" s="21"/>
    </row>
    <row r="458" customFormat="false" ht="15" hidden="false" customHeight="false" outlineLevel="0" collapsed="false">
      <c r="A458" s="20"/>
      <c r="B458" s="21"/>
      <c r="C458" s="21"/>
      <c r="D458" s="21"/>
      <c r="E458" s="21"/>
      <c r="F458" s="22"/>
      <c r="G458" s="20"/>
      <c r="H458" s="23"/>
      <c r="I458" s="24"/>
      <c r="J458" s="14" t="str">
        <f aca="false">IF(C458="","",-E458*H458*IF(OR(B458="Sell call",B458="Buy to close",B458="Expired",B458="Assigned"),100,1)-I458)</f>
        <v/>
      </c>
      <c r="K458" s="21"/>
      <c r="L458" s="21"/>
      <c r="M458" s="21"/>
      <c r="N458" s="8" t="str">
        <f aca="false">IF(A458="","",IF(COUNTIFS(Reconcile!$I:$I,A458,Reconcile!$H:$H,"&gt;="&amp;(J458-0.01),Reconcile!$H:$H,"&lt;="&amp;(J458+0.01))&gt;0,"Yes","Not yet"))</f>
        <v/>
      </c>
      <c r="O458" s="21"/>
    </row>
    <row r="459" customFormat="false" ht="15" hidden="false" customHeight="false" outlineLevel="0" collapsed="false">
      <c r="A459" s="20"/>
      <c r="B459" s="21"/>
      <c r="C459" s="21"/>
      <c r="D459" s="21"/>
      <c r="E459" s="21"/>
      <c r="F459" s="22"/>
      <c r="G459" s="20"/>
      <c r="H459" s="23"/>
      <c r="I459" s="24"/>
      <c r="J459" s="14" t="str">
        <f aca="false">IF(C459="","",-E459*H459*IF(OR(B459="Sell call",B459="Buy to close",B459="Expired",B459="Assigned"),100,1)-I459)</f>
        <v/>
      </c>
      <c r="K459" s="21"/>
      <c r="L459" s="21"/>
      <c r="M459" s="21"/>
      <c r="N459" s="8" t="str">
        <f aca="false">IF(A459="","",IF(COUNTIFS(Reconcile!$I:$I,A459,Reconcile!$H:$H,"&gt;="&amp;(J459-0.01),Reconcile!$H:$H,"&lt;="&amp;(J459+0.01))&gt;0,"Yes","Not yet"))</f>
        <v/>
      </c>
      <c r="O459" s="21"/>
    </row>
    <row r="460" customFormat="false" ht="15" hidden="false" customHeight="false" outlineLevel="0" collapsed="false">
      <c r="A460" s="20"/>
      <c r="B460" s="21"/>
      <c r="C460" s="21"/>
      <c r="D460" s="21"/>
      <c r="E460" s="21"/>
      <c r="F460" s="22"/>
      <c r="G460" s="20"/>
      <c r="H460" s="23"/>
      <c r="I460" s="24"/>
      <c r="J460" s="14" t="str">
        <f aca="false">IF(C460="","",-E460*H460*IF(OR(B460="Sell call",B460="Buy to close",B460="Expired",B460="Assigned"),100,1)-I460)</f>
        <v/>
      </c>
      <c r="K460" s="21"/>
      <c r="L460" s="21"/>
      <c r="M460" s="21"/>
      <c r="N460" s="8" t="str">
        <f aca="false">IF(A460="","",IF(COUNTIFS(Reconcile!$I:$I,A460,Reconcile!$H:$H,"&gt;="&amp;(J460-0.01),Reconcile!$H:$H,"&lt;="&amp;(J460+0.01))&gt;0,"Yes","Not yet"))</f>
        <v/>
      </c>
      <c r="O460" s="21"/>
    </row>
    <row r="461" customFormat="false" ht="15" hidden="false" customHeight="false" outlineLevel="0" collapsed="false">
      <c r="A461" s="20"/>
      <c r="B461" s="21"/>
      <c r="C461" s="21"/>
      <c r="D461" s="21"/>
      <c r="E461" s="21"/>
      <c r="F461" s="22"/>
      <c r="G461" s="20"/>
      <c r="H461" s="23"/>
      <c r="I461" s="24"/>
      <c r="J461" s="14" t="str">
        <f aca="false">IF(C461="","",-E461*H461*IF(OR(B461="Sell call",B461="Buy to close",B461="Expired",B461="Assigned"),100,1)-I461)</f>
        <v/>
      </c>
      <c r="K461" s="21"/>
      <c r="L461" s="21"/>
      <c r="M461" s="21"/>
      <c r="N461" s="8" t="str">
        <f aca="false">IF(A461="","",IF(COUNTIFS(Reconcile!$I:$I,A461,Reconcile!$H:$H,"&gt;="&amp;(J461-0.01),Reconcile!$H:$H,"&lt;="&amp;(J461+0.01))&gt;0,"Yes","Not yet"))</f>
        <v/>
      </c>
      <c r="O461" s="21"/>
    </row>
    <row r="462" customFormat="false" ht="15" hidden="false" customHeight="false" outlineLevel="0" collapsed="false">
      <c r="A462" s="20"/>
      <c r="B462" s="21"/>
      <c r="C462" s="21"/>
      <c r="D462" s="21"/>
      <c r="E462" s="21"/>
      <c r="F462" s="22"/>
      <c r="G462" s="20"/>
      <c r="H462" s="23"/>
      <c r="I462" s="24"/>
      <c r="J462" s="14" t="str">
        <f aca="false">IF(C462="","",-E462*H462*IF(OR(B462="Sell call",B462="Buy to close",B462="Expired",B462="Assigned"),100,1)-I462)</f>
        <v/>
      </c>
      <c r="K462" s="21"/>
      <c r="L462" s="21"/>
      <c r="M462" s="21"/>
      <c r="N462" s="8" t="str">
        <f aca="false">IF(A462="","",IF(COUNTIFS(Reconcile!$I:$I,A462,Reconcile!$H:$H,"&gt;="&amp;(J462-0.01),Reconcile!$H:$H,"&lt;="&amp;(J462+0.01))&gt;0,"Yes","Not yet"))</f>
        <v/>
      </c>
      <c r="O462" s="21"/>
    </row>
    <row r="463" customFormat="false" ht="15" hidden="false" customHeight="false" outlineLevel="0" collapsed="false">
      <c r="A463" s="20"/>
      <c r="B463" s="21"/>
      <c r="C463" s="21"/>
      <c r="D463" s="21"/>
      <c r="E463" s="21"/>
      <c r="F463" s="22"/>
      <c r="G463" s="20"/>
      <c r="H463" s="23"/>
      <c r="I463" s="24"/>
      <c r="J463" s="14" t="str">
        <f aca="false">IF(C463="","",-E463*H463*IF(OR(B463="Sell call",B463="Buy to close",B463="Expired",B463="Assigned"),100,1)-I463)</f>
        <v/>
      </c>
      <c r="K463" s="21"/>
      <c r="L463" s="21"/>
      <c r="M463" s="21"/>
      <c r="N463" s="8" t="str">
        <f aca="false">IF(A463="","",IF(COUNTIFS(Reconcile!$I:$I,A463,Reconcile!$H:$H,"&gt;="&amp;(J463-0.01),Reconcile!$H:$H,"&lt;="&amp;(J463+0.01))&gt;0,"Yes","Not yet"))</f>
        <v/>
      </c>
      <c r="O463" s="21"/>
    </row>
    <row r="464" customFormat="false" ht="15" hidden="false" customHeight="false" outlineLevel="0" collapsed="false">
      <c r="A464" s="20"/>
      <c r="B464" s="21"/>
      <c r="C464" s="21"/>
      <c r="D464" s="21"/>
      <c r="E464" s="21"/>
      <c r="F464" s="22"/>
      <c r="G464" s="20"/>
      <c r="H464" s="23"/>
      <c r="I464" s="24"/>
      <c r="J464" s="14" t="str">
        <f aca="false">IF(C464="","",-E464*H464*IF(OR(B464="Sell call",B464="Buy to close",B464="Expired",B464="Assigned"),100,1)-I464)</f>
        <v/>
      </c>
      <c r="K464" s="21"/>
      <c r="L464" s="21"/>
      <c r="M464" s="21"/>
      <c r="N464" s="8" t="str">
        <f aca="false">IF(A464="","",IF(COUNTIFS(Reconcile!$I:$I,A464,Reconcile!$H:$H,"&gt;="&amp;(J464-0.01),Reconcile!$H:$H,"&lt;="&amp;(J464+0.01))&gt;0,"Yes","Not yet"))</f>
        <v/>
      </c>
      <c r="O464" s="21"/>
    </row>
    <row r="465" customFormat="false" ht="15" hidden="false" customHeight="false" outlineLevel="0" collapsed="false">
      <c r="A465" s="20"/>
      <c r="B465" s="21"/>
      <c r="C465" s="21"/>
      <c r="D465" s="21"/>
      <c r="E465" s="21"/>
      <c r="F465" s="22"/>
      <c r="G465" s="20"/>
      <c r="H465" s="23"/>
      <c r="I465" s="24"/>
      <c r="J465" s="14" t="str">
        <f aca="false">IF(C465="","",-E465*H465*IF(OR(B465="Sell call",B465="Buy to close",B465="Expired",B465="Assigned"),100,1)-I465)</f>
        <v/>
      </c>
      <c r="K465" s="21"/>
      <c r="L465" s="21"/>
      <c r="M465" s="21"/>
      <c r="N465" s="8" t="str">
        <f aca="false">IF(A465="","",IF(COUNTIFS(Reconcile!$I:$I,A465,Reconcile!$H:$H,"&gt;="&amp;(J465-0.01),Reconcile!$H:$H,"&lt;="&amp;(J465+0.01))&gt;0,"Yes","Not yet"))</f>
        <v/>
      </c>
      <c r="O465" s="21"/>
    </row>
    <row r="466" customFormat="false" ht="15" hidden="false" customHeight="false" outlineLevel="0" collapsed="false">
      <c r="A466" s="20"/>
      <c r="B466" s="21"/>
      <c r="C466" s="21"/>
      <c r="D466" s="21"/>
      <c r="E466" s="21"/>
      <c r="F466" s="22"/>
      <c r="G466" s="20"/>
      <c r="H466" s="23"/>
      <c r="I466" s="24"/>
      <c r="J466" s="14" t="str">
        <f aca="false">IF(C466="","",-E466*H466*IF(OR(B466="Sell call",B466="Buy to close",B466="Expired",B466="Assigned"),100,1)-I466)</f>
        <v/>
      </c>
      <c r="K466" s="21"/>
      <c r="L466" s="21"/>
      <c r="M466" s="21"/>
      <c r="N466" s="8" t="str">
        <f aca="false">IF(A466="","",IF(COUNTIFS(Reconcile!$I:$I,A466,Reconcile!$H:$H,"&gt;="&amp;(J466-0.01),Reconcile!$H:$H,"&lt;="&amp;(J466+0.01))&gt;0,"Yes","Not yet"))</f>
        <v/>
      </c>
      <c r="O466" s="21"/>
    </row>
    <row r="467" customFormat="false" ht="15" hidden="false" customHeight="false" outlineLevel="0" collapsed="false">
      <c r="A467" s="20"/>
      <c r="B467" s="21"/>
      <c r="C467" s="21"/>
      <c r="D467" s="21"/>
      <c r="E467" s="21"/>
      <c r="F467" s="22"/>
      <c r="G467" s="20"/>
      <c r="H467" s="23"/>
      <c r="I467" s="24"/>
      <c r="J467" s="14" t="str">
        <f aca="false">IF(C467="","",-E467*H467*IF(OR(B467="Sell call",B467="Buy to close",B467="Expired",B467="Assigned"),100,1)-I467)</f>
        <v/>
      </c>
      <c r="K467" s="21"/>
      <c r="L467" s="21"/>
      <c r="M467" s="21"/>
      <c r="N467" s="8" t="str">
        <f aca="false">IF(A467="","",IF(COUNTIFS(Reconcile!$I:$I,A467,Reconcile!$H:$H,"&gt;="&amp;(J467-0.01),Reconcile!$H:$H,"&lt;="&amp;(J467+0.01))&gt;0,"Yes","Not yet"))</f>
        <v/>
      </c>
      <c r="O467" s="21"/>
    </row>
    <row r="468" customFormat="false" ht="15" hidden="false" customHeight="false" outlineLevel="0" collapsed="false">
      <c r="A468" s="20"/>
      <c r="B468" s="21"/>
      <c r="C468" s="21"/>
      <c r="D468" s="21"/>
      <c r="E468" s="21"/>
      <c r="F468" s="22"/>
      <c r="G468" s="20"/>
      <c r="H468" s="23"/>
      <c r="I468" s="24"/>
      <c r="J468" s="14" t="str">
        <f aca="false">IF(C468="","",-E468*H468*IF(OR(B468="Sell call",B468="Buy to close",B468="Expired",B468="Assigned"),100,1)-I468)</f>
        <v/>
      </c>
      <c r="K468" s="21"/>
      <c r="L468" s="21"/>
      <c r="M468" s="21"/>
      <c r="N468" s="8" t="str">
        <f aca="false">IF(A468="","",IF(COUNTIFS(Reconcile!$I:$I,A468,Reconcile!$H:$H,"&gt;="&amp;(J468-0.01),Reconcile!$H:$H,"&lt;="&amp;(J468+0.01))&gt;0,"Yes","Not yet"))</f>
        <v/>
      </c>
      <c r="O468" s="21"/>
    </row>
    <row r="469" customFormat="false" ht="15" hidden="false" customHeight="false" outlineLevel="0" collapsed="false">
      <c r="A469" s="20"/>
      <c r="B469" s="21"/>
      <c r="C469" s="21"/>
      <c r="D469" s="21"/>
      <c r="E469" s="21"/>
      <c r="F469" s="22"/>
      <c r="G469" s="20"/>
      <c r="H469" s="23"/>
      <c r="I469" s="24"/>
      <c r="J469" s="14" t="str">
        <f aca="false">IF(C469="","",-E469*H469*IF(OR(B469="Sell call",B469="Buy to close",B469="Expired",B469="Assigned"),100,1)-I469)</f>
        <v/>
      </c>
      <c r="K469" s="21"/>
      <c r="L469" s="21"/>
      <c r="M469" s="21"/>
      <c r="N469" s="8" t="str">
        <f aca="false">IF(A469="","",IF(COUNTIFS(Reconcile!$I:$I,A469,Reconcile!$H:$H,"&gt;="&amp;(J469-0.01),Reconcile!$H:$H,"&lt;="&amp;(J469+0.01))&gt;0,"Yes","Not yet"))</f>
        <v/>
      </c>
      <c r="O469" s="21"/>
    </row>
    <row r="470" customFormat="false" ht="15" hidden="false" customHeight="false" outlineLevel="0" collapsed="false">
      <c r="A470" s="20"/>
      <c r="B470" s="21"/>
      <c r="C470" s="21"/>
      <c r="D470" s="21"/>
      <c r="E470" s="21"/>
      <c r="F470" s="22"/>
      <c r="G470" s="20"/>
      <c r="H470" s="23"/>
      <c r="I470" s="24"/>
      <c r="J470" s="14" t="str">
        <f aca="false">IF(C470="","",-E470*H470*IF(OR(B470="Sell call",B470="Buy to close",B470="Expired",B470="Assigned"),100,1)-I470)</f>
        <v/>
      </c>
      <c r="K470" s="21"/>
      <c r="L470" s="21"/>
      <c r="M470" s="21"/>
      <c r="N470" s="8" t="str">
        <f aca="false">IF(A470="","",IF(COUNTIFS(Reconcile!$I:$I,A470,Reconcile!$H:$H,"&gt;="&amp;(J470-0.01),Reconcile!$H:$H,"&lt;="&amp;(J470+0.01))&gt;0,"Yes","Not yet"))</f>
        <v/>
      </c>
      <c r="O470" s="21"/>
    </row>
    <row r="471" customFormat="false" ht="15" hidden="false" customHeight="false" outlineLevel="0" collapsed="false">
      <c r="A471" s="20"/>
      <c r="B471" s="21"/>
      <c r="C471" s="21"/>
      <c r="D471" s="21"/>
      <c r="E471" s="21"/>
      <c r="F471" s="22"/>
      <c r="G471" s="20"/>
      <c r="H471" s="23"/>
      <c r="I471" s="24"/>
      <c r="J471" s="14" t="str">
        <f aca="false">IF(C471="","",-E471*H471*IF(OR(B471="Sell call",B471="Buy to close",B471="Expired",B471="Assigned"),100,1)-I471)</f>
        <v/>
      </c>
      <c r="K471" s="21"/>
      <c r="L471" s="21"/>
      <c r="M471" s="21"/>
      <c r="N471" s="8" t="str">
        <f aca="false">IF(A471="","",IF(COUNTIFS(Reconcile!$I:$I,A471,Reconcile!$H:$H,"&gt;="&amp;(J471-0.01),Reconcile!$H:$H,"&lt;="&amp;(J471+0.01))&gt;0,"Yes","Not yet"))</f>
        <v/>
      </c>
      <c r="O471" s="21"/>
    </row>
    <row r="472" customFormat="false" ht="15" hidden="false" customHeight="false" outlineLevel="0" collapsed="false">
      <c r="A472" s="20"/>
      <c r="B472" s="21"/>
      <c r="C472" s="21"/>
      <c r="D472" s="21"/>
      <c r="E472" s="21"/>
      <c r="F472" s="22"/>
      <c r="G472" s="20"/>
      <c r="H472" s="23"/>
      <c r="I472" s="24"/>
      <c r="J472" s="14" t="str">
        <f aca="false">IF(C472="","",-E472*H472*IF(OR(B472="Sell call",B472="Buy to close",B472="Expired",B472="Assigned"),100,1)-I472)</f>
        <v/>
      </c>
      <c r="K472" s="21"/>
      <c r="L472" s="21"/>
      <c r="M472" s="21"/>
      <c r="N472" s="8" t="str">
        <f aca="false">IF(A472="","",IF(COUNTIFS(Reconcile!$I:$I,A472,Reconcile!$H:$H,"&gt;="&amp;(J472-0.01),Reconcile!$H:$H,"&lt;="&amp;(J472+0.01))&gt;0,"Yes","Not yet"))</f>
        <v/>
      </c>
      <c r="O472" s="21"/>
    </row>
    <row r="473" customFormat="false" ht="15" hidden="false" customHeight="false" outlineLevel="0" collapsed="false">
      <c r="A473" s="20"/>
      <c r="B473" s="21"/>
      <c r="C473" s="21"/>
      <c r="D473" s="21"/>
      <c r="E473" s="21"/>
      <c r="F473" s="22"/>
      <c r="G473" s="20"/>
      <c r="H473" s="23"/>
      <c r="I473" s="24"/>
      <c r="J473" s="14" t="str">
        <f aca="false">IF(C473="","",-E473*H473*IF(OR(B473="Sell call",B473="Buy to close",B473="Expired",B473="Assigned"),100,1)-I473)</f>
        <v/>
      </c>
      <c r="K473" s="21"/>
      <c r="L473" s="21"/>
      <c r="M473" s="21"/>
      <c r="N473" s="8" t="str">
        <f aca="false">IF(A473="","",IF(COUNTIFS(Reconcile!$I:$I,A473,Reconcile!$H:$H,"&gt;="&amp;(J473-0.01),Reconcile!$H:$H,"&lt;="&amp;(J473+0.01))&gt;0,"Yes","Not yet"))</f>
        <v/>
      </c>
      <c r="O473" s="21"/>
    </row>
    <row r="474" customFormat="false" ht="15" hidden="false" customHeight="false" outlineLevel="0" collapsed="false">
      <c r="A474" s="20"/>
      <c r="B474" s="21"/>
      <c r="C474" s="21"/>
      <c r="D474" s="21"/>
      <c r="E474" s="21"/>
      <c r="F474" s="22"/>
      <c r="G474" s="20"/>
      <c r="H474" s="23"/>
      <c r="I474" s="24"/>
      <c r="J474" s="14" t="str">
        <f aca="false">IF(C474="","",-E474*H474*IF(OR(B474="Sell call",B474="Buy to close",B474="Expired",B474="Assigned"),100,1)-I474)</f>
        <v/>
      </c>
      <c r="K474" s="21"/>
      <c r="L474" s="21"/>
      <c r="M474" s="21"/>
      <c r="N474" s="8" t="str">
        <f aca="false">IF(A474="","",IF(COUNTIFS(Reconcile!$I:$I,A474,Reconcile!$H:$H,"&gt;="&amp;(J474-0.01),Reconcile!$H:$H,"&lt;="&amp;(J474+0.01))&gt;0,"Yes","Not yet"))</f>
        <v/>
      </c>
      <c r="O474" s="21"/>
    </row>
    <row r="475" customFormat="false" ht="15" hidden="false" customHeight="false" outlineLevel="0" collapsed="false">
      <c r="A475" s="20"/>
      <c r="B475" s="21"/>
      <c r="C475" s="21"/>
      <c r="D475" s="21"/>
      <c r="E475" s="21"/>
      <c r="F475" s="22"/>
      <c r="G475" s="20"/>
      <c r="H475" s="23"/>
      <c r="I475" s="24"/>
      <c r="J475" s="14" t="str">
        <f aca="false">IF(C475="","",-E475*H475*IF(OR(B475="Sell call",B475="Buy to close",B475="Expired",B475="Assigned"),100,1)-I475)</f>
        <v/>
      </c>
      <c r="K475" s="21"/>
      <c r="L475" s="21"/>
      <c r="M475" s="21"/>
      <c r="N475" s="8" t="str">
        <f aca="false">IF(A475="","",IF(COUNTIFS(Reconcile!$I:$I,A475,Reconcile!$H:$H,"&gt;="&amp;(J475-0.01),Reconcile!$H:$H,"&lt;="&amp;(J475+0.01))&gt;0,"Yes","Not yet"))</f>
        <v/>
      </c>
      <c r="O475" s="21"/>
    </row>
    <row r="476" customFormat="false" ht="15" hidden="false" customHeight="false" outlineLevel="0" collapsed="false">
      <c r="A476" s="20"/>
      <c r="B476" s="21"/>
      <c r="C476" s="21"/>
      <c r="D476" s="21"/>
      <c r="E476" s="21"/>
      <c r="F476" s="22"/>
      <c r="G476" s="20"/>
      <c r="H476" s="23"/>
      <c r="I476" s="24"/>
      <c r="J476" s="14" t="str">
        <f aca="false">IF(C476="","",-E476*H476*IF(OR(B476="Sell call",B476="Buy to close",B476="Expired",B476="Assigned"),100,1)-I476)</f>
        <v/>
      </c>
      <c r="K476" s="21"/>
      <c r="L476" s="21"/>
      <c r="M476" s="21"/>
      <c r="N476" s="8" t="str">
        <f aca="false">IF(A476="","",IF(COUNTIFS(Reconcile!$I:$I,A476,Reconcile!$H:$H,"&gt;="&amp;(J476-0.01),Reconcile!$H:$H,"&lt;="&amp;(J476+0.01))&gt;0,"Yes","Not yet"))</f>
        <v/>
      </c>
      <c r="O476" s="21"/>
    </row>
    <row r="477" customFormat="false" ht="15" hidden="false" customHeight="false" outlineLevel="0" collapsed="false">
      <c r="A477" s="20"/>
      <c r="B477" s="21"/>
      <c r="C477" s="21"/>
      <c r="D477" s="21"/>
      <c r="E477" s="21"/>
      <c r="F477" s="22"/>
      <c r="G477" s="20"/>
      <c r="H477" s="23"/>
      <c r="I477" s="24"/>
      <c r="J477" s="14" t="str">
        <f aca="false">IF(C477="","",-E477*H477*IF(OR(B477="Sell call",B477="Buy to close",B477="Expired",B477="Assigned"),100,1)-I477)</f>
        <v/>
      </c>
      <c r="K477" s="21"/>
      <c r="L477" s="21"/>
      <c r="M477" s="21"/>
      <c r="N477" s="8" t="str">
        <f aca="false">IF(A477="","",IF(COUNTIFS(Reconcile!$I:$I,A477,Reconcile!$H:$H,"&gt;="&amp;(J477-0.01),Reconcile!$H:$H,"&lt;="&amp;(J477+0.01))&gt;0,"Yes","Not yet"))</f>
        <v/>
      </c>
      <c r="O477" s="21"/>
    </row>
    <row r="478" customFormat="false" ht="15" hidden="false" customHeight="false" outlineLevel="0" collapsed="false">
      <c r="A478" s="20"/>
      <c r="B478" s="21"/>
      <c r="C478" s="21"/>
      <c r="D478" s="21"/>
      <c r="E478" s="21"/>
      <c r="F478" s="22"/>
      <c r="G478" s="20"/>
      <c r="H478" s="23"/>
      <c r="I478" s="24"/>
      <c r="J478" s="14" t="str">
        <f aca="false">IF(C478="","",-E478*H478*IF(OR(B478="Sell call",B478="Buy to close",B478="Expired",B478="Assigned"),100,1)-I478)</f>
        <v/>
      </c>
      <c r="K478" s="21"/>
      <c r="L478" s="21"/>
      <c r="M478" s="21"/>
      <c r="N478" s="8" t="str">
        <f aca="false">IF(A478="","",IF(COUNTIFS(Reconcile!$I:$I,A478,Reconcile!$H:$H,"&gt;="&amp;(J478-0.01),Reconcile!$H:$H,"&lt;="&amp;(J478+0.01))&gt;0,"Yes","Not yet"))</f>
        <v/>
      </c>
      <c r="O478" s="21"/>
    </row>
    <row r="479" customFormat="false" ht="15" hidden="false" customHeight="false" outlineLevel="0" collapsed="false">
      <c r="A479" s="20"/>
      <c r="B479" s="21"/>
      <c r="C479" s="21"/>
      <c r="D479" s="21"/>
      <c r="E479" s="21"/>
      <c r="F479" s="22"/>
      <c r="G479" s="20"/>
      <c r="H479" s="23"/>
      <c r="I479" s="24"/>
      <c r="J479" s="14" t="str">
        <f aca="false">IF(C479="","",-E479*H479*IF(OR(B479="Sell call",B479="Buy to close",B479="Expired",B479="Assigned"),100,1)-I479)</f>
        <v/>
      </c>
      <c r="K479" s="21"/>
      <c r="L479" s="21"/>
      <c r="M479" s="21"/>
      <c r="N479" s="8" t="str">
        <f aca="false">IF(A479="","",IF(COUNTIFS(Reconcile!$I:$I,A479,Reconcile!$H:$H,"&gt;="&amp;(J479-0.01),Reconcile!$H:$H,"&lt;="&amp;(J479+0.01))&gt;0,"Yes","Not yet"))</f>
        <v/>
      </c>
      <c r="O479" s="21"/>
    </row>
    <row r="480" customFormat="false" ht="15" hidden="false" customHeight="false" outlineLevel="0" collapsed="false">
      <c r="A480" s="20"/>
      <c r="B480" s="21"/>
      <c r="C480" s="21"/>
      <c r="D480" s="21"/>
      <c r="E480" s="21"/>
      <c r="F480" s="22"/>
      <c r="G480" s="20"/>
      <c r="H480" s="23"/>
      <c r="I480" s="24"/>
      <c r="J480" s="14" t="str">
        <f aca="false">IF(C480="","",-E480*H480*IF(OR(B480="Sell call",B480="Buy to close",B480="Expired",B480="Assigned"),100,1)-I480)</f>
        <v/>
      </c>
      <c r="K480" s="21"/>
      <c r="L480" s="21"/>
      <c r="M480" s="21"/>
      <c r="N480" s="8" t="str">
        <f aca="false">IF(A480="","",IF(COUNTIFS(Reconcile!$I:$I,A480,Reconcile!$H:$H,"&gt;="&amp;(J480-0.01),Reconcile!$H:$H,"&lt;="&amp;(J480+0.01))&gt;0,"Yes","Not yet"))</f>
        <v/>
      </c>
      <c r="O480" s="21"/>
    </row>
    <row r="481" customFormat="false" ht="15" hidden="false" customHeight="false" outlineLevel="0" collapsed="false">
      <c r="A481" s="20"/>
      <c r="B481" s="21"/>
      <c r="C481" s="21"/>
      <c r="D481" s="21"/>
      <c r="E481" s="21"/>
      <c r="F481" s="22"/>
      <c r="G481" s="20"/>
      <c r="H481" s="23"/>
      <c r="I481" s="24"/>
      <c r="J481" s="14" t="str">
        <f aca="false">IF(C481="","",-E481*H481*IF(OR(B481="Sell call",B481="Buy to close",B481="Expired",B481="Assigned"),100,1)-I481)</f>
        <v/>
      </c>
      <c r="K481" s="21"/>
      <c r="L481" s="21"/>
      <c r="M481" s="21"/>
      <c r="N481" s="8" t="str">
        <f aca="false">IF(A481="","",IF(COUNTIFS(Reconcile!$I:$I,A481,Reconcile!$H:$H,"&gt;="&amp;(J481-0.01),Reconcile!$H:$H,"&lt;="&amp;(J481+0.01))&gt;0,"Yes","Not yet"))</f>
        <v/>
      </c>
      <c r="O481" s="21"/>
    </row>
    <row r="482" customFormat="false" ht="15" hidden="false" customHeight="false" outlineLevel="0" collapsed="false">
      <c r="A482" s="20"/>
      <c r="B482" s="21"/>
      <c r="C482" s="21"/>
      <c r="D482" s="21"/>
      <c r="E482" s="21"/>
      <c r="F482" s="22"/>
      <c r="G482" s="20"/>
      <c r="H482" s="23"/>
      <c r="I482" s="24"/>
      <c r="J482" s="14" t="str">
        <f aca="false">IF(C482="","",-E482*H482*IF(OR(B482="Sell call",B482="Buy to close",B482="Expired",B482="Assigned"),100,1)-I482)</f>
        <v/>
      </c>
      <c r="K482" s="21"/>
      <c r="L482" s="21"/>
      <c r="M482" s="21"/>
      <c r="N482" s="8" t="str">
        <f aca="false">IF(A482="","",IF(COUNTIFS(Reconcile!$I:$I,A482,Reconcile!$H:$H,"&gt;="&amp;(J482-0.01),Reconcile!$H:$H,"&lt;="&amp;(J482+0.01))&gt;0,"Yes","Not yet"))</f>
        <v/>
      </c>
      <c r="O482" s="21"/>
    </row>
    <row r="483" customFormat="false" ht="15" hidden="false" customHeight="false" outlineLevel="0" collapsed="false">
      <c r="A483" s="20"/>
      <c r="B483" s="21"/>
      <c r="C483" s="21"/>
      <c r="D483" s="21"/>
      <c r="E483" s="21"/>
      <c r="F483" s="22"/>
      <c r="G483" s="20"/>
      <c r="H483" s="23"/>
      <c r="I483" s="24"/>
      <c r="J483" s="14" t="str">
        <f aca="false">IF(C483="","",-E483*H483*IF(OR(B483="Sell call",B483="Buy to close",B483="Expired",B483="Assigned"),100,1)-I483)</f>
        <v/>
      </c>
      <c r="K483" s="21"/>
      <c r="L483" s="21"/>
      <c r="M483" s="21"/>
      <c r="N483" s="8" t="str">
        <f aca="false">IF(A483="","",IF(COUNTIFS(Reconcile!$I:$I,A483,Reconcile!$H:$H,"&gt;="&amp;(J483-0.01),Reconcile!$H:$H,"&lt;="&amp;(J483+0.01))&gt;0,"Yes","Not yet"))</f>
        <v/>
      </c>
      <c r="O483" s="21"/>
    </row>
    <row r="484" customFormat="false" ht="15" hidden="false" customHeight="false" outlineLevel="0" collapsed="false">
      <c r="A484" s="20"/>
      <c r="B484" s="21"/>
      <c r="C484" s="21"/>
      <c r="D484" s="21"/>
      <c r="E484" s="21"/>
      <c r="F484" s="22"/>
      <c r="G484" s="20"/>
      <c r="H484" s="23"/>
      <c r="I484" s="24"/>
      <c r="J484" s="14" t="str">
        <f aca="false">IF(C484="","",-E484*H484*IF(OR(B484="Sell call",B484="Buy to close",B484="Expired",B484="Assigned"),100,1)-I484)</f>
        <v/>
      </c>
      <c r="K484" s="21"/>
      <c r="L484" s="21"/>
      <c r="M484" s="21"/>
      <c r="N484" s="8" t="str">
        <f aca="false">IF(A484="","",IF(COUNTIFS(Reconcile!$I:$I,A484,Reconcile!$H:$H,"&gt;="&amp;(J484-0.01),Reconcile!$H:$H,"&lt;="&amp;(J484+0.01))&gt;0,"Yes","Not yet"))</f>
        <v/>
      </c>
      <c r="O484" s="21"/>
    </row>
    <row r="485" customFormat="false" ht="15" hidden="false" customHeight="false" outlineLevel="0" collapsed="false">
      <c r="A485" s="20"/>
      <c r="B485" s="21"/>
      <c r="C485" s="21"/>
      <c r="D485" s="21"/>
      <c r="E485" s="21"/>
      <c r="F485" s="22"/>
      <c r="G485" s="20"/>
      <c r="H485" s="23"/>
      <c r="I485" s="24"/>
      <c r="J485" s="14" t="str">
        <f aca="false">IF(C485="","",-E485*H485*IF(OR(B485="Sell call",B485="Buy to close",B485="Expired",B485="Assigned"),100,1)-I485)</f>
        <v/>
      </c>
      <c r="K485" s="21"/>
      <c r="L485" s="21"/>
      <c r="M485" s="21"/>
      <c r="N485" s="8" t="str">
        <f aca="false">IF(A485="","",IF(COUNTIFS(Reconcile!$I:$I,A485,Reconcile!$H:$H,"&gt;="&amp;(J485-0.01),Reconcile!$H:$H,"&lt;="&amp;(J485+0.01))&gt;0,"Yes","Not yet"))</f>
        <v/>
      </c>
      <c r="O485" s="21"/>
    </row>
    <row r="486" customFormat="false" ht="15" hidden="false" customHeight="false" outlineLevel="0" collapsed="false">
      <c r="A486" s="20"/>
      <c r="B486" s="21"/>
      <c r="C486" s="21"/>
      <c r="D486" s="21"/>
      <c r="E486" s="21"/>
      <c r="F486" s="22"/>
      <c r="G486" s="20"/>
      <c r="H486" s="23"/>
      <c r="I486" s="24"/>
      <c r="J486" s="14" t="str">
        <f aca="false">IF(C486="","",-E486*H486*IF(OR(B486="Sell call",B486="Buy to close",B486="Expired",B486="Assigned"),100,1)-I486)</f>
        <v/>
      </c>
      <c r="K486" s="21"/>
      <c r="L486" s="21"/>
      <c r="M486" s="21"/>
      <c r="N486" s="8" t="str">
        <f aca="false">IF(A486="","",IF(COUNTIFS(Reconcile!$I:$I,A486,Reconcile!$H:$H,"&gt;="&amp;(J486-0.01),Reconcile!$H:$H,"&lt;="&amp;(J486+0.01))&gt;0,"Yes","Not yet"))</f>
        <v/>
      </c>
      <c r="O486" s="21"/>
    </row>
    <row r="487" customFormat="false" ht="15" hidden="false" customHeight="false" outlineLevel="0" collapsed="false">
      <c r="A487" s="20"/>
      <c r="B487" s="21"/>
      <c r="C487" s="21"/>
      <c r="D487" s="21"/>
      <c r="E487" s="21"/>
      <c r="F487" s="22"/>
      <c r="G487" s="20"/>
      <c r="H487" s="23"/>
      <c r="I487" s="24"/>
      <c r="J487" s="14" t="str">
        <f aca="false">IF(C487="","",-E487*H487*IF(OR(B487="Sell call",B487="Buy to close",B487="Expired",B487="Assigned"),100,1)-I487)</f>
        <v/>
      </c>
      <c r="K487" s="21"/>
      <c r="L487" s="21"/>
      <c r="M487" s="21"/>
      <c r="N487" s="8" t="str">
        <f aca="false">IF(A487="","",IF(COUNTIFS(Reconcile!$I:$I,A487,Reconcile!$H:$H,"&gt;="&amp;(J487-0.01),Reconcile!$H:$H,"&lt;="&amp;(J487+0.01))&gt;0,"Yes","Not yet"))</f>
        <v/>
      </c>
      <c r="O487" s="21"/>
    </row>
    <row r="488" customFormat="false" ht="15" hidden="false" customHeight="false" outlineLevel="0" collapsed="false">
      <c r="A488" s="20"/>
      <c r="B488" s="21"/>
      <c r="C488" s="21"/>
      <c r="D488" s="21"/>
      <c r="E488" s="21"/>
      <c r="F488" s="22"/>
      <c r="G488" s="20"/>
      <c r="H488" s="23"/>
      <c r="I488" s="24"/>
      <c r="J488" s="14" t="str">
        <f aca="false">IF(C488="","",-E488*H488*IF(OR(B488="Sell call",B488="Buy to close",B488="Expired",B488="Assigned"),100,1)-I488)</f>
        <v/>
      </c>
      <c r="K488" s="21"/>
      <c r="L488" s="21"/>
      <c r="M488" s="21"/>
      <c r="N488" s="8" t="str">
        <f aca="false">IF(A488="","",IF(COUNTIFS(Reconcile!$I:$I,A488,Reconcile!$H:$H,"&gt;="&amp;(J488-0.01),Reconcile!$H:$H,"&lt;="&amp;(J488+0.01))&gt;0,"Yes","Not yet"))</f>
        <v/>
      </c>
      <c r="O488" s="21"/>
    </row>
    <row r="489" customFormat="false" ht="15" hidden="false" customHeight="false" outlineLevel="0" collapsed="false">
      <c r="A489" s="20"/>
      <c r="B489" s="21"/>
      <c r="C489" s="21"/>
      <c r="D489" s="21"/>
      <c r="E489" s="21"/>
      <c r="F489" s="22"/>
      <c r="G489" s="20"/>
      <c r="H489" s="23"/>
      <c r="I489" s="24"/>
      <c r="J489" s="14" t="str">
        <f aca="false">IF(C489="","",-E489*H489*IF(OR(B489="Sell call",B489="Buy to close",B489="Expired",B489="Assigned"),100,1)-I489)</f>
        <v/>
      </c>
      <c r="K489" s="21"/>
      <c r="L489" s="21"/>
      <c r="M489" s="21"/>
      <c r="N489" s="8" t="str">
        <f aca="false">IF(A489="","",IF(COUNTIFS(Reconcile!$I:$I,A489,Reconcile!$H:$H,"&gt;="&amp;(J489-0.01),Reconcile!$H:$H,"&lt;="&amp;(J489+0.01))&gt;0,"Yes","Not yet"))</f>
        <v/>
      </c>
      <c r="O489" s="21"/>
    </row>
    <row r="490" customFormat="false" ht="15" hidden="false" customHeight="false" outlineLevel="0" collapsed="false">
      <c r="A490" s="20"/>
      <c r="B490" s="21"/>
      <c r="C490" s="21"/>
      <c r="D490" s="21"/>
      <c r="E490" s="21"/>
      <c r="F490" s="22"/>
      <c r="G490" s="20"/>
      <c r="H490" s="23"/>
      <c r="I490" s="24"/>
      <c r="J490" s="14" t="str">
        <f aca="false">IF(C490="","",-E490*H490*IF(OR(B490="Sell call",B490="Buy to close",B490="Expired",B490="Assigned"),100,1)-I490)</f>
        <v/>
      </c>
      <c r="K490" s="21"/>
      <c r="L490" s="21"/>
      <c r="M490" s="21"/>
      <c r="N490" s="8" t="str">
        <f aca="false">IF(A490="","",IF(COUNTIFS(Reconcile!$I:$I,A490,Reconcile!$H:$H,"&gt;="&amp;(J490-0.01),Reconcile!$H:$H,"&lt;="&amp;(J490+0.01))&gt;0,"Yes","Not yet"))</f>
        <v/>
      </c>
      <c r="O490" s="21"/>
    </row>
    <row r="491" customFormat="false" ht="15" hidden="false" customHeight="false" outlineLevel="0" collapsed="false">
      <c r="A491" s="20"/>
      <c r="B491" s="21"/>
      <c r="C491" s="21"/>
      <c r="D491" s="21"/>
      <c r="E491" s="21"/>
      <c r="F491" s="22"/>
      <c r="G491" s="20"/>
      <c r="H491" s="23"/>
      <c r="I491" s="24"/>
      <c r="J491" s="14" t="str">
        <f aca="false">IF(C491="","",-E491*H491*IF(OR(B491="Sell call",B491="Buy to close",B491="Expired",B491="Assigned"),100,1)-I491)</f>
        <v/>
      </c>
      <c r="K491" s="21"/>
      <c r="L491" s="21"/>
      <c r="M491" s="21"/>
      <c r="N491" s="8" t="str">
        <f aca="false">IF(A491="","",IF(COUNTIFS(Reconcile!$I:$I,A491,Reconcile!$H:$H,"&gt;="&amp;(J491-0.01),Reconcile!$H:$H,"&lt;="&amp;(J491+0.01))&gt;0,"Yes","Not yet"))</f>
        <v/>
      </c>
      <c r="O491" s="21"/>
    </row>
    <row r="492" customFormat="false" ht="15" hidden="false" customHeight="false" outlineLevel="0" collapsed="false">
      <c r="A492" s="20"/>
      <c r="B492" s="21"/>
      <c r="C492" s="21"/>
      <c r="D492" s="21"/>
      <c r="E492" s="21"/>
      <c r="F492" s="22"/>
      <c r="G492" s="20"/>
      <c r="H492" s="23"/>
      <c r="I492" s="24"/>
      <c r="J492" s="14" t="str">
        <f aca="false">IF(C492="","",-E492*H492*IF(OR(B492="Sell call",B492="Buy to close",B492="Expired",B492="Assigned"),100,1)-I492)</f>
        <v/>
      </c>
      <c r="K492" s="21"/>
      <c r="L492" s="21"/>
      <c r="M492" s="21"/>
      <c r="N492" s="8" t="str">
        <f aca="false">IF(A492="","",IF(COUNTIFS(Reconcile!$I:$I,A492,Reconcile!$H:$H,"&gt;="&amp;(J492-0.01),Reconcile!$H:$H,"&lt;="&amp;(J492+0.01))&gt;0,"Yes","Not yet"))</f>
        <v/>
      </c>
      <c r="O492" s="21"/>
    </row>
    <row r="493" customFormat="false" ht="15" hidden="false" customHeight="false" outlineLevel="0" collapsed="false">
      <c r="A493" s="20"/>
      <c r="B493" s="21"/>
      <c r="C493" s="21"/>
      <c r="D493" s="21"/>
      <c r="E493" s="21"/>
      <c r="F493" s="22"/>
      <c r="G493" s="20"/>
      <c r="H493" s="23"/>
      <c r="I493" s="24"/>
      <c r="J493" s="14" t="str">
        <f aca="false">IF(C493="","",-E493*H493*IF(OR(B493="Sell call",B493="Buy to close",B493="Expired",B493="Assigned"),100,1)-I493)</f>
        <v/>
      </c>
      <c r="K493" s="21"/>
      <c r="L493" s="21"/>
      <c r="M493" s="21"/>
      <c r="N493" s="8" t="str">
        <f aca="false">IF(A493="","",IF(COUNTIFS(Reconcile!$I:$I,A493,Reconcile!$H:$H,"&gt;="&amp;(J493-0.01),Reconcile!$H:$H,"&lt;="&amp;(J493+0.01))&gt;0,"Yes","Not yet"))</f>
        <v/>
      </c>
      <c r="O493" s="21"/>
    </row>
    <row r="494" customFormat="false" ht="15" hidden="false" customHeight="false" outlineLevel="0" collapsed="false">
      <c r="A494" s="20"/>
      <c r="B494" s="21"/>
      <c r="C494" s="21"/>
      <c r="D494" s="21"/>
      <c r="E494" s="21"/>
      <c r="F494" s="22"/>
      <c r="G494" s="20"/>
      <c r="H494" s="23"/>
      <c r="I494" s="24"/>
      <c r="J494" s="14" t="str">
        <f aca="false">IF(C494="","",-E494*H494*IF(OR(B494="Sell call",B494="Buy to close",B494="Expired",B494="Assigned"),100,1)-I494)</f>
        <v/>
      </c>
      <c r="K494" s="21"/>
      <c r="L494" s="21"/>
      <c r="M494" s="21"/>
      <c r="N494" s="8" t="str">
        <f aca="false">IF(A494="","",IF(COUNTIFS(Reconcile!$I:$I,A494,Reconcile!$H:$H,"&gt;="&amp;(J494-0.01),Reconcile!$H:$H,"&lt;="&amp;(J494+0.01))&gt;0,"Yes","Not yet"))</f>
        <v/>
      </c>
      <c r="O494" s="21"/>
    </row>
    <row r="495" customFormat="false" ht="15" hidden="false" customHeight="false" outlineLevel="0" collapsed="false">
      <c r="A495" s="20"/>
      <c r="B495" s="21"/>
      <c r="C495" s="21"/>
      <c r="D495" s="21"/>
      <c r="E495" s="21"/>
      <c r="F495" s="22"/>
      <c r="G495" s="20"/>
      <c r="H495" s="23"/>
      <c r="I495" s="24"/>
      <c r="J495" s="14" t="str">
        <f aca="false">IF(C495="","",-E495*H495*IF(OR(B495="Sell call",B495="Buy to close",B495="Expired",B495="Assigned"),100,1)-I495)</f>
        <v/>
      </c>
      <c r="K495" s="21"/>
      <c r="L495" s="21"/>
      <c r="M495" s="21"/>
      <c r="N495" s="8" t="str">
        <f aca="false">IF(A495="","",IF(COUNTIFS(Reconcile!$I:$I,A495,Reconcile!$H:$H,"&gt;="&amp;(J495-0.01),Reconcile!$H:$H,"&lt;="&amp;(J495+0.01))&gt;0,"Yes","Not yet"))</f>
        <v/>
      </c>
      <c r="O495" s="21"/>
    </row>
    <row r="496" customFormat="false" ht="15" hidden="false" customHeight="false" outlineLevel="0" collapsed="false">
      <c r="A496" s="20"/>
      <c r="B496" s="21"/>
      <c r="C496" s="21"/>
      <c r="D496" s="21"/>
      <c r="E496" s="21"/>
      <c r="F496" s="22"/>
      <c r="G496" s="20"/>
      <c r="H496" s="23"/>
      <c r="I496" s="24"/>
      <c r="J496" s="14" t="str">
        <f aca="false">IF(C496="","",-E496*H496*IF(OR(B496="Sell call",B496="Buy to close",B496="Expired",B496="Assigned"),100,1)-I496)</f>
        <v/>
      </c>
      <c r="K496" s="21"/>
      <c r="L496" s="21"/>
      <c r="M496" s="21"/>
      <c r="N496" s="8" t="str">
        <f aca="false">IF(A496="","",IF(COUNTIFS(Reconcile!$I:$I,A496,Reconcile!$H:$H,"&gt;="&amp;(J496-0.01),Reconcile!$H:$H,"&lt;="&amp;(J496+0.01))&gt;0,"Yes","Not yet"))</f>
        <v/>
      </c>
      <c r="O496" s="21"/>
    </row>
    <row r="497" customFormat="false" ht="15" hidden="false" customHeight="false" outlineLevel="0" collapsed="false">
      <c r="A497" s="20"/>
      <c r="B497" s="21"/>
      <c r="C497" s="21"/>
      <c r="D497" s="21"/>
      <c r="E497" s="21"/>
      <c r="F497" s="22"/>
      <c r="G497" s="20"/>
      <c r="H497" s="23"/>
      <c r="I497" s="24"/>
      <c r="J497" s="14" t="str">
        <f aca="false">IF(C497="","",-E497*H497*IF(OR(B497="Sell call",B497="Buy to close",B497="Expired",B497="Assigned"),100,1)-I497)</f>
        <v/>
      </c>
      <c r="K497" s="21"/>
      <c r="L497" s="21"/>
      <c r="M497" s="21"/>
      <c r="N497" s="8" t="str">
        <f aca="false">IF(A497="","",IF(COUNTIFS(Reconcile!$I:$I,A497,Reconcile!$H:$H,"&gt;="&amp;(J497-0.01),Reconcile!$H:$H,"&lt;="&amp;(J497+0.01))&gt;0,"Yes","Not yet"))</f>
        <v/>
      </c>
      <c r="O497" s="21"/>
    </row>
    <row r="498" customFormat="false" ht="15" hidden="false" customHeight="false" outlineLevel="0" collapsed="false">
      <c r="A498" s="20"/>
      <c r="B498" s="21"/>
      <c r="C498" s="21"/>
      <c r="D498" s="21"/>
      <c r="E498" s="21"/>
      <c r="F498" s="22"/>
      <c r="G498" s="20"/>
      <c r="H498" s="23"/>
      <c r="I498" s="24"/>
      <c r="J498" s="14" t="str">
        <f aca="false">IF(C498="","",-E498*H498*IF(OR(B498="Sell call",B498="Buy to close",B498="Expired",B498="Assigned"),100,1)-I498)</f>
        <v/>
      </c>
      <c r="K498" s="21"/>
      <c r="L498" s="21"/>
      <c r="M498" s="21"/>
      <c r="N498" s="8" t="str">
        <f aca="false">IF(A498="","",IF(COUNTIFS(Reconcile!$I:$I,A498,Reconcile!$H:$H,"&gt;="&amp;(J498-0.01),Reconcile!$H:$H,"&lt;="&amp;(J498+0.01))&gt;0,"Yes","Not yet"))</f>
        <v/>
      </c>
      <c r="O498" s="21"/>
    </row>
    <row r="499" customFormat="false" ht="15" hidden="false" customHeight="false" outlineLevel="0" collapsed="false">
      <c r="A499" s="20"/>
      <c r="B499" s="21"/>
      <c r="C499" s="21"/>
      <c r="D499" s="21"/>
      <c r="E499" s="21"/>
      <c r="F499" s="22"/>
      <c r="G499" s="20"/>
      <c r="H499" s="23"/>
      <c r="I499" s="24"/>
      <c r="J499" s="14" t="str">
        <f aca="false">IF(C499="","",-E499*H499*IF(OR(B499="Sell call",B499="Buy to close",B499="Expired",B499="Assigned"),100,1)-I499)</f>
        <v/>
      </c>
      <c r="K499" s="21"/>
      <c r="L499" s="21"/>
      <c r="M499" s="21"/>
      <c r="N499" s="8" t="str">
        <f aca="false">IF(A499="","",IF(COUNTIFS(Reconcile!$I:$I,A499,Reconcile!$H:$H,"&gt;="&amp;(J499-0.01),Reconcile!$H:$H,"&lt;="&amp;(J499+0.01))&gt;0,"Yes","Not yet"))</f>
        <v/>
      </c>
      <c r="O499" s="21"/>
    </row>
    <row r="500" customFormat="false" ht="15" hidden="false" customHeight="false" outlineLevel="0" collapsed="false">
      <c r="A500" s="20"/>
      <c r="B500" s="21"/>
      <c r="C500" s="21"/>
      <c r="D500" s="21"/>
      <c r="E500" s="21"/>
      <c r="F500" s="22"/>
      <c r="G500" s="20"/>
      <c r="H500" s="23"/>
      <c r="I500" s="24"/>
      <c r="J500" s="14" t="str">
        <f aca="false">IF(C500="","",-E500*H500*IF(OR(B500="Sell call",B500="Buy to close",B500="Expired",B500="Assigned"),100,1)-I500)</f>
        <v/>
      </c>
      <c r="K500" s="21"/>
      <c r="L500" s="21"/>
      <c r="M500" s="21"/>
      <c r="N500" s="8" t="str">
        <f aca="false">IF(A500="","",IF(COUNTIFS(Reconcile!$I:$I,A500,Reconcile!$H:$H,"&gt;="&amp;(J500-0.01),Reconcile!$H:$H,"&lt;="&amp;(J500+0.01))&gt;0,"Yes","Not yet"))</f>
        <v/>
      </c>
      <c r="O500" s="21"/>
    </row>
    <row r="501" customFormat="false" ht="15" hidden="false" customHeight="false" outlineLevel="0" collapsed="false">
      <c r="A501" s="20"/>
      <c r="B501" s="21"/>
      <c r="C501" s="21"/>
      <c r="D501" s="21"/>
      <c r="E501" s="21"/>
      <c r="F501" s="22"/>
      <c r="G501" s="20"/>
      <c r="H501" s="23"/>
      <c r="I501" s="24"/>
      <c r="J501" s="14" t="str">
        <f aca="false">IF(C501="","",-E501*H501*IF(OR(B501="Sell call",B501="Buy to close",B501="Expired",B501="Assigned"),100,1)-I501)</f>
        <v/>
      </c>
      <c r="K501" s="21"/>
      <c r="L501" s="21"/>
      <c r="M501" s="21"/>
      <c r="N501" s="8" t="str">
        <f aca="false">IF(A501="","",IF(COUNTIFS(Reconcile!$I:$I,A501,Reconcile!$H:$H,"&gt;="&amp;(J501-0.01),Reconcile!$H:$H,"&lt;="&amp;(J501+0.01))&gt;0,"Yes","Not yet"))</f>
        <v/>
      </c>
      <c r="O501" s="21"/>
    </row>
    <row r="502" customFormat="false" ht="15" hidden="false" customHeight="false" outlineLevel="0" collapsed="false">
      <c r="A502" s="20"/>
      <c r="B502" s="21"/>
      <c r="C502" s="21"/>
      <c r="D502" s="21"/>
      <c r="E502" s="21"/>
      <c r="F502" s="22"/>
      <c r="G502" s="20"/>
      <c r="H502" s="23"/>
      <c r="I502" s="24"/>
      <c r="J502" s="14" t="str">
        <f aca="false">IF(C502="","",-E502*H502*IF(OR(B502="Sell call",B502="Buy to close",B502="Expired",B502="Assigned"),100,1)-I502)</f>
        <v/>
      </c>
      <c r="K502" s="21"/>
      <c r="L502" s="21"/>
      <c r="M502" s="21"/>
      <c r="N502" s="8" t="str">
        <f aca="false">IF(A502="","",IF(COUNTIFS(Reconcile!$I:$I,A502,Reconcile!$H:$H,"&gt;="&amp;(J502-0.01),Reconcile!$H:$H,"&lt;="&amp;(J502+0.01))&gt;0,"Yes","Not yet"))</f>
        <v/>
      </c>
      <c r="O502" s="21"/>
    </row>
    <row r="503" customFormat="false" ht="15" hidden="false" customHeight="false" outlineLevel="0" collapsed="false">
      <c r="A503" s="20"/>
      <c r="B503" s="21"/>
      <c r="C503" s="21"/>
      <c r="D503" s="21"/>
      <c r="E503" s="21"/>
      <c r="F503" s="22"/>
      <c r="G503" s="20"/>
      <c r="H503" s="23"/>
      <c r="I503" s="24"/>
      <c r="J503" s="14" t="str">
        <f aca="false">IF(C503="","",-E503*H503*IF(OR(B503="Sell call",B503="Buy to close",B503="Expired",B503="Assigned"),100,1)-I503)</f>
        <v/>
      </c>
      <c r="K503" s="21"/>
      <c r="L503" s="21"/>
      <c r="M503" s="21"/>
      <c r="N503" s="8" t="str">
        <f aca="false">IF(A503="","",IF(COUNTIFS(Reconcile!$I:$I,A503,Reconcile!$H:$H,"&gt;="&amp;(J503-0.01),Reconcile!$H:$H,"&lt;="&amp;(J503+0.01))&gt;0,"Yes","Not yet"))</f>
        <v/>
      </c>
      <c r="O503" s="21"/>
    </row>
    <row r="504" customFormat="false" ht="15" hidden="false" customHeight="false" outlineLevel="0" collapsed="false">
      <c r="A504" s="20"/>
      <c r="B504" s="21"/>
      <c r="C504" s="21"/>
      <c r="D504" s="21"/>
      <c r="E504" s="21"/>
      <c r="F504" s="22"/>
      <c r="G504" s="20"/>
      <c r="H504" s="23"/>
      <c r="I504" s="24"/>
      <c r="J504" s="14" t="str">
        <f aca="false">IF(C504="","",-E504*H504*IF(OR(B504="Sell call",B504="Buy to close",B504="Expired",B504="Assigned"),100,1)-I504)</f>
        <v/>
      </c>
      <c r="K504" s="21"/>
      <c r="L504" s="21"/>
      <c r="M504" s="21"/>
      <c r="N504" s="8" t="str">
        <f aca="false">IF(A504="","",IF(COUNTIFS(Reconcile!$I:$I,A504,Reconcile!$H:$H,"&gt;="&amp;(J504-0.01),Reconcile!$H:$H,"&lt;="&amp;(J504+0.01))&gt;0,"Yes","Not yet"))</f>
        <v/>
      </c>
      <c r="O504" s="21"/>
    </row>
    <row r="505" customFormat="false" ht="15" hidden="false" customHeight="false" outlineLevel="0" collapsed="false">
      <c r="A505" s="20"/>
      <c r="B505" s="21"/>
      <c r="C505" s="21"/>
      <c r="D505" s="21"/>
      <c r="E505" s="21"/>
      <c r="F505" s="22"/>
      <c r="G505" s="20"/>
      <c r="H505" s="23"/>
      <c r="I505" s="24"/>
      <c r="J505" s="14" t="str">
        <f aca="false">IF(C505="","",-E505*H505*IF(OR(B505="Sell call",B505="Buy to close",B505="Expired",B505="Assigned"),100,1)-I505)</f>
        <v/>
      </c>
      <c r="K505" s="21"/>
      <c r="L505" s="21"/>
      <c r="M505" s="21"/>
      <c r="N505" s="8" t="str">
        <f aca="false">IF(A505="","",IF(COUNTIFS(Reconcile!$I:$I,A505,Reconcile!$H:$H,"&gt;="&amp;(J505-0.01),Reconcile!$H:$H,"&lt;="&amp;(J505+0.01))&gt;0,"Yes","Not yet"))</f>
        <v/>
      </c>
      <c r="O505" s="21"/>
    </row>
    <row r="506" customFormat="false" ht="15" hidden="false" customHeight="false" outlineLevel="0" collapsed="false">
      <c r="A506" s="20"/>
      <c r="B506" s="21"/>
      <c r="C506" s="21"/>
      <c r="D506" s="21"/>
      <c r="E506" s="21"/>
      <c r="F506" s="22"/>
      <c r="G506" s="20"/>
      <c r="H506" s="23"/>
      <c r="I506" s="24"/>
      <c r="J506" s="14" t="str">
        <f aca="false">IF(C506="","",-E506*H506*IF(OR(B506="Sell call",B506="Buy to close",B506="Expired",B506="Assigned"),100,1)-I506)</f>
        <v/>
      </c>
      <c r="K506" s="21"/>
      <c r="L506" s="21"/>
      <c r="M506" s="21"/>
      <c r="N506" s="8" t="str">
        <f aca="false">IF(A506="","",IF(COUNTIFS(Reconcile!$I:$I,A506,Reconcile!$H:$H,"&gt;="&amp;(J506-0.01),Reconcile!$H:$H,"&lt;="&amp;(J506+0.01))&gt;0,"Yes","Not yet"))</f>
        <v/>
      </c>
      <c r="O506" s="21"/>
    </row>
    <row r="507" customFormat="false" ht="15" hidden="false" customHeight="false" outlineLevel="0" collapsed="false">
      <c r="A507" s="20"/>
      <c r="B507" s="21"/>
      <c r="C507" s="21"/>
      <c r="D507" s="21"/>
      <c r="E507" s="21"/>
      <c r="F507" s="22"/>
      <c r="G507" s="20"/>
      <c r="H507" s="23"/>
      <c r="I507" s="24"/>
      <c r="J507" s="14" t="str">
        <f aca="false">IF(C507="","",-E507*H507*IF(OR(B507="Sell call",B507="Buy to close",B507="Expired",B507="Assigned"),100,1)-I507)</f>
        <v/>
      </c>
      <c r="K507" s="21"/>
      <c r="L507" s="21"/>
      <c r="M507" s="21"/>
      <c r="N507" s="8" t="str">
        <f aca="false">IF(A507="","",IF(COUNTIFS(Reconcile!$I:$I,A507,Reconcile!$H:$H,"&gt;="&amp;(J507-0.01),Reconcile!$H:$H,"&lt;="&amp;(J507+0.01))&gt;0,"Yes","Not yet"))</f>
        <v/>
      </c>
      <c r="O507" s="21"/>
    </row>
    <row r="508" customFormat="false" ht="15" hidden="false" customHeight="false" outlineLevel="0" collapsed="false">
      <c r="A508" s="20"/>
      <c r="B508" s="21"/>
      <c r="C508" s="21"/>
      <c r="D508" s="21"/>
      <c r="E508" s="21"/>
      <c r="F508" s="22"/>
      <c r="G508" s="20"/>
      <c r="H508" s="23"/>
      <c r="I508" s="24"/>
      <c r="J508" s="14" t="str">
        <f aca="false">IF(C508="","",-E508*H508*IF(OR(B508="Sell call",B508="Buy to close",B508="Expired",B508="Assigned"),100,1)-I508)</f>
        <v/>
      </c>
      <c r="K508" s="21"/>
      <c r="L508" s="21"/>
      <c r="M508" s="21"/>
      <c r="N508" s="8" t="str">
        <f aca="false">IF(A508="","",IF(COUNTIFS(Reconcile!$I:$I,A508,Reconcile!$H:$H,"&gt;="&amp;(J508-0.01),Reconcile!$H:$H,"&lt;="&amp;(J508+0.01))&gt;0,"Yes","Not yet"))</f>
        <v/>
      </c>
      <c r="O508" s="21"/>
    </row>
    <row r="509" customFormat="false" ht="15" hidden="false" customHeight="false" outlineLevel="0" collapsed="false">
      <c r="A509" s="20"/>
      <c r="B509" s="21"/>
      <c r="C509" s="21"/>
      <c r="D509" s="21"/>
      <c r="E509" s="21"/>
      <c r="F509" s="22"/>
      <c r="G509" s="20"/>
      <c r="H509" s="23"/>
      <c r="I509" s="24"/>
      <c r="J509" s="14" t="str">
        <f aca="false">IF(C509="","",-E509*H509*IF(OR(B509="Sell call",B509="Buy to close",B509="Expired",B509="Assigned"),100,1)-I509)</f>
        <v/>
      </c>
      <c r="K509" s="21"/>
      <c r="L509" s="21"/>
      <c r="M509" s="21"/>
      <c r="N509" s="8" t="str">
        <f aca="false">IF(A509="","",IF(COUNTIFS(Reconcile!$I:$I,A509,Reconcile!$H:$H,"&gt;="&amp;(J509-0.01),Reconcile!$H:$H,"&lt;="&amp;(J509+0.01))&gt;0,"Yes","Not yet"))</f>
        <v/>
      </c>
      <c r="O509" s="21"/>
    </row>
    <row r="510" customFormat="false" ht="15" hidden="false" customHeight="false" outlineLevel="0" collapsed="false">
      <c r="A510" s="20"/>
      <c r="B510" s="21"/>
      <c r="C510" s="21"/>
      <c r="D510" s="21"/>
      <c r="E510" s="21"/>
      <c r="F510" s="22"/>
      <c r="G510" s="20"/>
      <c r="H510" s="23"/>
      <c r="I510" s="24"/>
      <c r="J510" s="14" t="str">
        <f aca="false">IF(C510="","",-E510*H510*IF(OR(B510="Sell call",B510="Buy to close",B510="Expired",B510="Assigned"),100,1)-I510)</f>
        <v/>
      </c>
      <c r="K510" s="21"/>
      <c r="L510" s="21"/>
      <c r="M510" s="21"/>
      <c r="N510" s="8" t="str">
        <f aca="false">IF(A510="","",IF(COUNTIFS(Reconcile!$I:$I,A510,Reconcile!$H:$H,"&gt;="&amp;(J510-0.01),Reconcile!$H:$H,"&lt;="&amp;(J510+0.01))&gt;0,"Yes","Not yet"))</f>
        <v/>
      </c>
      <c r="O510" s="21"/>
    </row>
    <row r="511" customFormat="false" ht="15" hidden="false" customHeight="false" outlineLevel="0" collapsed="false">
      <c r="A511" s="20"/>
      <c r="B511" s="21"/>
      <c r="C511" s="21"/>
      <c r="D511" s="21"/>
      <c r="E511" s="21"/>
      <c r="F511" s="22"/>
      <c r="G511" s="20"/>
      <c r="H511" s="23"/>
      <c r="I511" s="24"/>
      <c r="J511" s="14" t="str">
        <f aca="false">IF(C511="","",-E511*H511*IF(OR(B511="Sell call",B511="Buy to close",B511="Expired",B511="Assigned"),100,1)-I511)</f>
        <v/>
      </c>
      <c r="K511" s="21"/>
      <c r="L511" s="21"/>
      <c r="M511" s="21"/>
      <c r="N511" s="8" t="str">
        <f aca="false">IF(A511="","",IF(COUNTIFS(Reconcile!$I:$I,A511,Reconcile!$H:$H,"&gt;="&amp;(J511-0.01),Reconcile!$H:$H,"&lt;="&amp;(J511+0.01))&gt;0,"Yes","Not yet"))</f>
        <v/>
      </c>
      <c r="O511" s="21"/>
    </row>
    <row r="512" customFormat="false" ht="15" hidden="false" customHeight="false" outlineLevel="0" collapsed="false">
      <c r="A512" s="20"/>
      <c r="B512" s="21"/>
      <c r="C512" s="21"/>
      <c r="D512" s="21"/>
      <c r="E512" s="21"/>
      <c r="F512" s="22"/>
      <c r="G512" s="20"/>
      <c r="H512" s="23"/>
      <c r="I512" s="24"/>
      <c r="J512" s="14" t="str">
        <f aca="false">IF(C512="","",-E512*H512*IF(OR(B512="Sell call",B512="Buy to close",B512="Expired",B512="Assigned"),100,1)-I512)</f>
        <v/>
      </c>
      <c r="K512" s="21"/>
      <c r="L512" s="21"/>
      <c r="M512" s="21"/>
      <c r="N512" s="8" t="str">
        <f aca="false">IF(A512="","",IF(COUNTIFS(Reconcile!$I:$I,A512,Reconcile!$H:$H,"&gt;="&amp;(J512-0.01),Reconcile!$H:$H,"&lt;="&amp;(J512+0.01))&gt;0,"Yes","Not yet"))</f>
        <v/>
      </c>
      <c r="O512" s="21"/>
    </row>
    <row r="513" customFormat="false" ht="15" hidden="false" customHeight="false" outlineLevel="0" collapsed="false">
      <c r="A513" s="20"/>
      <c r="B513" s="21"/>
      <c r="C513" s="21"/>
      <c r="D513" s="21"/>
      <c r="E513" s="21"/>
      <c r="F513" s="22"/>
      <c r="G513" s="20"/>
      <c r="H513" s="23"/>
      <c r="I513" s="24"/>
      <c r="J513" s="14" t="str">
        <f aca="false">IF(C513="","",-E513*H513*IF(OR(B513="Sell call",B513="Buy to close",B513="Expired",B513="Assigned"),100,1)-I513)</f>
        <v/>
      </c>
      <c r="K513" s="21"/>
      <c r="L513" s="21"/>
      <c r="M513" s="21"/>
      <c r="N513" s="8" t="str">
        <f aca="false">IF(A513="","",IF(COUNTIFS(Reconcile!$I:$I,A513,Reconcile!$H:$H,"&gt;="&amp;(J513-0.01),Reconcile!$H:$H,"&lt;="&amp;(J513+0.01))&gt;0,"Yes","Not yet"))</f>
        <v/>
      </c>
      <c r="O513" s="21"/>
    </row>
    <row r="514" customFormat="false" ht="15" hidden="false" customHeight="false" outlineLevel="0" collapsed="false">
      <c r="A514" s="20"/>
      <c r="B514" s="21"/>
      <c r="C514" s="21"/>
      <c r="D514" s="21"/>
      <c r="E514" s="21"/>
      <c r="F514" s="22"/>
      <c r="G514" s="20"/>
      <c r="H514" s="23"/>
      <c r="I514" s="24"/>
      <c r="J514" s="14" t="str">
        <f aca="false">IF(C514="","",-E514*H514*IF(OR(B514="Sell call",B514="Buy to close",B514="Expired",B514="Assigned"),100,1)-I514)</f>
        <v/>
      </c>
      <c r="K514" s="21"/>
      <c r="L514" s="21"/>
      <c r="M514" s="21"/>
      <c r="N514" s="8" t="str">
        <f aca="false">IF(A514="","",IF(COUNTIFS(Reconcile!$I:$I,A514,Reconcile!$H:$H,"&gt;="&amp;(J514-0.01),Reconcile!$H:$H,"&lt;="&amp;(J514+0.01))&gt;0,"Yes","Not yet"))</f>
        <v/>
      </c>
      <c r="O514" s="21"/>
    </row>
    <row r="515" customFormat="false" ht="15" hidden="false" customHeight="false" outlineLevel="0" collapsed="false">
      <c r="A515" s="20"/>
      <c r="B515" s="21"/>
      <c r="C515" s="21"/>
      <c r="D515" s="21"/>
      <c r="E515" s="21"/>
      <c r="F515" s="22"/>
      <c r="G515" s="20"/>
      <c r="H515" s="23"/>
      <c r="I515" s="24"/>
      <c r="J515" s="14" t="str">
        <f aca="false">IF(C515="","",-E515*H515*IF(OR(B515="Sell call",B515="Buy to close",B515="Expired",B515="Assigned"),100,1)-I515)</f>
        <v/>
      </c>
      <c r="K515" s="21"/>
      <c r="L515" s="21"/>
      <c r="M515" s="21"/>
      <c r="N515" s="8" t="str">
        <f aca="false">IF(A515="","",IF(COUNTIFS(Reconcile!$I:$I,A515,Reconcile!$H:$H,"&gt;="&amp;(J515-0.01),Reconcile!$H:$H,"&lt;="&amp;(J515+0.01))&gt;0,"Yes","Not yet"))</f>
        <v/>
      </c>
      <c r="O515" s="21"/>
    </row>
    <row r="516" customFormat="false" ht="15" hidden="false" customHeight="false" outlineLevel="0" collapsed="false">
      <c r="A516" s="20"/>
      <c r="B516" s="21"/>
      <c r="C516" s="21"/>
      <c r="D516" s="21"/>
      <c r="E516" s="21"/>
      <c r="F516" s="22"/>
      <c r="G516" s="20"/>
      <c r="H516" s="23"/>
      <c r="I516" s="24"/>
      <c r="J516" s="14" t="str">
        <f aca="false">IF(C516="","",-E516*H516*IF(OR(B516="Sell call",B516="Buy to close",B516="Expired",B516="Assigned"),100,1)-I516)</f>
        <v/>
      </c>
      <c r="K516" s="21"/>
      <c r="L516" s="21"/>
      <c r="M516" s="21"/>
      <c r="N516" s="8" t="str">
        <f aca="false">IF(A516="","",IF(COUNTIFS(Reconcile!$I:$I,A516,Reconcile!$H:$H,"&gt;="&amp;(J516-0.01),Reconcile!$H:$H,"&lt;="&amp;(J516+0.01))&gt;0,"Yes","Not yet"))</f>
        <v/>
      </c>
      <c r="O516" s="21"/>
    </row>
    <row r="517" customFormat="false" ht="15" hidden="false" customHeight="false" outlineLevel="0" collapsed="false">
      <c r="A517" s="20"/>
      <c r="B517" s="21"/>
      <c r="C517" s="21"/>
      <c r="D517" s="21"/>
      <c r="E517" s="21"/>
      <c r="F517" s="22"/>
      <c r="G517" s="20"/>
      <c r="H517" s="23"/>
      <c r="I517" s="24"/>
      <c r="J517" s="14" t="str">
        <f aca="false">IF(C517="","",-E517*H517*IF(OR(B517="Sell call",B517="Buy to close",B517="Expired",B517="Assigned"),100,1)-I517)</f>
        <v/>
      </c>
      <c r="K517" s="21"/>
      <c r="L517" s="21"/>
      <c r="M517" s="21"/>
      <c r="N517" s="8" t="str">
        <f aca="false">IF(A517="","",IF(COUNTIFS(Reconcile!$I:$I,A517,Reconcile!$H:$H,"&gt;="&amp;(J517-0.01),Reconcile!$H:$H,"&lt;="&amp;(J517+0.01))&gt;0,"Yes","Not yet"))</f>
        <v/>
      </c>
      <c r="O517" s="21"/>
    </row>
    <row r="518" customFormat="false" ht="15" hidden="false" customHeight="false" outlineLevel="0" collapsed="false">
      <c r="A518" s="20"/>
      <c r="B518" s="21"/>
      <c r="C518" s="21"/>
      <c r="D518" s="21"/>
      <c r="E518" s="21"/>
      <c r="F518" s="22"/>
      <c r="G518" s="20"/>
      <c r="H518" s="23"/>
      <c r="I518" s="24"/>
      <c r="J518" s="14" t="str">
        <f aca="false">IF(C518="","",-E518*H518*IF(OR(B518="Sell call",B518="Buy to close",B518="Expired",B518="Assigned"),100,1)-I518)</f>
        <v/>
      </c>
      <c r="K518" s="21"/>
      <c r="L518" s="21"/>
      <c r="M518" s="21"/>
      <c r="N518" s="8" t="str">
        <f aca="false">IF(A518="","",IF(COUNTIFS(Reconcile!$I:$I,A518,Reconcile!$H:$H,"&gt;="&amp;(J518-0.01),Reconcile!$H:$H,"&lt;="&amp;(J518+0.01))&gt;0,"Yes","Not yet"))</f>
        <v/>
      </c>
      <c r="O518" s="21"/>
    </row>
    <row r="519" customFormat="false" ht="15" hidden="false" customHeight="false" outlineLevel="0" collapsed="false">
      <c r="A519" s="20"/>
      <c r="B519" s="21"/>
      <c r="C519" s="21"/>
      <c r="D519" s="21"/>
      <c r="E519" s="21"/>
      <c r="F519" s="22"/>
      <c r="G519" s="20"/>
      <c r="H519" s="23"/>
      <c r="I519" s="24"/>
      <c r="J519" s="14" t="str">
        <f aca="false">IF(C519="","",-E519*H519*IF(OR(B519="Sell call",B519="Buy to close",B519="Expired",B519="Assigned"),100,1)-I519)</f>
        <v/>
      </c>
      <c r="K519" s="21"/>
      <c r="L519" s="21"/>
      <c r="M519" s="21"/>
      <c r="N519" s="8" t="str">
        <f aca="false">IF(A519="","",IF(COUNTIFS(Reconcile!$I:$I,A519,Reconcile!$H:$H,"&gt;="&amp;(J519-0.01),Reconcile!$H:$H,"&lt;="&amp;(J519+0.01))&gt;0,"Yes","Not yet"))</f>
        <v/>
      </c>
      <c r="O519" s="21"/>
    </row>
    <row r="520" customFormat="false" ht="15" hidden="false" customHeight="false" outlineLevel="0" collapsed="false">
      <c r="A520" s="20"/>
      <c r="B520" s="21"/>
      <c r="C520" s="21"/>
      <c r="D520" s="21"/>
      <c r="E520" s="21"/>
      <c r="F520" s="22"/>
      <c r="G520" s="20"/>
      <c r="H520" s="23"/>
      <c r="I520" s="24"/>
      <c r="J520" s="14" t="str">
        <f aca="false">IF(C520="","",-E520*H520*IF(OR(B520="Sell call",B520="Buy to close",B520="Expired",B520="Assigned"),100,1)-I520)</f>
        <v/>
      </c>
      <c r="K520" s="21"/>
      <c r="L520" s="21"/>
      <c r="M520" s="21"/>
      <c r="N520" s="8" t="str">
        <f aca="false">IF(A520="","",IF(COUNTIFS(Reconcile!$I:$I,A520,Reconcile!$H:$H,"&gt;="&amp;(J520-0.01),Reconcile!$H:$H,"&lt;="&amp;(J520+0.01))&gt;0,"Yes","Not yet"))</f>
        <v/>
      </c>
      <c r="O520" s="21"/>
    </row>
    <row r="521" customFormat="false" ht="15" hidden="false" customHeight="false" outlineLevel="0" collapsed="false">
      <c r="A521" s="20"/>
      <c r="B521" s="21"/>
      <c r="C521" s="21"/>
      <c r="D521" s="21"/>
      <c r="E521" s="21"/>
      <c r="F521" s="22"/>
      <c r="G521" s="20"/>
      <c r="H521" s="23"/>
      <c r="I521" s="24"/>
      <c r="J521" s="14" t="str">
        <f aca="false">IF(C521="","",-E521*H521*IF(OR(B521="Sell call",B521="Buy to close",B521="Expired",B521="Assigned"),100,1)-I521)</f>
        <v/>
      </c>
      <c r="K521" s="21"/>
      <c r="L521" s="21"/>
      <c r="M521" s="21"/>
      <c r="N521" s="8" t="str">
        <f aca="false">IF(A521="","",IF(COUNTIFS(Reconcile!$I:$I,A521,Reconcile!$H:$H,"&gt;="&amp;(J521-0.01),Reconcile!$H:$H,"&lt;="&amp;(J521+0.01))&gt;0,"Yes","Not yet"))</f>
        <v/>
      </c>
      <c r="O521" s="21"/>
    </row>
    <row r="522" customFormat="false" ht="15" hidden="false" customHeight="false" outlineLevel="0" collapsed="false">
      <c r="A522" s="20"/>
      <c r="B522" s="21"/>
      <c r="C522" s="21"/>
      <c r="D522" s="21"/>
      <c r="E522" s="21"/>
      <c r="F522" s="22"/>
      <c r="G522" s="20"/>
      <c r="H522" s="23"/>
      <c r="I522" s="24"/>
      <c r="J522" s="14" t="str">
        <f aca="false">IF(C522="","",-E522*H522*IF(OR(B522="Sell call",B522="Buy to close",B522="Expired",B522="Assigned"),100,1)-I522)</f>
        <v/>
      </c>
      <c r="K522" s="21"/>
      <c r="L522" s="21"/>
      <c r="M522" s="21"/>
      <c r="N522" s="8" t="str">
        <f aca="false">IF(A522="","",IF(COUNTIFS(Reconcile!$I:$I,A522,Reconcile!$H:$H,"&gt;="&amp;(J522-0.01),Reconcile!$H:$H,"&lt;="&amp;(J522+0.01))&gt;0,"Yes","Not yet"))</f>
        <v/>
      </c>
      <c r="O522" s="21"/>
    </row>
    <row r="523" customFormat="false" ht="15" hidden="false" customHeight="false" outlineLevel="0" collapsed="false">
      <c r="A523" s="20"/>
      <c r="B523" s="21"/>
      <c r="C523" s="21"/>
      <c r="D523" s="21"/>
      <c r="E523" s="21"/>
      <c r="F523" s="22"/>
      <c r="G523" s="20"/>
      <c r="H523" s="23"/>
      <c r="I523" s="24"/>
      <c r="J523" s="14" t="str">
        <f aca="false">IF(C523="","",-E523*H523*IF(OR(B523="Sell call",B523="Buy to close",B523="Expired",B523="Assigned"),100,1)-I523)</f>
        <v/>
      </c>
      <c r="K523" s="21"/>
      <c r="L523" s="21"/>
      <c r="M523" s="21"/>
      <c r="N523" s="8" t="str">
        <f aca="false">IF(A523="","",IF(COUNTIFS(Reconcile!$I:$I,A523,Reconcile!$H:$H,"&gt;="&amp;(J523-0.01),Reconcile!$H:$H,"&lt;="&amp;(J523+0.01))&gt;0,"Yes","Not yet"))</f>
        <v/>
      </c>
      <c r="O523" s="21"/>
    </row>
    <row r="524" customFormat="false" ht="15" hidden="false" customHeight="false" outlineLevel="0" collapsed="false">
      <c r="A524" s="20"/>
      <c r="B524" s="21"/>
      <c r="C524" s="21"/>
      <c r="D524" s="21"/>
      <c r="E524" s="21"/>
      <c r="F524" s="22"/>
      <c r="G524" s="20"/>
      <c r="H524" s="23"/>
      <c r="I524" s="24"/>
      <c r="J524" s="14" t="str">
        <f aca="false">IF(C524="","",-E524*H524*IF(OR(B524="Sell call",B524="Buy to close",B524="Expired",B524="Assigned"),100,1)-I524)</f>
        <v/>
      </c>
      <c r="K524" s="21"/>
      <c r="L524" s="21"/>
      <c r="M524" s="21"/>
      <c r="N524" s="8" t="str">
        <f aca="false">IF(A524="","",IF(COUNTIFS(Reconcile!$I:$I,A524,Reconcile!$H:$H,"&gt;="&amp;(J524-0.01),Reconcile!$H:$H,"&lt;="&amp;(J524+0.01))&gt;0,"Yes","Not yet"))</f>
        <v/>
      </c>
      <c r="O524" s="21"/>
    </row>
    <row r="525" customFormat="false" ht="15" hidden="false" customHeight="false" outlineLevel="0" collapsed="false">
      <c r="A525" s="20"/>
      <c r="B525" s="21"/>
      <c r="C525" s="21"/>
      <c r="D525" s="21"/>
      <c r="E525" s="21"/>
      <c r="F525" s="22"/>
      <c r="G525" s="20"/>
      <c r="H525" s="23"/>
      <c r="I525" s="24"/>
      <c r="J525" s="14" t="str">
        <f aca="false">IF(C525="","",-E525*H525*IF(OR(B525="Sell call",B525="Buy to close",B525="Expired",B525="Assigned"),100,1)-I525)</f>
        <v/>
      </c>
      <c r="K525" s="21"/>
      <c r="L525" s="21"/>
      <c r="M525" s="21"/>
      <c r="N525" s="8" t="str">
        <f aca="false">IF(A525="","",IF(COUNTIFS(Reconcile!$I:$I,A525,Reconcile!$H:$H,"&gt;="&amp;(J525-0.01),Reconcile!$H:$H,"&lt;="&amp;(J525+0.01))&gt;0,"Yes","Not yet"))</f>
        <v/>
      </c>
      <c r="O525" s="21"/>
    </row>
    <row r="526" customFormat="false" ht="15" hidden="false" customHeight="false" outlineLevel="0" collapsed="false">
      <c r="A526" s="20"/>
      <c r="B526" s="21"/>
      <c r="C526" s="21"/>
      <c r="D526" s="21"/>
      <c r="E526" s="21"/>
      <c r="F526" s="22"/>
      <c r="G526" s="20"/>
      <c r="H526" s="23"/>
      <c r="I526" s="24"/>
      <c r="J526" s="14" t="str">
        <f aca="false">IF(C526="","",-E526*H526*IF(OR(B526="Sell call",B526="Buy to close",B526="Expired",B526="Assigned"),100,1)-I526)</f>
        <v/>
      </c>
      <c r="K526" s="21"/>
      <c r="L526" s="21"/>
      <c r="M526" s="21"/>
      <c r="N526" s="8" t="str">
        <f aca="false">IF(A526="","",IF(COUNTIFS(Reconcile!$I:$I,A526,Reconcile!$H:$H,"&gt;="&amp;(J526-0.01),Reconcile!$H:$H,"&lt;="&amp;(J526+0.01))&gt;0,"Yes","Not yet"))</f>
        <v/>
      </c>
      <c r="O526" s="21"/>
    </row>
    <row r="527" customFormat="false" ht="15" hidden="false" customHeight="false" outlineLevel="0" collapsed="false">
      <c r="A527" s="20"/>
      <c r="B527" s="21"/>
      <c r="C527" s="21"/>
      <c r="D527" s="21"/>
      <c r="E527" s="21"/>
      <c r="F527" s="22"/>
      <c r="G527" s="20"/>
      <c r="H527" s="23"/>
      <c r="I527" s="24"/>
      <c r="J527" s="14" t="str">
        <f aca="false">IF(C527="","",-E527*H527*IF(OR(B527="Sell call",B527="Buy to close",B527="Expired",B527="Assigned"),100,1)-I527)</f>
        <v/>
      </c>
      <c r="K527" s="21"/>
      <c r="L527" s="21"/>
      <c r="M527" s="21"/>
      <c r="N527" s="8" t="str">
        <f aca="false">IF(A527="","",IF(COUNTIFS(Reconcile!$I:$I,A527,Reconcile!$H:$H,"&gt;="&amp;(J527-0.01),Reconcile!$H:$H,"&lt;="&amp;(J527+0.01))&gt;0,"Yes","Not yet"))</f>
        <v/>
      </c>
      <c r="O527" s="21"/>
    </row>
    <row r="528" customFormat="false" ht="15" hidden="false" customHeight="false" outlineLevel="0" collapsed="false">
      <c r="A528" s="20"/>
      <c r="B528" s="21"/>
      <c r="C528" s="21"/>
      <c r="D528" s="21"/>
      <c r="E528" s="21"/>
      <c r="F528" s="22"/>
      <c r="G528" s="20"/>
      <c r="H528" s="23"/>
      <c r="I528" s="24"/>
      <c r="J528" s="14" t="str">
        <f aca="false">IF(C528="","",-E528*H528*IF(OR(B528="Sell call",B528="Buy to close",B528="Expired",B528="Assigned"),100,1)-I528)</f>
        <v/>
      </c>
      <c r="K528" s="21"/>
      <c r="L528" s="21"/>
      <c r="M528" s="21"/>
      <c r="N528" s="8" t="str">
        <f aca="false">IF(A528="","",IF(COUNTIFS(Reconcile!$I:$I,A528,Reconcile!$H:$H,"&gt;="&amp;(J528-0.01),Reconcile!$H:$H,"&lt;="&amp;(J528+0.01))&gt;0,"Yes","Not yet"))</f>
        <v/>
      </c>
      <c r="O528" s="21"/>
    </row>
    <row r="529" customFormat="false" ht="15" hidden="false" customHeight="false" outlineLevel="0" collapsed="false">
      <c r="A529" s="20"/>
      <c r="B529" s="21"/>
      <c r="C529" s="21"/>
      <c r="D529" s="21"/>
      <c r="E529" s="21"/>
      <c r="F529" s="22"/>
      <c r="G529" s="20"/>
      <c r="H529" s="23"/>
      <c r="I529" s="24"/>
      <c r="J529" s="14" t="str">
        <f aca="false">IF(C529="","",-E529*H529*IF(OR(B529="Sell call",B529="Buy to close",B529="Expired",B529="Assigned"),100,1)-I529)</f>
        <v/>
      </c>
      <c r="K529" s="21"/>
      <c r="L529" s="21"/>
      <c r="M529" s="21"/>
      <c r="N529" s="8" t="str">
        <f aca="false">IF(A529="","",IF(COUNTIFS(Reconcile!$I:$I,A529,Reconcile!$H:$H,"&gt;="&amp;(J529-0.01),Reconcile!$H:$H,"&lt;="&amp;(J529+0.01))&gt;0,"Yes","Not yet"))</f>
        <v/>
      </c>
      <c r="O529" s="21"/>
    </row>
    <row r="530" customFormat="false" ht="15" hidden="false" customHeight="false" outlineLevel="0" collapsed="false">
      <c r="A530" s="20"/>
      <c r="B530" s="21"/>
      <c r="C530" s="21"/>
      <c r="D530" s="21"/>
      <c r="E530" s="21"/>
      <c r="F530" s="22"/>
      <c r="G530" s="20"/>
      <c r="H530" s="23"/>
      <c r="I530" s="24"/>
      <c r="J530" s="14" t="str">
        <f aca="false">IF(C530="","",-E530*H530*IF(OR(B530="Sell call",B530="Buy to close",B530="Expired",B530="Assigned"),100,1)-I530)</f>
        <v/>
      </c>
      <c r="K530" s="21"/>
      <c r="L530" s="21"/>
      <c r="M530" s="21"/>
      <c r="N530" s="8" t="str">
        <f aca="false">IF(A530="","",IF(COUNTIFS(Reconcile!$I:$I,A530,Reconcile!$H:$H,"&gt;="&amp;(J530-0.01),Reconcile!$H:$H,"&lt;="&amp;(J530+0.01))&gt;0,"Yes","Not yet"))</f>
        <v/>
      </c>
      <c r="O530" s="21"/>
    </row>
    <row r="531" customFormat="false" ht="15" hidden="false" customHeight="false" outlineLevel="0" collapsed="false">
      <c r="A531" s="20"/>
      <c r="B531" s="21"/>
      <c r="C531" s="21"/>
      <c r="D531" s="21"/>
      <c r="E531" s="21"/>
      <c r="F531" s="22"/>
      <c r="G531" s="20"/>
      <c r="H531" s="23"/>
      <c r="I531" s="24"/>
      <c r="J531" s="14" t="str">
        <f aca="false">IF(C531="","",-E531*H531*IF(OR(B531="Sell call",B531="Buy to close",B531="Expired",B531="Assigned"),100,1)-I531)</f>
        <v/>
      </c>
      <c r="K531" s="21"/>
      <c r="L531" s="21"/>
      <c r="M531" s="21"/>
      <c r="N531" s="8" t="str">
        <f aca="false">IF(A531="","",IF(COUNTIFS(Reconcile!$I:$I,A531,Reconcile!$H:$H,"&gt;="&amp;(J531-0.01),Reconcile!$H:$H,"&lt;="&amp;(J531+0.01))&gt;0,"Yes","Not yet"))</f>
        <v/>
      </c>
      <c r="O531" s="21"/>
    </row>
    <row r="532" customFormat="false" ht="15" hidden="false" customHeight="false" outlineLevel="0" collapsed="false">
      <c r="A532" s="20"/>
      <c r="B532" s="21"/>
      <c r="C532" s="21"/>
      <c r="D532" s="21"/>
      <c r="E532" s="21"/>
      <c r="F532" s="22"/>
      <c r="G532" s="20"/>
      <c r="H532" s="23"/>
      <c r="I532" s="24"/>
      <c r="J532" s="14" t="str">
        <f aca="false">IF(C532="","",-E532*H532*IF(OR(B532="Sell call",B532="Buy to close",B532="Expired",B532="Assigned"),100,1)-I532)</f>
        <v/>
      </c>
      <c r="K532" s="21"/>
      <c r="L532" s="21"/>
      <c r="M532" s="21"/>
      <c r="N532" s="8" t="str">
        <f aca="false">IF(A532="","",IF(COUNTIFS(Reconcile!$I:$I,A532,Reconcile!$H:$H,"&gt;="&amp;(J532-0.01),Reconcile!$H:$H,"&lt;="&amp;(J532+0.01))&gt;0,"Yes","Not yet"))</f>
        <v/>
      </c>
      <c r="O532" s="21"/>
    </row>
    <row r="533" customFormat="false" ht="15" hidden="false" customHeight="false" outlineLevel="0" collapsed="false">
      <c r="A533" s="20"/>
      <c r="B533" s="21"/>
      <c r="C533" s="21"/>
      <c r="D533" s="21"/>
      <c r="E533" s="21"/>
      <c r="F533" s="22"/>
      <c r="G533" s="20"/>
      <c r="H533" s="23"/>
      <c r="I533" s="24"/>
      <c r="J533" s="14" t="str">
        <f aca="false">IF(C533="","",-E533*H533*IF(OR(B533="Sell call",B533="Buy to close",B533="Expired",B533="Assigned"),100,1)-I533)</f>
        <v/>
      </c>
      <c r="K533" s="21"/>
      <c r="L533" s="21"/>
      <c r="M533" s="21"/>
      <c r="N533" s="8" t="str">
        <f aca="false">IF(A533="","",IF(COUNTIFS(Reconcile!$I:$I,A533,Reconcile!$H:$H,"&gt;="&amp;(J533-0.01),Reconcile!$H:$H,"&lt;="&amp;(J533+0.01))&gt;0,"Yes","Not yet"))</f>
        <v/>
      </c>
      <c r="O533" s="21"/>
    </row>
    <row r="534" customFormat="false" ht="15" hidden="false" customHeight="false" outlineLevel="0" collapsed="false">
      <c r="A534" s="20"/>
      <c r="B534" s="21"/>
      <c r="C534" s="21"/>
      <c r="D534" s="21"/>
      <c r="E534" s="21"/>
      <c r="F534" s="22"/>
      <c r="G534" s="20"/>
      <c r="H534" s="23"/>
      <c r="I534" s="24"/>
      <c r="J534" s="14" t="str">
        <f aca="false">IF(C534="","",-E534*H534*IF(OR(B534="Sell call",B534="Buy to close",B534="Expired",B534="Assigned"),100,1)-I534)</f>
        <v/>
      </c>
      <c r="K534" s="21"/>
      <c r="L534" s="21"/>
      <c r="M534" s="21"/>
      <c r="N534" s="8" t="str">
        <f aca="false">IF(A534="","",IF(COUNTIFS(Reconcile!$I:$I,A534,Reconcile!$H:$H,"&gt;="&amp;(J534-0.01),Reconcile!$H:$H,"&lt;="&amp;(J534+0.01))&gt;0,"Yes","Not yet"))</f>
        <v/>
      </c>
      <c r="O534" s="21"/>
    </row>
    <row r="535" customFormat="false" ht="15" hidden="false" customHeight="false" outlineLevel="0" collapsed="false">
      <c r="A535" s="20"/>
      <c r="B535" s="21"/>
      <c r="C535" s="21"/>
      <c r="D535" s="21"/>
      <c r="E535" s="21"/>
      <c r="F535" s="22"/>
      <c r="G535" s="20"/>
      <c r="H535" s="23"/>
      <c r="I535" s="24"/>
      <c r="J535" s="14" t="str">
        <f aca="false">IF(C535="","",-E535*H535*IF(OR(B535="Sell call",B535="Buy to close",B535="Expired",B535="Assigned"),100,1)-I535)</f>
        <v/>
      </c>
      <c r="K535" s="21"/>
      <c r="L535" s="21"/>
      <c r="M535" s="21"/>
      <c r="N535" s="8" t="str">
        <f aca="false">IF(A535="","",IF(COUNTIFS(Reconcile!$I:$I,A535,Reconcile!$H:$H,"&gt;="&amp;(J535-0.01),Reconcile!$H:$H,"&lt;="&amp;(J535+0.01))&gt;0,"Yes","Not yet"))</f>
        <v/>
      </c>
      <c r="O535" s="21"/>
    </row>
    <row r="536" customFormat="false" ht="15" hidden="false" customHeight="false" outlineLevel="0" collapsed="false">
      <c r="A536" s="20"/>
      <c r="B536" s="21"/>
      <c r="C536" s="21"/>
      <c r="D536" s="21"/>
      <c r="E536" s="21"/>
      <c r="F536" s="22"/>
      <c r="G536" s="20"/>
      <c r="H536" s="23"/>
      <c r="I536" s="24"/>
      <c r="J536" s="14" t="str">
        <f aca="false">IF(C536="","",-E536*H536*IF(OR(B536="Sell call",B536="Buy to close",B536="Expired",B536="Assigned"),100,1)-I536)</f>
        <v/>
      </c>
      <c r="K536" s="21"/>
      <c r="L536" s="21"/>
      <c r="M536" s="21"/>
      <c r="N536" s="8" t="str">
        <f aca="false">IF(A536="","",IF(COUNTIFS(Reconcile!$I:$I,A536,Reconcile!$H:$H,"&gt;="&amp;(J536-0.01),Reconcile!$H:$H,"&lt;="&amp;(J536+0.01))&gt;0,"Yes","Not yet"))</f>
        <v/>
      </c>
      <c r="O536" s="21"/>
    </row>
    <row r="537" customFormat="false" ht="15" hidden="false" customHeight="false" outlineLevel="0" collapsed="false">
      <c r="A537" s="20"/>
      <c r="B537" s="21"/>
      <c r="C537" s="21"/>
      <c r="D537" s="21"/>
      <c r="E537" s="21"/>
      <c r="F537" s="22"/>
      <c r="G537" s="20"/>
      <c r="H537" s="23"/>
      <c r="I537" s="24"/>
      <c r="J537" s="14" t="str">
        <f aca="false">IF(C537="","",-E537*H537*IF(OR(B537="Sell call",B537="Buy to close",B537="Expired",B537="Assigned"),100,1)-I537)</f>
        <v/>
      </c>
      <c r="K537" s="21"/>
      <c r="L537" s="21"/>
      <c r="M537" s="21"/>
      <c r="N537" s="8" t="str">
        <f aca="false">IF(A537="","",IF(COUNTIFS(Reconcile!$I:$I,A537,Reconcile!$H:$H,"&gt;="&amp;(J537-0.01),Reconcile!$H:$H,"&lt;="&amp;(J537+0.01))&gt;0,"Yes","Not yet"))</f>
        <v/>
      </c>
      <c r="O537" s="21"/>
    </row>
    <row r="538" customFormat="false" ht="15" hidden="false" customHeight="false" outlineLevel="0" collapsed="false">
      <c r="A538" s="20"/>
      <c r="B538" s="21"/>
      <c r="C538" s="21"/>
      <c r="D538" s="21"/>
      <c r="E538" s="21"/>
      <c r="F538" s="22"/>
      <c r="G538" s="20"/>
      <c r="H538" s="23"/>
      <c r="I538" s="24"/>
      <c r="J538" s="14" t="str">
        <f aca="false">IF(C538="","",-E538*H538*IF(OR(B538="Sell call",B538="Buy to close",B538="Expired",B538="Assigned"),100,1)-I538)</f>
        <v/>
      </c>
      <c r="K538" s="21"/>
      <c r="L538" s="21"/>
      <c r="M538" s="21"/>
      <c r="N538" s="8" t="str">
        <f aca="false">IF(A538="","",IF(COUNTIFS(Reconcile!$I:$I,A538,Reconcile!$H:$H,"&gt;="&amp;(J538-0.01),Reconcile!$H:$H,"&lt;="&amp;(J538+0.01))&gt;0,"Yes","Not yet"))</f>
        <v/>
      </c>
      <c r="O538" s="21"/>
    </row>
    <row r="539" customFormat="false" ht="15" hidden="false" customHeight="false" outlineLevel="0" collapsed="false">
      <c r="A539" s="20"/>
      <c r="B539" s="21"/>
      <c r="C539" s="21"/>
      <c r="D539" s="21"/>
      <c r="E539" s="21"/>
      <c r="F539" s="22"/>
      <c r="G539" s="20"/>
      <c r="H539" s="23"/>
      <c r="I539" s="24"/>
      <c r="J539" s="14" t="str">
        <f aca="false">IF(C539="","",-E539*H539*IF(OR(B539="Sell call",B539="Buy to close",B539="Expired",B539="Assigned"),100,1)-I539)</f>
        <v/>
      </c>
      <c r="K539" s="21"/>
      <c r="L539" s="21"/>
      <c r="M539" s="21"/>
      <c r="N539" s="8" t="str">
        <f aca="false">IF(A539="","",IF(COUNTIFS(Reconcile!$I:$I,A539,Reconcile!$H:$H,"&gt;="&amp;(J539-0.01),Reconcile!$H:$H,"&lt;="&amp;(J539+0.01))&gt;0,"Yes","Not yet"))</f>
        <v/>
      </c>
      <c r="O539" s="21"/>
    </row>
    <row r="540" customFormat="false" ht="15" hidden="false" customHeight="false" outlineLevel="0" collapsed="false">
      <c r="A540" s="20"/>
      <c r="B540" s="21"/>
      <c r="C540" s="21"/>
      <c r="D540" s="21"/>
      <c r="E540" s="21"/>
      <c r="F540" s="22"/>
      <c r="G540" s="20"/>
      <c r="H540" s="23"/>
      <c r="I540" s="24"/>
      <c r="J540" s="14" t="str">
        <f aca="false">IF(C540="","",-E540*H540*IF(OR(B540="Sell call",B540="Buy to close",B540="Expired",B540="Assigned"),100,1)-I540)</f>
        <v/>
      </c>
      <c r="K540" s="21"/>
      <c r="L540" s="21"/>
      <c r="M540" s="21"/>
      <c r="N540" s="8" t="str">
        <f aca="false">IF(A540="","",IF(COUNTIFS(Reconcile!$I:$I,A540,Reconcile!$H:$H,"&gt;="&amp;(J540-0.01),Reconcile!$H:$H,"&lt;="&amp;(J540+0.01))&gt;0,"Yes","Not yet"))</f>
        <v/>
      </c>
      <c r="O540" s="21"/>
    </row>
    <row r="541" customFormat="false" ht="15" hidden="false" customHeight="false" outlineLevel="0" collapsed="false">
      <c r="A541" s="20"/>
      <c r="B541" s="21"/>
      <c r="C541" s="21"/>
      <c r="D541" s="21"/>
      <c r="E541" s="21"/>
      <c r="F541" s="22"/>
      <c r="G541" s="20"/>
      <c r="H541" s="23"/>
      <c r="I541" s="24"/>
      <c r="J541" s="14" t="str">
        <f aca="false">IF(C541="","",-E541*H541*IF(OR(B541="Sell call",B541="Buy to close",B541="Expired",B541="Assigned"),100,1)-I541)</f>
        <v/>
      </c>
      <c r="K541" s="21"/>
      <c r="L541" s="21"/>
      <c r="M541" s="21"/>
      <c r="N541" s="8" t="str">
        <f aca="false">IF(A541="","",IF(COUNTIFS(Reconcile!$I:$I,A541,Reconcile!$H:$H,"&gt;="&amp;(J541-0.01),Reconcile!$H:$H,"&lt;="&amp;(J541+0.01))&gt;0,"Yes","Not yet"))</f>
        <v/>
      </c>
      <c r="O541" s="21"/>
    </row>
    <row r="542" customFormat="false" ht="15" hidden="false" customHeight="false" outlineLevel="0" collapsed="false">
      <c r="A542" s="20"/>
      <c r="B542" s="21"/>
      <c r="C542" s="21"/>
      <c r="D542" s="21"/>
      <c r="E542" s="21"/>
      <c r="F542" s="22"/>
      <c r="G542" s="20"/>
      <c r="H542" s="23"/>
      <c r="I542" s="24"/>
      <c r="J542" s="14" t="str">
        <f aca="false">IF(C542="","",-E542*H542*IF(OR(B542="Sell call",B542="Buy to close",B542="Expired",B542="Assigned"),100,1)-I542)</f>
        <v/>
      </c>
      <c r="K542" s="21"/>
      <c r="L542" s="21"/>
      <c r="M542" s="21"/>
      <c r="N542" s="8" t="str">
        <f aca="false">IF(A542="","",IF(COUNTIFS(Reconcile!$I:$I,A542,Reconcile!$H:$H,"&gt;="&amp;(J542-0.01),Reconcile!$H:$H,"&lt;="&amp;(J542+0.01))&gt;0,"Yes","Not yet"))</f>
        <v/>
      </c>
      <c r="O542" s="21"/>
    </row>
    <row r="543" customFormat="false" ht="15" hidden="false" customHeight="false" outlineLevel="0" collapsed="false">
      <c r="A543" s="20"/>
      <c r="B543" s="21"/>
      <c r="C543" s="21"/>
      <c r="D543" s="21"/>
      <c r="E543" s="21"/>
      <c r="F543" s="22"/>
      <c r="G543" s="20"/>
      <c r="H543" s="23"/>
      <c r="I543" s="24"/>
      <c r="J543" s="14" t="str">
        <f aca="false">IF(C543="","",-E543*H543*IF(OR(B543="Sell call",B543="Buy to close",B543="Expired",B543="Assigned"),100,1)-I543)</f>
        <v/>
      </c>
      <c r="K543" s="21"/>
      <c r="L543" s="21"/>
      <c r="M543" s="21"/>
      <c r="N543" s="8" t="str">
        <f aca="false">IF(A543="","",IF(COUNTIFS(Reconcile!$I:$I,A543,Reconcile!$H:$H,"&gt;="&amp;(J543-0.01),Reconcile!$H:$H,"&lt;="&amp;(J543+0.01))&gt;0,"Yes","Not yet"))</f>
        <v/>
      </c>
      <c r="O543" s="21"/>
    </row>
    <row r="544" customFormat="false" ht="15" hidden="false" customHeight="false" outlineLevel="0" collapsed="false">
      <c r="A544" s="20"/>
      <c r="B544" s="21"/>
      <c r="C544" s="21"/>
      <c r="D544" s="21"/>
      <c r="E544" s="21"/>
      <c r="F544" s="22"/>
      <c r="G544" s="20"/>
      <c r="H544" s="23"/>
      <c r="I544" s="24"/>
      <c r="J544" s="14" t="str">
        <f aca="false">IF(C544="","",-E544*H544*IF(OR(B544="Sell call",B544="Buy to close",B544="Expired",B544="Assigned"),100,1)-I544)</f>
        <v/>
      </c>
      <c r="K544" s="21"/>
      <c r="L544" s="21"/>
      <c r="M544" s="21"/>
      <c r="N544" s="8" t="str">
        <f aca="false">IF(A544="","",IF(COUNTIFS(Reconcile!$I:$I,A544,Reconcile!$H:$H,"&gt;="&amp;(J544-0.01),Reconcile!$H:$H,"&lt;="&amp;(J544+0.01))&gt;0,"Yes","Not yet"))</f>
        <v/>
      </c>
      <c r="O544" s="21"/>
    </row>
    <row r="545" customFormat="false" ht="15" hidden="false" customHeight="false" outlineLevel="0" collapsed="false">
      <c r="A545" s="20"/>
      <c r="B545" s="21"/>
      <c r="C545" s="21"/>
      <c r="D545" s="21"/>
      <c r="E545" s="21"/>
      <c r="F545" s="22"/>
      <c r="G545" s="20"/>
      <c r="H545" s="23"/>
      <c r="I545" s="24"/>
      <c r="J545" s="14" t="str">
        <f aca="false">IF(C545="","",-E545*H545*IF(OR(B545="Sell call",B545="Buy to close",B545="Expired",B545="Assigned"),100,1)-I545)</f>
        <v/>
      </c>
      <c r="K545" s="21"/>
      <c r="L545" s="21"/>
      <c r="M545" s="21"/>
      <c r="N545" s="8" t="str">
        <f aca="false">IF(A545="","",IF(COUNTIFS(Reconcile!$I:$I,A545,Reconcile!$H:$H,"&gt;="&amp;(J545-0.01),Reconcile!$H:$H,"&lt;="&amp;(J545+0.01))&gt;0,"Yes","Not yet"))</f>
        <v/>
      </c>
      <c r="O545" s="21"/>
    </row>
    <row r="546" customFormat="false" ht="15" hidden="false" customHeight="false" outlineLevel="0" collapsed="false">
      <c r="A546" s="20"/>
      <c r="B546" s="21"/>
      <c r="C546" s="21"/>
      <c r="D546" s="21"/>
      <c r="E546" s="21"/>
      <c r="F546" s="22"/>
      <c r="G546" s="20"/>
      <c r="H546" s="23"/>
      <c r="I546" s="24"/>
      <c r="J546" s="14" t="str">
        <f aca="false">IF(C546="","",-E546*H546*IF(OR(B546="Sell call",B546="Buy to close",B546="Expired",B546="Assigned"),100,1)-I546)</f>
        <v/>
      </c>
      <c r="K546" s="21"/>
      <c r="L546" s="21"/>
      <c r="M546" s="21"/>
      <c r="N546" s="8" t="str">
        <f aca="false">IF(A546="","",IF(COUNTIFS(Reconcile!$I:$I,A546,Reconcile!$H:$H,"&gt;="&amp;(J546-0.01),Reconcile!$H:$H,"&lt;="&amp;(J546+0.01))&gt;0,"Yes","Not yet"))</f>
        <v/>
      </c>
      <c r="O546" s="21"/>
    </row>
    <row r="547" customFormat="false" ht="15" hidden="false" customHeight="false" outlineLevel="0" collapsed="false">
      <c r="A547" s="20"/>
      <c r="B547" s="21"/>
      <c r="C547" s="21"/>
      <c r="D547" s="21"/>
      <c r="E547" s="21"/>
      <c r="F547" s="22"/>
      <c r="G547" s="20"/>
      <c r="H547" s="23"/>
      <c r="I547" s="24"/>
      <c r="J547" s="14" t="str">
        <f aca="false">IF(C547="","",-E547*H547*IF(OR(B547="Sell call",B547="Buy to close",B547="Expired",B547="Assigned"),100,1)-I547)</f>
        <v/>
      </c>
      <c r="K547" s="21"/>
      <c r="L547" s="21"/>
      <c r="M547" s="21"/>
      <c r="N547" s="8" t="str">
        <f aca="false">IF(A547="","",IF(COUNTIFS(Reconcile!$I:$I,A547,Reconcile!$H:$H,"&gt;="&amp;(J547-0.01),Reconcile!$H:$H,"&lt;="&amp;(J547+0.01))&gt;0,"Yes","Not yet"))</f>
        <v/>
      </c>
      <c r="O547" s="21"/>
    </row>
    <row r="548" customFormat="false" ht="15" hidden="false" customHeight="false" outlineLevel="0" collapsed="false">
      <c r="A548" s="20"/>
      <c r="B548" s="21"/>
      <c r="C548" s="21"/>
      <c r="D548" s="21"/>
      <c r="E548" s="21"/>
      <c r="F548" s="22"/>
      <c r="G548" s="20"/>
      <c r="H548" s="23"/>
      <c r="I548" s="24"/>
      <c r="J548" s="14" t="str">
        <f aca="false">IF(C548="","",-E548*H548*IF(OR(B548="Sell call",B548="Buy to close",B548="Expired",B548="Assigned"),100,1)-I548)</f>
        <v/>
      </c>
      <c r="K548" s="21"/>
      <c r="L548" s="21"/>
      <c r="M548" s="21"/>
      <c r="N548" s="8" t="str">
        <f aca="false">IF(A548="","",IF(COUNTIFS(Reconcile!$I:$I,A548,Reconcile!$H:$H,"&gt;="&amp;(J548-0.01),Reconcile!$H:$H,"&lt;="&amp;(J548+0.01))&gt;0,"Yes","Not yet"))</f>
        <v/>
      </c>
      <c r="O548" s="21"/>
    </row>
    <row r="549" customFormat="false" ht="15" hidden="false" customHeight="false" outlineLevel="0" collapsed="false">
      <c r="A549" s="20"/>
      <c r="B549" s="21"/>
      <c r="C549" s="21"/>
      <c r="D549" s="21"/>
      <c r="E549" s="21"/>
      <c r="F549" s="22"/>
      <c r="G549" s="20"/>
      <c r="H549" s="23"/>
      <c r="I549" s="24"/>
      <c r="J549" s="14" t="str">
        <f aca="false">IF(C549="","",-E549*H549*IF(OR(B549="Sell call",B549="Buy to close",B549="Expired",B549="Assigned"),100,1)-I549)</f>
        <v/>
      </c>
      <c r="K549" s="21"/>
      <c r="L549" s="21"/>
      <c r="M549" s="21"/>
      <c r="N549" s="8" t="str">
        <f aca="false">IF(A549="","",IF(COUNTIFS(Reconcile!$I:$I,A549,Reconcile!$H:$H,"&gt;="&amp;(J549-0.01),Reconcile!$H:$H,"&lt;="&amp;(J549+0.01))&gt;0,"Yes","Not yet"))</f>
        <v/>
      </c>
      <c r="O549" s="21"/>
    </row>
    <row r="550" customFormat="false" ht="15" hidden="false" customHeight="false" outlineLevel="0" collapsed="false">
      <c r="A550" s="20"/>
      <c r="B550" s="21"/>
      <c r="C550" s="21"/>
      <c r="D550" s="21"/>
      <c r="E550" s="21"/>
      <c r="F550" s="22"/>
      <c r="G550" s="20"/>
      <c r="H550" s="23"/>
      <c r="I550" s="24"/>
      <c r="J550" s="14" t="str">
        <f aca="false">IF(C550="","",-E550*H550*IF(OR(B550="Sell call",B550="Buy to close",B550="Expired",B550="Assigned"),100,1)-I550)</f>
        <v/>
      </c>
      <c r="K550" s="21"/>
      <c r="L550" s="21"/>
      <c r="M550" s="21"/>
      <c r="N550" s="8" t="str">
        <f aca="false">IF(A550="","",IF(COUNTIFS(Reconcile!$I:$I,A550,Reconcile!$H:$H,"&gt;="&amp;(J550-0.01),Reconcile!$H:$H,"&lt;="&amp;(J550+0.01))&gt;0,"Yes","Not yet"))</f>
        <v/>
      </c>
      <c r="O550" s="21"/>
    </row>
    <row r="551" customFormat="false" ht="15" hidden="false" customHeight="false" outlineLevel="0" collapsed="false">
      <c r="A551" s="20"/>
      <c r="B551" s="21"/>
      <c r="C551" s="21"/>
      <c r="D551" s="21"/>
      <c r="E551" s="21"/>
      <c r="F551" s="22"/>
      <c r="G551" s="20"/>
      <c r="H551" s="23"/>
      <c r="I551" s="24"/>
      <c r="J551" s="14" t="str">
        <f aca="false">IF(C551="","",-E551*H551*IF(OR(B551="Sell call",B551="Buy to close",B551="Expired",B551="Assigned"),100,1)-I551)</f>
        <v/>
      </c>
      <c r="K551" s="21"/>
      <c r="L551" s="21"/>
      <c r="M551" s="21"/>
      <c r="N551" s="8" t="str">
        <f aca="false">IF(A551="","",IF(COUNTIFS(Reconcile!$I:$I,A551,Reconcile!$H:$H,"&gt;="&amp;(J551-0.01),Reconcile!$H:$H,"&lt;="&amp;(J551+0.01))&gt;0,"Yes","Not yet"))</f>
        <v/>
      </c>
      <c r="O551" s="21"/>
    </row>
    <row r="552" customFormat="false" ht="15" hidden="false" customHeight="false" outlineLevel="0" collapsed="false">
      <c r="A552" s="20"/>
      <c r="B552" s="21"/>
      <c r="C552" s="21"/>
      <c r="D552" s="21"/>
      <c r="E552" s="21"/>
      <c r="F552" s="22"/>
      <c r="G552" s="20"/>
      <c r="H552" s="23"/>
      <c r="I552" s="24"/>
      <c r="J552" s="14" t="str">
        <f aca="false">IF(C552="","",-E552*H552*IF(OR(B552="Sell call",B552="Buy to close",B552="Expired",B552="Assigned"),100,1)-I552)</f>
        <v/>
      </c>
      <c r="K552" s="21"/>
      <c r="L552" s="21"/>
      <c r="M552" s="21"/>
      <c r="N552" s="8" t="str">
        <f aca="false">IF(A552="","",IF(COUNTIFS(Reconcile!$I:$I,A552,Reconcile!$H:$H,"&gt;="&amp;(J552-0.01),Reconcile!$H:$H,"&lt;="&amp;(J552+0.01))&gt;0,"Yes","Not yet"))</f>
        <v/>
      </c>
      <c r="O552" s="21"/>
    </row>
    <row r="553" customFormat="false" ht="15" hidden="false" customHeight="false" outlineLevel="0" collapsed="false">
      <c r="A553" s="20"/>
      <c r="B553" s="21"/>
      <c r="C553" s="21"/>
      <c r="D553" s="21"/>
      <c r="E553" s="21"/>
      <c r="F553" s="22"/>
      <c r="G553" s="20"/>
      <c r="H553" s="23"/>
      <c r="I553" s="24"/>
      <c r="J553" s="14" t="str">
        <f aca="false">IF(C553="","",-E553*H553*IF(OR(B553="Sell call",B553="Buy to close",B553="Expired",B553="Assigned"),100,1)-I553)</f>
        <v/>
      </c>
      <c r="K553" s="21"/>
      <c r="L553" s="21"/>
      <c r="M553" s="21"/>
      <c r="N553" s="8" t="str">
        <f aca="false">IF(A553="","",IF(COUNTIFS(Reconcile!$I:$I,A553,Reconcile!$H:$H,"&gt;="&amp;(J553-0.01),Reconcile!$H:$H,"&lt;="&amp;(J553+0.01))&gt;0,"Yes","Not yet"))</f>
        <v/>
      </c>
      <c r="O553" s="21"/>
    </row>
    <row r="554" customFormat="false" ht="15" hidden="false" customHeight="false" outlineLevel="0" collapsed="false">
      <c r="A554" s="20"/>
      <c r="B554" s="21"/>
      <c r="C554" s="21"/>
      <c r="D554" s="21"/>
      <c r="E554" s="21"/>
      <c r="F554" s="22"/>
      <c r="G554" s="20"/>
      <c r="H554" s="23"/>
      <c r="I554" s="24"/>
      <c r="J554" s="14" t="str">
        <f aca="false">IF(C554="","",-E554*H554*IF(OR(B554="Sell call",B554="Buy to close",B554="Expired",B554="Assigned"),100,1)-I554)</f>
        <v/>
      </c>
      <c r="K554" s="21"/>
      <c r="L554" s="21"/>
      <c r="M554" s="21"/>
      <c r="N554" s="8" t="str">
        <f aca="false">IF(A554="","",IF(COUNTIFS(Reconcile!$I:$I,A554,Reconcile!$H:$H,"&gt;="&amp;(J554-0.01),Reconcile!$H:$H,"&lt;="&amp;(J554+0.01))&gt;0,"Yes","Not yet"))</f>
        <v/>
      </c>
      <c r="O554" s="21"/>
    </row>
    <row r="555" customFormat="false" ht="15" hidden="false" customHeight="false" outlineLevel="0" collapsed="false">
      <c r="A555" s="20"/>
      <c r="B555" s="21"/>
      <c r="C555" s="21"/>
      <c r="D555" s="21"/>
      <c r="E555" s="21"/>
      <c r="F555" s="22"/>
      <c r="G555" s="20"/>
      <c r="H555" s="23"/>
      <c r="I555" s="24"/>
      <c r="J555" s="14" t="str">
        <f aca="false">IF(C555="","",-E555*H555*IF(OR(B555="Sell call",B555="Buy to close",B555="Expired",B555="Assigned"),100,1)-I555)</f>
        <v/>
      </c>
      <c r="K555" s="21"/>
      <c r="L555" s="21"/>
      <c r="M555" s="21"/>
      <c r="N555" s="8" t="str">
        <f aca="false">IF(A555="","",IF(COUNTIFS(Reconcile!$I:$I,A555,Reconcile!$H:$H,"&gt;="&amp;(J555-0.01),Reconcile!$H:$H,"&lt;="&amp;(J555+0.01))&gt;0,"Yes","Not yet"))</f>
        <v/>
      </c>
      <c r="O555" s="21"/>
    </row>
    <row r="556" customFormat="false" ht="15" hidden="false" customHeight="false" outlineLevel="0" collapsed="false">
      <c r="A556" s="20"/>
      <c r="B556" s="21"/>
      <c r="C556" s="21"/>
      <c r="D556" s="21"/>
      <c r="E556" s="21"/>
      <c r="F556" s="22"/>
      <c r="G556" s="20"/>
      <c r="H556" s="23"/>
      <c r="I556" s="24"/>
      <c r="J556" s="14" t="str">
        <f aca="false">IF(C556="","",-E556*H556*IF(OR(B556="Sell call",B556="Buy to close",B556="Expired",B556="Assigned"),100,1)-I556)</f>
        <v/>
      </c>
      <c r="K556" s="21"/>
      <c r="L556" s="21"/>
      <c r="M556" s="21"/>
      <c r="N556" s="8" t="str">
        <f aca="false">IF(A556="","",IF(COUNTIFS(Reconcile!$I:$I,A556,Reconcile!$H:$H,"&gt;="&amp;(J556-0.01),Reconcile!$H:$H,"&lt;="&amp;(J556+0.01))&gt;0,"Yes","Not yet"))</f>
        <v/>
      </c>
      <c r="O556" s="21"/>
    </row>
    <row r="557" customFormat="false" ht="15" hidden="false" customHeight="false" outlineLevel="0" collapsed="false">
      <c r="A557" s="20"/>
      <c r="B557" s="21"/>
      <c r="C557" s="21"/>
      <c r="D557" s="21"/>
      <c r="E557" s="21"/>
      <c r="F557" s="22"/>
      <c r="G557" s="20"/>
      <c r="H557" s="23"/>
      <c r="I557" s="24"/>
      <c r="J557" s="14" t="str">
        <f aca="false">IF(C557="","",-E557*H557*IF(OR(B557="Sell call",B557="Buy to close",B557="Expired",B557="Assigned"),100,1)-I557)</f>
        <v/>
      </c>
      <c r="K557" s="21"/>
      <c r="L557" s="21"/>
      <c r="M557" s="21"/>
      <c r="N557" s="8" t="str">
        <f aca="false">IF(A557="","",IF(COUNTIFS(Reconcile!$I:$I,A557,Reconcile!$H:$H,"&gt;="&amp;(J557-0.01),Reconcile!$H:$H,"&lt;="&amp;(J557+0.01))&gt;0,"Yes","Not yet"))</f>
        <v/>
      </c>
      <c r="O557" s="21"/>
    </row>
    <row r="558" customFormat="false" ht="15" hidden="false" customHeight="false" outlineLevel="0" collapsed="false">
      <c r="A558" s="20"/>
      <c r="B558" s="21"/>
      <c r="C558" s="21"/>
      <c r="D558" s="21"/>
      <c r="E558" s="21"/>
      <c r="F558" s="22"/>
      <c r="G558" s="20"/>
      <c r="H558" s="23"/>
      <c r="I558" s="24"/>
      <c r="J558" s="14" t="str">
        <f aca="false">IF(C558="","",-E558*H558*IF(OR(B558="Sell call",B558="Buy to close",B558="Expired",B558="Assigned"),100,1)-I558)</f>
        <v/>
      </c>
      <c r="K558" s="21"/>
      <c r="L558" s="21"/>
      <c r="M558" s="21"/>
      <c r="N558" s="8" t="str">
        <f aca="false">IF(A558="","",IF(COUNTIFS(Reconcile!$I:$I,A558,Reconcile!$H:$H,"&gt;="&amp;(J558-0.01),Reconcile!$H:$H,"&lt;="&amp;(J558+0.01))&gt;0,"Yes","Not yet"))</f>
        <v/>
      </c>
      <c r="O558" s="21"/>
    </row>
    <row r="559" customFormat="false" ht="15" hidden="false" customHeight="false" outlineLevel="0" collapsed="false">
      <c r="A559" s="20"/>
      <c r="B559" s="21"/>
      <c r="C559" s="21"/>
      <c r="D559" s="21"/>
      <c r="E559" s="21"/>
      <c r="F559" s="22"/>
      <c r="G559" s="20"/>
      <c r="H559" s="23"/>
      <c r="I559" s="24"/>
      <c r="J559" s="14" t="str">
        <f aca="false">IF(C559="","",-E559*H559*IF(OR(B559="Sell call",B559="Buy to close",B559="Expired",B559="Assigned"),100,1)-I559)</f>
        <v/>
      </c>
      <c r="K559" s="21"/>
      <c r="L559" s="21"/>
      <c r="M559" s="21"/>
      <c r="N559" s="8" t="str">
        <f aca="false">IF(A559="","",IF(COUNTIFS(Reconcile!$I:$I,A559,Reconcile!$H:$H,"&gt;="&amp;(J559-0.01),Reconcile!$H:$H,"&lt;="&amp;(J559+0.01))&gt;0,"Yes","Not yet"))</f>
        <v/>
      </c>
      <c r="O559" s="21"/>
    </row>
    <row r="560" customFormat="false" ht="15" hidden="false" customHeight="false" outlineLevel="0" collapsed="false">
      <c r="A560" s="20"/>
      <c r="B560" s="21"/>
      <c r="C560" s="21"/>
      <c r="D560" s="21"/>
      <c r="E560" s="21"/>
      <c r="F560" s="22"/>
      <c r="G560" s="20"/>
      <c r="H560" s="23"/>
      <c r="I560" s="24"/>
      <c r="J560" s="14" t="str">
        <f aca="false">IF(C560="","",-E560*H560*IF(OR(B560="Sell call",B560="Buy to close",B560="Expired",B560="Assigned"),100,1)-I560)</f>
        <v/>
      </c>
      <c r="K560" s="21"/>
      <c r="L560" s="21"/>
      <c r="M560" s="21"/>
      <c r="N560" s="8" t="str">
        <f aca="false">IF(A560="","",IF(COUNTIFS(Reconcile!$I:$I,A560,Reconcile!$H:$H,"&gt;="&amp;(J560-0.01),Reconcile!$H:$H,"&lt;="&amp;(J560+0.01))&gt;0,"Yes","Not yet"))</f>
        <v/>
      </c>
      <c r="O560" s="21"/>
    </row>
    <row r="561" customFormat="false" ht="15" hidden="false" customHeight="false" outlineLevel="0" collapsed="false">
      <c r="A561" s="20"/>
      <c r="B561" s="21"/>
      <c r="C561" s="21"/>
      <c r="D561" s="21"/>
      <c r="E561" s="21"/>
      <c r="F561" s="22"/>
      <c r="G561" s="20"/>
      <c r="H561" s="23"/>
      <c r="I561" s="24"/>
      <c r="J561" s="14" t="str">
        <f aca="false">IF(C561="","",-E561*H561*IF(OR(B561="Sell call",B561="Buy to close",B561="Expired",B561="Assigned"),100,1)-I561)</f>
        <v/>
      </c>
      <c r="K561" s="21"/>
      <c r="L561" s="21"/>
      <c r="M561" s="21"/>
      <c r="N561" s="8" t="str">
        <f aca="false">IF(A561="","",IF(COUNTIFS(Reconcile!$I:$I,A561,Reconcile!$H:$H,"&gt;="&amp;(J561-0.01),Reconcile!$H:$H,"&lt;="&amp;(J561+0.01))&gt;0,"Yes","Not yet"))</f>
        <v/>
      </c>
      <c r="O561" s="21"/>
    </row>
    <row r="562" customFormat="false" ht="15" hidden="false" customHeight="false" outlineLevel="0" collapsed="false">
      <c r="A562" s="20"/>
      <c r="B562" s="21"/>
      <c r="C562" s="21"/>
      <c r="D562" s="21"/>
      <c r="E562" s="21"/>
      <c r="F562" s="22"/>
      <c r="G562" s="20"/>
      <c r="H562" s="23"/>
      <c r="I562" s="24"/>
      <c r="J562" s="14" t="str">
        <f aca="false">IF(C562="","",-E562*H562*IF(OR(B562="Sell call",B562="Buy to close",B562="Expired",B562="Assigned"),100,1)-I562)</f>
        <v/>
      </c>
      <c r="K562" s="21"/>
      <c r="L562" s="21"/>
      <c r="M562" s="21"/>
      <c r="N562" s="8" t="str">
        <f aca="false">IF(A562="","",IF(COUNTIFS(Reconcile!$I:$I,A562,Reconcile!$H:$H,"&gt;="&amp;(J562-0.01),Reconcile!$H:$H,"&lt;="&amp;(J562+0.01))&gt;0,"Yes","Not yet"))</f>
        <v/>
      </c>
      <c r="O562" s="21"/>
    </row>
    <row r="563" customFormat="false" ht="15" hidden="false" customHeight="false" outlineLevel="0" collapsed="false">
      <c r="A563" s="20"/>
      <c r="B563" s="21"/>
      <c r="C563" s="21"/>
      <c r="D563" s="21"/>
      <c r="E563" s="21"/>
      <c r="F563" s="22"/>
      <c r="G563" s="20"/>
      <c r="H563" s="23"/>
      <c r="I563" s="24"/>
      <c r="J563" s="14" t="str">
        <f aca="false">IF(C563="","",-E563*H563*IF(OR(B563="Sell call",B563="Buy to close",B563="Expired",B563="Assigned"),100,1)-I563)</f>
        <v/>
      </c>
      <c r="K563" s="21"/>
      <c r="L563" s="21"/>
      <c r="M563" s="21"/>
      <c r="N563" s="8" t="str">
        <f aca="false">IF(A563="","",IF(COUNTIFS(Reconcile!$I:$I,A563,Reconcile!$H:$H,"&gt;="&amp;(J563-0.01),Reconcile!$H:$H,"&lt;="&amp;(J563+0.01))&gt;0,"Yes","Not yet"))</f>
        <v/>
      </c>
      <c r="O563" s="21"/>
    </row>
    <row r="564" customFormat="false" ht="15" hidden="false" customHeight="false" outlineLevel="0" collapsed="false">
      <c r="A564" s="20"/>
      <c r="B564" s="21"/>
      <c r="C564" s="21"/>
      <c r="D564" s="21"/>
      <c r="E564" s="21"/>
      <c r="F564" s="22"/>
      <c r="G564" s="20"/>
      <c r="H564" s="23"/>
      <c r="I564" s="24"/>
      <c r="J564" s="14" t="str">
        <f aca="false">IF(C564="","",-E564*H564*IF(OR(B564="Sell call",B564="Buy to close",B564="Expired",B564="Assigned"),100,1)-I564)</f>
        <v/>
      </c>
      <c r="K564" s="21"/>
      <c r="L564" s="21"/>
      <c r="M564" s="21"/>
      <c r="N564" s="8" t="str">
        <f aca="false">IF(A564="","",IF(COUNTIFS(Reconcile!$I:$I,A564,Reconcile!$H:$H,"&gt;="&amp;(J564-0.01),Reconcile!$H:$H,"&lt;="&amp;(J564+0.01))&gt;0,"Yes","Not yet"))</f>
        <v/>
      </c>
      <c r="O564" s="21"/>
    </row>
    <row r="565" customFormat="false" ht="15" hidden="false" customHeight="false" outlineLevel="0" collapsed="false">
      <c r="A565" s="20"/>
      <c r="B565" s="21"/>
      <c r="C565" s="21"/>
      <c r="D565" s="21"/>
      <c r="E565" s="21"/>
      <c r="F565" s="22"/>
      <c r="G565" s="20"/>
      <c r="H565" s="23"/>
      <c r="I565" s="24"/>
      <c r="J565" s="14" t="str">
        <f aca="false">IF(C565="","",-E565*H565*IF(OR(B565="Sell call",B565="Buy to close",B565="Expired",B565="Assigned"),100,1)-I565)</f>
        <v/>
      </c>
      <c r="K565" s="21"/>
      <c r="L565" s="21"/>
      <c r="M565" s="21"/>
      <c r="N565" s="8" t="str">
        <f aca="false">IF(A565="","",IF(COUNTIFS(Reconcile!$I:$I,A565,Reconcile!$H:$H,"&gt;="&amp;(J565-0.01),Reconcile!$H:$H,"&lt;="&amp;(J565+0.01))&gt;0,"Yes","Not yet"))</f>
        <v/>
      </c>
      <c r="O565" s="21"/>
    </row>
    <row r="566" customFormat="false" ht="15" hidden="false" customHeight="false" outlineLevel="0" collapsed="false">
      <c r="A566" s="20"/>
      <c r="B566" s="21"/>
      <c r="C566" s="21"/>
      <c r="D566" s="21"/>
      <c r="E566" s="21"/>
      <c r="F566" s="22"/>
      <c r="G566" s="20"/>
      <c r="H566" s="23"/>
      <c r="I566" s="24"/>
      <c r="J566" s="14" t="str">
        <f aca="false">IF(C566="","",-E566*H566*IF(OR(B566="Sell call",B566="Buy to close",B566="Expired",B566="Assigned"),100,1)-I566)</f>
        <v/>
      </c>
      <c r="K566" s="21"/>
      <c r="L566" s="21"/>
      <c r="M566" s="21"/>
      <c r="N566" s="8" t="str">
        <f aca="false">IF(A566="","",IF(COUNTIFS(Reconcile!$I:$I,A566,Reconcile!$H:$H,"&gt;="&amp;(J566-0.01),Reconcile!$H:$H,"&lt;="&amp;(J566+0.01))&gt;0,"Yes","Not yet"))</f>
        <v/>
      </c>
      <c r="O566" s="21"/>
    </row>
    <row r="567" customFormat="false" ht="15" hidden="false" customHeight="false" outlineLevel="0" collapsed="false">
      <c r="A567" s="20"/>
      <c r="B567" s="21"/>
      <c r="C567" s="21"/>
      <c r="D567" s="21"/>
      <c r="E567" s="21"/>
      <c r="F567" s="22"/>
      <c r="G567" s="20"/>
      <c r="H567" s="23"/>
      <c r="I567" s="24"/>
      <c r="J567" s="14" t="str">
        <f aca="false">IF(C567="","",-E567*H567*IF(OR(B567="Sell call",B567="Buy to close",B567="Expired",B567="Assigned"),100,1)-I567)</f>
        <v/>
      </c>
      <c r="K567" s="21"/>
      <c r="L567" s="21"/>
      <c r="M567" s="21"/>
      <c r="N567" s="8" t="str">
        <f aca="false">IF(A567="","",IF(COUNTIFS(Reconcile!$I:$I,A567,Reconcile!$H:$H,"&gt;="&amp;(J567-0.01),Reconcile!$H:$H,"&lt;="&amp;(J567+0.01))&gt;0,"Yes","Not yet"))</f>
        <v/>
      </c>
      <c r="O567" s="21"/>
    </row>
    <row r="568" customFormat="false" ht="15" hidden="false" customHeight="false" outlineLevel="0" collapsed="false">
      <c r="A568" s="20"/>
      <c r="B568" s="21"/>
      <c r="C568" s="21"/>
      <c r="D568" s="21"/>
      <c r="E568" s="21"/>
      <c r="F568" s="22"/>
      <c r="G568" s="20"/>
      <c r="H568" s="23"/>
      <c r="I568" s="24"/>
      <c r="J568" s="14" t="str">
        <f aca="false">IF(C568="","",-E568*H568*IF(OR(B568="Sell call",B568="Buy to close",B568="Expired",B568="Assigned"),100,1)-I568)</f>
        <v/>
      </c>
      <c r="K568" s="21"/>
      <c r="L568" s="21"/>
      <c r="M568" s="21"/>
      <c r="N568" s="8" t="str">
        <f aca="false">IF(A568="","",IF(COUNTIFS(Reconcile!$I:$I,A568,Reconcile!$H:$H,"&gt;="&amp;(J568-0.01),Reconcile!$H:$H,"&lt;="&amp;(J568+0.01))&gt;0,"Yes","Not yet"))</f>
        <v/>
      </c>
      <c r="O568" s="21"/>
    </row>
    <row r="569" customFormat="false" ht="15" hidden="false" customHeight="false" outlineLevel="0" collapsed="false">
      <c r="A569" s="20"/>
      <c r="B569" s="21"/>
      <c r="C569" s="21"/>
      <c r="D569" s="21"/>
      <c r="E569" s="21"/>
      <c r="F569" s="22"/>
      <c r="G569" s="20"/>
      <c r="H569" s="23"/>
      <c r="I569" s="24"/>
      <c r="J569" s="14" t="str">
        <f aca="false">IF(C569="","",-E569*H569*IF(OR(B569="Sell call",B569="Buy to close",B569="Expired",B569="Assigned"),100,1)-I569)</f>
        <v/>
      </c>
      <c r="K569" s="21"/>
      <c r="L569" s="21"/>
      <c r="M569" s="21"/>
      <c r="N569" s="8" t="str">
        <f aca="false">IF(A569="","",IF(COUNTIFS(Reconcile!$I:$I,A569,Reconcile!$H:$H,"&gt;="&amp;(J569-0.01),Reconcile!$H:$H,"&lt;="&amp;(J569+0.01))&gt;0,"Yes","Not yet"))</f>
        <v/>
      </c>
      <c r="O569" s="21"/>
    </row>
    <row r="570" customFormat="false" ht="15" hidden="false" customHeight="false" outlineLevel="0" collapsed="false">
      <c r="A570" s="20"/>
      <c r="B570" s="21"/>
      <c r="C570" s="21"/>
      <c r="D570" s="21"/>
      <c r="E570" s="21"/>
      <c r="F570" s="22"/>
      <c r="G570" s="20"/>
      <c r="H570" s="23"/>
      <c r="I570" s="24"/>
      <c r="J570" s="14" t="str">
        <f aca="false">IF(C570="","",-E570*H570*IF(OR(B570="Sell call",B570="Buy to close",B570="Expired",B570="Assigned"),100,1)-I570)</f>
        <v/>
      </c>
      <c r="K570" s="21"/>
      <c r="L570" s="21"/>
      <c r="M570" s="21"/>
      <c r="N570" s="8" t="str">
        <f aca="false">IF(A570="","",IF(COUNTIFS(Reconcile!$I:$I,A570,Reconcile!$H:$H,"&gt;="&amp;(J570-0.01),Reconcile!$H:$H,"&lt;="&amp;(J570+0.01))&gt;0,"Yes","Not yet"))</f>
        <v/>
      </c>
      <c r="O570" s="21"/>
    </row>
    <row r="571" customFormat="false" ht="15" hidden="false" customHeight="false" outlineLevel="0" collapsed="false">
      <c r="A571" s="20"/>
      <c r="B571" s="21"/>
      <c r="C571" s="21"/>
      <c r="D571" s="21"/>
      <c r="E571" s="21"/>
      <c r="F571" s="22"/>
      <c r="G571" s="20"/>
      <c r="H571" s="23"/>
      <c r="I571" s="24"/>
      <c r="J571" s="14" t="str">
        <f aca="false">IF(C571="","",-E571*H571*IF(OR(B571="Sell call",B571="Buy to close",B571="Expired",B571="Assigned"),100,1)-I571)</f>
        <v/>
      </c>
      <c r="K571" s="21"/>
      <c r="L571" s="21"/>
      <c r="M571" s="21"/>
      <c r="N571" s="8" t="str">
        <f aca="false">IF(A571="","",IF(COUNTIFS(Reconcile!$I:$I,A571,Reconcile!$H:$H,"&gt;="&amp;(J571-0.01),Reconcile!$H:$H,"&lt;="&amp;(J571+0.01))&gt;0,"Yes","Not yet"))</f>
        <v/>
      </c>
      <c r="O571" s="21"/>
    </row>
    <row r="572" customFormat="false" ht="15" hidden="false" customHeight="false" outlineLevel="0" collapsed="false">
      <c r="A572" s="20"/>
      <c r="B572" s="21"/>
      <c r="C572" s="21"/>
      <c r="D572" s="21"/>
      <c r="E572" s="21"/>
      <c r="F572" s="22"/>
      <c r="G572" s="20"/>
      <c r="H572" s="23"/>
      <c r="I572" s="24"/>
      <c r="J572" s="14" t="str">
        <f aca="false">IF(C572="","",-E572*H572*IF(OR(B572="Sell call",B572="Buy to close",B572="Expired",B572="Assigned"),100,1)-I572)</f>
        <v/>
      </c>
      <c r="K572" s="21"/>
      <c r="L572" s="21"/>
      <c r="M572" s="21"/>
      <c r="N572" s="8" t="str">
        <f aca="false">IF(A572="","",IF(COUNTIFS(Reconcile!$I:$I,A572,Reconcile!$H:$H,"&gt;="&amp;(J572-0.01),Reconcile!$H:$H,"&lt;="&amp;(J572+0.01))&gt;0,"Yes","Not yet"))</f>
        <v/>
      </c>
      <c r="O572" s="21"/>
    </row>
    <row r="573" customFormat="false" ht="15" hidden="false" customHeight="false" outlineLevel="0" collapsed="false">
      <c r="A573" s="20"/>
      <c r="B573" s="21"/>
      <c r="C573" s="21"/>
      <c r="D573" s="21"/>
      <c r="E573" s="21"/>
      <c r="F573" s="22"/>
      <c r="G573" s="20"/>
      <c r="H573" s="23"/>
      <c r="I573" s="24"/>
      <c r="J573" s="14" t="str">
        <f aca="false">IF(C573="","",-E573*H573*IF(OR(B573="Sell call",B573="Buy to close",B573="Expired",B573="Assigned"),100,1)-I573)</f>
        <v/>
      </c>
      <c r="K573" s="21"/>
      <c r="L573" s="21"/>
      <c r="M573" s="21"/>
      <c r="N573" s="8" t="str">
        <f aca="false">IF(A573="","",IF(COUNTIFS(Reconcile!$I:$I,A573,Reconcile!$H:$H,"&gt;="&amp;(J573-0.01),Reconcile!$H:$H,"&lt;="&amp;(J573+0.01))&gt;0,"Yes","Not yet"))</f>
        <v/>
      </c>
      <c r="O573" s="21"/>
    </row>
    <row r="574" customFormat="false" ht="15" hidden="false" customHeight="false" outlineLevel="0" collapsed="false">
      <c r="A574" s="20"/>
      <c r="B574" s="21"/>
      <c r="C574" s="21"/>
      <c r="D574" s="21"/>
      <c r="E574" s="21"/>
      <c r="F574" s="22"/>
      <c r="G574" s="20"/>
      <c r="H574" s="23"/>
      <c r="I574" s="24"/>
      <c r="J574" s="14" t="str">
        <f aca="false">IF(C574="","",-E574*H574*IF(OR(B574="Sell call",B574="Buy to close",B574="Expired",B574="Assigned"),100,1)-I574)</f>
        <v/>
      </c>
      <c r="K574" s="21"/>
      <c r="L574" s="21"/>
      <c r="M574" s="21"/>
      <c r="N574" s="8" t="str">
        <f aca="false">IF(A574="","",IF(COUNTIFS(Reconcile!$I:$I,A574,Reconcile!$H:$H,"&gt;="&amp;(J574-0.01),Reconcile!$H:$H,"&lt;="&amp;(J574+0.01))&gt;0,"Yes","Not yet"))</f>
        <v/>
      </c>
      <c r="O574" s="21"/>
    </row>
    <row r="575" customFormat="false" ht="15" hidden="false" customHeight="false" outlineLevel="0" collapsed="false">
      <c r="A575" s="20"/>
      <c r="B575" s="21"/>
      <c r="C575" s="21"/>
      <c r="D575" s="21"/>
      <c r="E575" s="21"/>
      <c r="F575" s="22"/>
      <c r="G575" s="20"/>
      <c r="H575" s="23"/>
      <c r="I575" s="24"/>
      <c r="J575" s="14" t="str">
        <f aca="false">IF(C575="","",-E575*H575*IF(OR(B575="Sell call",B575="Buy to close",B575="Expired",B575="Assigned"),100,1)-I575)</f>
        <v/>
      </c>
      <c r="K575" s="21"/>
      <c r="L575" s="21"/>
      <c r="M575" s="21"/>
      <c r="N575" s="8" t="str">
        <f aca="false">IF(A575="","",IF(COUNTIFS(Reconcile!$I:$I,A575,Reconcile!$H:$H,"&gt;="&amp;(J575-0.01),Reconcile!$H:$H,"&lt;="&amp;(J575+0.01))&gt;0,"Yes","Not yet"))</f>
        <v/>
      </c>
      <c r="O575" s="21"/>
    </row>
    <row r="576" customFormat="false" ht="15" hidden="false" customHeight="false" outlineLevel="0" collapsed="false">
      <c r="A576" s="20"/>
      <c r="B576" s="21"/>
      <c r="C576" s="21"/>
      <c r="D576" s="21"/>
      <c r="E576" s="21"/>
      <c r="F576" s="22"/>
      <c r="G576" s="20"/>
      <c r="H576" s="23"/>
      <c r="I576" s="24"/>
      <c r="J576" s="14" t="str">
        <f aca="false">IF(C576="","",-E576*H576*IF(OR(B576="Sell call",B576="Buy to close",B576="Expired",B576="Assigned"),100,1)-I576)</f>
        <v/>
      </c>
      <c r="K576" s="21"/>
      <c r="L576" s="21"/>
      <c r="M576" s="21"/>
      <c r="N576" s="8" t="str">
        <f aca="false">IF(A576="","",IF(COUNTIFS(Reconcile!$I:$I,A576,Reconcile!$H:$H,"&gt;="&amp;(J576-0.01),Reconcile!$H:$H,"&lt;="&amp;(J576+0.01))&gt;0,"Yes","Not yet"))</f>
        <v/>
      </c>
      <c r="O576" s="21"/>
    </row>
    <row r="577" customFormat="false" ht="15" hidden="false" customHeight="false" outlineLevel="0" collapsed="false">
      <c r="A577" s="20"/>
      <c r="B577" s="21"/>
      <c r="C577" s="21"/>
      <c r="D577" s="21"/>
      <c r="E577" s="21"/>
      <c r="F577" s="22"/>
      <c r="G577" s="20"/>
      <c r="H577" s="23"/>
      <c r="I577" s="24"/>
      <c r="J577" s="14" t="str">
        <f aca="false">IF(C577="","",-E577*H577*IF(OR(B577="Sell call",B577="Buy to close",B577="Expired",B577="Assigned"),100,1)-I577)</f>
        <v/>
      </c>
      <c r="K577" s="21"/>
      <c r="L577" s="21"/>
      <c r="M577" s="21"/>
      <c r="N577" s="8" t="str">
        <f aca="false">IF(A577="","",IF(COUNTIFS(Reconcile!$I:$I,A577,Reconcile!$H:$H,"&gt;="&amp;(J577-0.01),Reconcile!$H:$H,"&lt;="&amp;(J577+0.01))&gt;0,"Yes","Not yet"))</f>
        <v/>
      </c>
      <c r="O577" s="21"/>
    </row>
    <row r="578" customFormat="false" ht="15" hidden="false" customHeight="false" outlineLevel="0" collapsed="false">
      <c r="A578" s="20"/>
      <c r="B578" s="21"/>
      <c r="C578" s="21"/>
      <c r="D578" s="21"/>
      <c r="E578" s="21"/>
      <c r="F578" s="22"/>
      <c r="G578" s="20"/>
      <c r="H578" s="23"/>
      <c r="I578" s="24"/>
      <c r="J578" s="14" t="str">
        <f aca="false">IF(C578="","",-E578*H578*IF(OR(B578="Sell call",B578="Buy to close",B578="Expired",B578="Assigned"),100,1)-I578)</f>
        <v/>
      </c>
      <c r="K578" s="21"/>
      <c r="L578" s="21"/>
      <c r="M578" s="21"/>
      <c r="N578" s="8" t="str">
        <f aca="false">IF(A578="","",IF(COUNTIFS(Reconcile!$I:$I,A578,Reconcile!$H:$H,"&gt;="&amp;(J578-0.01),Reconcile!$H:$H,"&lt;="&amp;(J578+0.01))&gt;0,"Yes","Not yet"))</f>
        <v/>
      </c>
      <c r="O578" s="21"/>
    </row>
    <row r="579" customFormat="false" ht="15" hidden="false" customHeight="false" outlineLevel="0" collapsed="false">
      <c r="A579" s="20"/>
      <c r="B579" s="21"/>
      <c r="C579" s="21"/>
      <c r="D579" s="21"/>
      <c r="E579" s="21"/>
      <c r="F579" s="22"/>
      <c r="G579" s="20"/>
      <c r="H579" s="23"/>
      <c r="I579" s="24"/>
      <c r="J579" s="14" t="str">
        <f aca="false">IF(C579="","",-E579*H579*IF(OR(B579="Sell call",B579="Buy to close",B579="Expired",B579="Assigned"),100,1)-I579)</f>
        <v/>
      </c>
      <c r="K579" s="21"/>
      <c r="L579" s="21"/>
      <c r="M579" s="21"/>
      <c r="N579" s="8" t="str">
        <f aca="false">IF(A579="","",IF(COUNTIFS(Reconcile!$I:$I,A579,Reconcile!$H:$H,"&gt;="&amp;(J579-0.01),Reconcile!$H:$H,"&lt;="&amp;(J579+0.01))&gt;0,"Yes","Not yet"))</f>
        <v/>
      </c>
      <c r="O579" s="21"/>
    </row>
    <row r="580" customFormat="false" ht="15" hidden="false" customHeight="false" outlineLevel="0" collapsed="false">
      <c r="A580" s="20"/>
      <c r="B580" s="21"/>
      <c r="C580" s="21"/>
      <c r="D580" s="21"/>
      <c r="E580" s="21"/>
      <c r="F580" s="22"/>
      <c r="G580" s="20"/>
      <c r="H580" s="23"/>
      <c r="I580" s="24"/>
      <c r="J580" s="14" t="str">
        <f aca="false">IF(C580="","",-E580*H580*IF(OR(B580="Sell call",B580="Buy to close",B580="Expired",B580="Assigned"),100,1)-I580)</f>
        <v/>
      </c>
      <c r="K580" s="21"/>
      <c r="L580" s="21"/>
      <c r="M580" s="21"/>
      <c r="N580" s="8" t="str">
        <f aca="false">IF(A580="","",IF(COUNTIFS(Reconcile!$I:$I,A580,Reconcile!$H:$H,"&gt;="&amp;(J580-0.01),Reconcile!$H:$H,"&lt;="&amp;(J580+0.01))&gt;0,"Yes","Not yet"))</f>
        <v/>
      </c>
      <c r="O580" s="21"/>
    </row>
    <row r="581" customFormat="false" ht="15" hidden="false" customHeight="false" outlineLevel="0" collapsed="false">
      <c r="A581" s="20"/>
      <c r="B581" s="21"/>
      <c r="C581" s="21"/>
      <c r="D581" s="21"/>
      <c r="E581" s="21"/>
      <c r="F581" s="22"/>
      <c r="G581" s="20"/>
      <c r="H581" s="23"/>
      <c r="I581" s="24"/>
      <c r="J581" s="14" t="str">
        <f aca="false">IF(C581="","",-E581*H581*IF(OR(B581="Sell call",B581="Buy to close",B581="Expired",B581="Assigned"),100,1)-I581)</f>
        <v/>
      </c>
      <c r="K581" s="21"/>
      <c r="L581" s="21"/>
      <c r="M581" s="21"/>
      <c r="N581" s="8" t="str">
        <f aca="false">IF(A581="","",IF(COUNTIFS(Reconcile!$I:$I,A581,Reconcile!$H:$H,"&gt;="&amp;(J581-0.01),Reconcile!$H:$H,"&lt;="&amp;(J581+0.01))&gt;0,"Yes","Not yet"))</f>
        <v/>
      </c>
      <c r="O581" s="21"/>
    </row>
    <row r="582" customFormat="false" ht="15" hidden="false" customHeight="false" outlineLevel="0" collapsed="false">
      <c r="A582" s="20"/>
      <c r="B582" s="21"/>
      <c r="C582" s="21"/>
      <c r="D582" s="21"/>
      <c r="E582" s="21"/>
      <c r="F582" s="22"/>
      <c r="G582" s="20"/>
      <c r="H582" s="23"/>
      <c r="I582" s="24"/>
      <c r="J582" s="14" t="str">
        <f aca="false">IF(C582="","",-E582*H582*IF(OR(B582="Sell call",B582="Buy to close",B582="Expired",B582="Assigned"),100,1)-I582)</f>
        <v/>
      </c>
      <c r="K582" s="21"/>
      <c r="L582" s="21"/>
      <c r="M582" s="21"/>
      <c r="N582" s="8" t="str">
        <f aca="false">IF(A582="","",IF(COUNTIFS(Reconcile!$I:$I,A582,Reconcile!$H:$H,"&gt;="&amp;(J582-0.01),Reconcile!$H:$H,"&lt;="&amp;(J582+0.01))&gt;0,"Yes","Not yet"))</f>
        <v/>
      </c>
      <c r="O582" s="21"/>
    </row>
    <row r="583" customFormat="false" ht="15" hidden="false" customHeight="false" outlineLevel="0" collapsed="false">
      <c r="A583" s="20"/>
      <c r="B583" s="21"/>
      <c r="C583" s="21"/>
      <c r="D583" s="21"/>
      <c r="E583" s="21"/>
      <c r="F583" s="22"/>
      <c r="G583" s="20"/>
      <c r="H583" s="23"/>
      <c r="I583" s="24"/>
      <c r="J583" s="14" t="str">
        <f aca="false">IF(C583="","",-E583*H583*IF(OR(B583="Sell call",B583="Buy to close",B583="Expired",B583="Assigned"),100,1)-I583)</f>
        <v/>
      </c>
      <c r="K583" s="21"/>
      <c r="L583" s="21"/>
      <c r="M583" s="21"/>
      <c r="N583" s="8" t="str">
        <f aca="false">IF(A583="","",IF(COUNTIFS(Reconcile!$I:$I,A583,Reconcile!$H:$H,"&gt;="&amp;(J583-0.01),Reconcile!$H:$H,"&lt;="&amp;(J583+0.01))&gt;0,"Yes","Not yet"))</f>
        <v/>
      </c>
      <c r="O583" s="21"/>
    </row>
    <row r="584" customFormat="false" ht="15" hidden="false" customHeight="false" outlineLevel="0" collapsed="false">
      <c r="A584" s="20"/>
      <c r="B584" s="21"/>
      <c r="C584" s="21"/>
      <c r="D584" s="21"/>
      <c r="E584" s="21"/>
      <c r="F584" s="22"/>
      <c r="G584" s="20"/>
      <c r="H584" s="23"/>
      <c r="I584" s="24"/>
      <c r="J584" s="14" t="str">
        <f aca="false">IF(C584="","",-E584*H584*IF(OR(B584="Sell call",B584="Buy to close",B584="Expired",B584="Assigned"),100,1)-I584)</f>
        <v/>
      </c>
      <c r="K584" s="21"/>
      <c r="L584" s="21"/>
      <c r="M584" s="21"/>
      <c r="N584" s="8" t="str">
        <f aca="false">IF(A584="","",IF(COUNTIFS(Reconcile!$I:$I,A584,Reconcile!$H:$H,"&gt;="&amp;(J584-0.01),Reconcile!$H:$H,"&lt;="&amp;(J584+0.01))&gt;0,"Yes","Not yet"))</f>
        <v/>
      </c>
      <c r="O584" s="21"/>
    </row>
    <row r="585" customFormat="false" ht="15" hidden="false" customHeight="false" outlineLevel="0" collapsed="false">
      <c r="A585" s="20"/>
      <c r="B585" s="21"/>
      <c r="C585" s="21"/>
      <c r="D585" s="21"/>
      <c r="E585" s="21"/>
      <c r="F585" s="22"/>
      <c r="G585" s="20"/>
      <c r="H585" s="23"/>
      <c r="I585" s="24"/>
      <c r="J585" s="14" t="str">
        <f aca="false">IF(C585="","",-E585*H585*IF(OR(B585="Sell call",B585="Buy to close",B585="Expired",B585="Assigned"),100,1)-I585)</f>
        <v/>
      </c>
      <c r="K585" s="21"/>
      <c r="L585" s="21"/>
      <c r="M585" s="21"/>
      <c r="N585" s="8" t="str">
        <f aca="false">IF(A585="","",IF(COUNTIFS(Reconcile!$I:$I,A585,Reconcile!$H:$H,"&gt;="&amp;(J585-0.01),Reconcile!$H:$H,"&lt;="&amp;(J585+0.01))&gt;0,"Yes","Not yet"))</f>
        <v/>
      </c>
      <c r="O585" s="21"/>
    </row>
    <row r="586" customFormat="false" ht="15" hidden="false" customHeight="false" outlineLevel="0" collapsed="false">
      <c r="A586" s="20"/>
      <c r="B586" s="21"/>
      <c r="C586" s="21"/>
      <c r="D586" s="21"/>
      <c r="E586" s="21"/>
      <c r="F586" s="22"/>
      <c r="G586" s="20"/>
      <c r="H586" s="23"/>
      <c r="I586" s="24"/>
      <c r="J586" s="14" t="str">
        <f aca="false">IF(C586="","",-E586*H586*IF(OR(B586="Sell call",B586="Buy to close",B586="Expired",B586="Assigned"),100,1)-I586)</f>
        <v/>
      </c>
      <c r="K586" s="21"/>
      <c r="L586" s="21"/>
      <c r="M586" s="21"/>
      <c r="N586" s="8" t="str">
        <f aca="false">IF(A586="","",IF(COUNTIFS(Reconcile!$I:$I,A586,Reconcile!$H:$H,"&gt;="&amp;(J586-0.01),Reconcile!$H:$H,"&lt;="&amp;(J586+0.01))&gt;0,"Yes","Not yet"))</f>
        <v/>
      </c>
      <c r="O586" s="21"/>
    </row>
    <row r="587" customFormat="false" ht="15" hidden="false" customHeight="false" outlineLevel="0" collapsed="false">
      <c r="A587" s="20"/>
      <c r="B587" s="21"/>
      <c r="C587" s="21"/>
      <c r="D587" s="21"/>
      <c r="E587" s="21"/>
      <c r="F587" s="22"/>
      <c r="G587" s="20"/>
      <c r="H587" s="23"/>
      <c r="I587" s="24"/>
      <c r="J587" s="14" t="str">
        <f aca="false">IF(C587="","",-E587*H587*IF(OR(B587="Sell call",B587="Buy to close",B587="Expired",B587="Assigned"),100,1)-I587)</f>
        <v/>
      </c>
      <c r="K587" s="21"/>
      <c r="L587" s="21"/>
      <c r="M587" s="21"/>
      <c r="N587" s="8" t="str">
        <f aca="false">IF(A587="","",IF(COUNTIFS(Reconcile!$I:$I,A587,Reconcile!$H:$H,"&gt;="&amp;(J587-0.01),Reconcile!$H:$H,"&lt;="&amp;(J587+0.01))&gt;0,"Yes","Not yet"))</f>
        <v/>
      </c>
      <c r="O587" s="21"/>
    </row>
    <row r="588" customFormat="false" ht="15" hidden="false" customHeight="false" outlineLevel="0" collapsed="false">
      <c r="A588" s="20"/>
      <c r="B588" s="21"/>
      <c r="C588" s="21"/>
      <c r="D588" s="21"/>
      <c r="E588" s="21"/>
      <c r="F588" s="22"/>
      <c r="G588" s="20"/>
      <c r="H588" s="23"/>
      <c r="I588" s="24"/>
      <c r="J588" s="14" t="str">
        <f aca="false">IF(C588="","",-E588*H588*IF(OR(B588="Sell call",B588="Buy to close",B588="Expired",B588="Assigned"),100,1)-I588)</f>
        <v/>
      </c>
      <c r="K588" s="21"/>
      <c r="L588" s="21"/>
      <c r="M588" s="21"/>
      <c r="N588" s="8" t="str">
        <f aca="false">IF(A588="","",IF(COUNTIFS(Reconcile!$I:$I,A588,Reconcile!$H:$H,"&gt;="&amp;(J588-0.01),Reconcile!$H:$H,"&lt;="&amp;(J588+0.01))&gt;0,"Yes","Not yet"))</f>
        <v/>
      </c>
      <c r="O588" s="21"/>
    </row>
    <row r="589" customFormat="false" ht="15" hidden="false" customHeight="false" outlineLevel="0" collapsed="false">
      <c r="A589" s="20"/>
      <c r="B589" s="21"/>
      <c r="C589" s="21"/>
      <c r="D589" s="21"/>
      <c r="E589" s="21"/>
      <c r="F589" s="22"/>
      <c r="G589" s="20"/>
      <c r="H589" s="23"/>
      <c r="I589" s="24"/>
      <c r="J589" s="14" t="str">
        <f aca="false">IF(C589="","",-E589*H589*IF(OR(B589="Sell call",B589="Buy to close",B589="Expired",B589="Assigned"),100,1)-I589)</f>
        <v/>
      </c>
      <c r="K589" s="21"/>
      <c r="L589" s="21"/>
      <c r="M589" s="21"/>
      <c r="N589" s="8" t="str">
        <f aca="false">IF(A589="","",IF(COUNTIFS(Reconcile!$I:$I,A589,Reconcile!$H:$H,"&gt;="&amp;(J589-0.01),Reconcile!$H:$H,"&lt;="&amp;(J589+0.01))&gt;0,"Yes","Not yet"))</f>
        <v/>
      </c>
      <c r="O589" s="21"/>
    </row>
    <row r="590" customFormat="false" ht="15" hidden="false" customHeight="false" outlineLevel="0" collapsed="false">
      <c r="A590" s="20"/>
      <c r="B590" s="21"/>
      <c r="C590" s="21"/>
      <c r="D590" s="21"/>
      <c r="E590" s="21"/>
      <c r="F590" s="22"/>
      <c r="G590" s="20"/>
      <c r="H590" s="23"/>
      <c r="I590" s="24"/>
      <c r="J590" s="14" t="str">
        <f aca="false">IF(C590="","",-E590*H590*IF(OR(B590="Sell call",B590="Buy to close",B590="Expired",B590="Assigned"),100,1)-I590)</f>
        <v/>
      </c>
      <c r="K590" s="21"/>
      <c r="L590" s="21"/>
      <c r="M590" s="21"/>
      <c r="N590" s="8" t="str">
        <f aca="false">IF(A590="","",IF(COUNTIFS(Reconcile!$I:$I,A590,Reconcile!$H:$H,"&gt;="&amp;(J590-0.01),Reconcile!$H:$H,"&lt;="&amp;(J590+0.01))&gt;0,"Yes","Not yet"))</f>
        <v/>
      </c>
      <c r="O590" s="21"/>
    </row>
    <row r="591" customFormat="false" ht="15" hidden="false" customHeight="false" outlineLevel="0" collapsed="false">
      <c r="A591" s="20"/>
      <c r="B591" s="21"/>
      <c r="C591" s="21"/>
      <c r="D591" s="21"/>
      <c r="E591" s="21"/>
      <c r="F591" s="22"/>
      <c r="G591" s="20"/>
      <c r="H591" s="23"/>
      <c r="I591" s="24"/>
      <c r="J591" s="14" t="str">
        <f aca="false">IF(C591="","",-E591*H591*IF(OR(B591="Sell call",B591="Buy to close",B591="Expired",B591="Assigned"),100,1)-I591)</f>
        <v/>
      </c>
      <c r="K591" s="21"/>
      <c r="L591" s="21"/>
      <c r="M591" s="21"/>
      <c r="N591" s="8" t="str">
        <f aca="false">IF(A591="","",IF(COUNTIFS(Reconcile!$I:$I,A591,Reconcile!$H:$H,"&gt;="&amp;(J591-0.01),Reconcile!$H:$H,"&lt;="&amp;(J591+0.01))&gt;0,"Yes","Not yet"))</f>
        <v/>
      </c>
      <c r="O591" s="21"/>
    </row>
    <row r="592" customFormat="false" ht="15" hidden="false" customHeight="false" outlineLevel="0" collapsed="false">
      <c r="A592" s="20"/>
      <c r="B592" s="21"/>
      <c r="C592" s="21"/>
      <c r="D592" s="21"/>
      <c r="E592" s="21"/>
      <c r="F592" s="22"/>
      <c r="G592" s="20"/>
      <c r="H592" s="23"/>
      <c r="I592" s="24"/>
      <c r="J592" s="14" t="str">
        <f aca="false">IF(C592="","",-E592*H592*IF(OR(B592="Sell call",B592="Buy to close",B592="Expired",B592="Assigned"),100,1)-I592)</f>
        <v/>
      </c>
      <c r="K592" s="21"/>
      <c r="L592" s="21"/>
      <c r="M592" s="21"/>
      <c r="N592" s="8" t="str">
        <f aca="false">IF(A592="","",IF(COUNTIFS(Reconcile!$I:$I,A592,Reconcile!$H:$H,"&gt;="&amp;(J592-0.01),Reconcile!$H:$H,"&lt;="&amp;(J592+0.01))&gt;0,"Yes","Not yet"))</f>
        <v/>
      </c>
      <c r="O592" s="21"/>
    </row>
    <row r="593" customFormat="false" ht="15" hidden="false" customHeight="false" outlineLevel="0" collapsed="false">
      <c r="A593" s="20"/>
      <c r="B593" s="21"/>
      <c r="C593" s="21"/>
      <c r="D593" s="21"/>
      <c r="E593" s="21"/>
      <c r="F593" s="22"/>
      <c r="G593" s="20"/>
      <c r="H593" s="23"/>
      <c r="I593" s="24"/>
      <c r="J593" s="14" t="str">
        <f aca="false">IF(C593="","",-E593*H593*IF(OR(B593="Sell call",B593="Buy to close",B593="Expired",B593="Assigned"),100,1)-I593)</f>
        <v/>
      </c>
      <c r="K593" s="21"/>
      <c r="L593" s="21"/>
      <c r="M593" s="21"/>
      <c r="N593" s="8" t="str">
        <f aca="false">IF(A593="","",IF(COUNTIFS(Reconcile!$I:$I,A593,Reconcile!$H:$H,"&gt;="&amp;(J593-0.01),Reconcile!$H:$H,"&lt;="&amp;(J593+0.01))&gt;0,"Yes","Not yet"))</f>
        <v/>
      </c>
      <c r="O593" s="21"/>
    </row>
    <row r="594" customFormat="false" ht="15" hidden="false" customHeight="false" outlineLevel="0" collapsed="false">
      <c r="A594" s="20"/>
      <c r="B594" s="21"/>
      <c r="C594" s="21"/>
      <c r="D594" s="21"/>
      <c r="E594" s="21"/>
      <c r="F594" s="22"/>
      <c r="G594" s="20"/>
      <c r="H594" s="23"/>
      <c r="I594" s="24"/>
      <c r="J594" s="14" t="str">
        <f aca="false">IF(C594="","",-E594*H594*IF(OR(B594="Sell call",B594="Buy to close",B594="Expired",B594="Assigned"),100,1)-I594)</f>
        <v/>
      </c>
      <c r="K594" s="21"/>
      <c r="L594" s="21"/>
      <c r="M594" s="21"/>
      <c r="N594" s="8" t="str">
        <f aca="false">IF(A594="","",IF(COUNTIFS(Reconcile!$I:$I,A594,Reconcile!$H:$H,"&gt;="&amp;(J594-0.01),Reconcile!$H:$H,"&lt;="&amp;(J594+0.01))&gt;0,"Yes","Not yet"))</f>
        <v/>
      </c>
      <c r="O594" s="21"/>
    </row>
    <row r="595" customFormat="false" ht="15" hidden="false" customHeight="false" outlineLevel="0" collapsed="false">
      <c r="A595" s="20"/>
      <c r="B595" s="21"/>
      <c r="C595" s="21"/>
      <c r="D595" s="21"/>
      <c r="E595" s="21"/>
      <c r="F595" s="22"/>
      <c r="G595" s="20"/>
      <c r="H595" s="23"/>
      <c r="I595" s="24"/>
      <c r="J595" s="14" t="str">
        <f aca="false">IF(C595="","",-E595*H595*IF(OR(B595="Sell call",B595="Buy to close",B595="Expired",B595="Assigned"),100,1)-I595)</f>
        <v/>
      </c>
      <c r="K595" s="21"/>
      <c r="L595" s="21"/>
      <c r="M595" s="21"/>
      <c r="N595" s="8" t="str">
        <f aca="false">IF(A595="","",IF(COUNTIFS(Reconcile!$I:$I,A595,Reconcile!$H:$H,"&gt;="&amp;(J595-0.01),Reconcile!$H:$H,"&lt;="&amp;(J595+0.01))&gt;0,"Yes","Not yet"))</f>
        <v/>
      </c>
      <c r="O595" s="21"/>
    </row>
    <row r="596" customFormat="false" ht="15" hidden="false" customHeight="false" outlineLevel="0" collapsed="false">
      <c r="A596" s="20"/>
      <c r="B596" s="21"/>
      <c r="C596" s="21"/>
      <c r="D596" s="21"/>
      <c r="E596" s="21"/>
      <c r="F596" s="22"/>
      <c r="G596" s="20"/>
      <c r="H596" s="23"/>
      <c r="I596" s="24"/>
      <c r="J596" s="14" t="str">
        <f aca="false">IF(C596="","",-E596*H596*IF(OR(B596="Sell call",B596="Buy to close",B596="Expired",B596="Assigned"),100,1)-I596)</f>
        <v/>
      </c>
      <c r="K596" s="21"/>
      <c r="L596" s="21"/>
      <c r="M596" s="21"/>
      <c r="N596" s="8" t="str">
        <f aca="false">IF(A596="","",IF(COUNTIFS(Reconcile!$I:$I,A596,Reconcile!$H:$H,"&gt;="&amp;(J596-0.01),Reconcile!$H:$H,"&lt;="&amp;(J596+0.01))&gt;0,"Yes","Not yet"))</f>
        <v/>
      </c>
      <c r="O596" s="21"/>
    </row>
    <row r="597" customFormat="false" ht="15" hidden="false" customHeight="false" outlineLevel="0" collapsed="false">
      <c r="A597" s="20"/>
      <c r="B597" s="21"/>
      <c r="C597" s="21"/>
      <c r="D597" s="21"/>
      <c r="E597" s="21"/>
      <c r="F597" s="22"/>
      <c r="G597" s="20"/>
      <c r="H597" s="23"/>
      <c r="I597" s="24"/>
      <c r="J597" s="14" t="str">
        <f aca="false">IF(C597="","",-E597*H597*IF(OR(B597="Sell call",B597="Buy to close",B597="Expired",B597="Assigned"),100,1)-I597)</f>
        <v/>
      </c>
      <c r="K597" s="21"/>
      <c r="L597" s="21"/>
      <c r="M597" s="21"/>
      <c r="N597" s="8" t="str">
        <f aca="false">IF(A597="","",IF(COUNTIFS(Reconcile!$I:$I,A597,Reconcile!$H:$H,"&gt;="&amp;(J597-0.01),Reconcile!$H:$H,"&lt;="&amp;(J597+0.01))&gt;0,"Yes","Not yet"))</f>
        <v/>
      </c>
      <c r="O597" s="21"/>
    </row>
    <row r="598" customFormat="false" ht="15" hidden="false" customHeight="false" outlineLevel="0" collapsed="false">
      <c r="A598" s="20"/>
      <c r="B598" s="21"/>
      <c r="C598" s="21"/>
      <c r="D598" s="21"/>
      <c r="E598" s="21"/>
      <c r="F598" s="22"/>
      <c r="G598" s="20"/>
      <c r="H598" s="23"/>
      <c r="I598" s="24"/>
      <c r="J598" s="14" t="str">
        <f aca="false">IF(C598="","",-E598*H598*IF(OR(B598="Sell call",B598="Buy to close",B598="Expired",B598="Assigned"),100,1)-I598)</f>
        <v/>
      </c>
      <c r="K598" s="21"/>
      <c r="L598" s="21"/>
      <c r="M598" s="21"/>
      <c r="N598" s="8" t="str">
        <f aca="false">IF(A598="","",IF(COUNTIFS(Reconcile!$I:$I,A598,Reconcile!$H:$H,"&gt;="&amp;(J598-0.01),Reconcile!$H:$H,"&lt;="&amp;(J598+0.01))&gt;0,"Yes","Not yet"))</f>
        <v/>
      </c>
      <c r="O598" s="21"/>
    </row>
    <row r="599" customFormat="false" ht="15" hidden="false" customHeight="false" outlineLevel="0" collapsed="false">
      <c r="A599" s="20"/>
      <c r="B599" s="21"/>
      <c r="C599" s="21"/>
      <c r="D599" s="21"/>
      <c r="E599" s="21"/>
      <c r="F599" s="22"/>
      <c r="G599" s="20"/>
      <c r="H599" s="23"/>
      <c r="I599" s="24"/>
      <c r="J599" s="14" t="str">
        <f aca="false">IF(C599="","",-E599*H599*IF(OR(B599="Sell call",B599="Buy to close",B599="Expired",B599="Assigned"),100,1)-I599)</f>
        <v/>
      </c>
      <c r="K599" s="21"/>
      <c r="L599" s="21"/>
      <c r="M599" s="21"/>
      <c r="N599" s="8" t="str">
        <f aca="false">IF(A599="","",IF(COUNTIFS(Reconcile!$I:$I,A599,Reconcile!$H:$H,"&gt;="&amp;(J599-0.01),Reconcile!$H:$H,"&lt;="&amp;(J599+0.01))&gt;0,"Yes","Not yet"))</f>
        <v/>
      </c>
      <c r="O599" s="21"/>
    </row>
    <row r="600" customFormat="false" ht="15" hidden="false" customHeight="false" outlineLevel="0" collapsed="false">
      <c r="A600" s="20"/>
      <c r="B600" s="21"/>
      <c r="C600" s="21"/>
      <c r="D600" s="21"/>
      <c r="E600" s="21"/>
      <c r="F600" s="22"/>
      <c r="G600" s="20"/>
      <c r="H600" s="23"/>
      <c r="I600" s="24"/>
      <c r="J600" s="14" t="str">
        <f aca="false">IF(C600="","",-E600*H600*IF(OR(B600="Sell call",B600="Buy to close",B600="Expired",B600="Assigned"),100,1)-I600)</f>
        <v/>
      </c>
      <c r="K600" s="21"/>
      <c r="L600" s="21"/>
      <c r="M600" s="21"/>
      <c r="N600" s="8" t="str">
        <f aca="false">IF(A600="","",IF(COUNTIFS(Reconcile!$I:$I,A600,Reconcile!$H:$H,"&gt;="&amp;(J600-0.01),Reconcile!$H:$H,"&lt;="&amp;(J600+0.01))&gt;0,"Yes","Not yet"))</f>
        <v/>
      </c>
      <c r="O600" s="21"/>
    </row>
    <row r="601" customFormat="false" ht="15" hidden="false" customHeight="false" outlineLevel="0" collapsed="false">
      <c r="A601" s="20"/>
      <c r="B601" s="21"/>
      <c r="C601" s="21"/>
      <c r="D601" s="21"/>
      <c r="E601" s="21"/>
      <c r="F601" s="22"/>
      <c r="G601" s="20"/>
      <c r="H601" s="23"/>
      <c r="I601" s="24"/>
      <c r="J601" s="14" t="str">
        <f aca="false">IF(C601="","",-E601*H601*IF(OR(B601="Sell call",B601="Buy to close",B601="Expired",B601="Assigned"),100,1)-I601)</f>
        <v/>
      </c>
      <c r="K601" s="21"/>
      <c r="L601" s="21"/>
      <c r="M601" s="21"/>
      <c r="N601" s="8" t="str">
        <f aca="false">IF(A601="","",IF(COUNTIFS(Reconcile!$I:$I,A601,Reconcile!$H:$H,"&gt;="&amp;(J601-0.01),Reconcile!$H:$H,"&lt;="&amp;(J601+0.01))&gt;0,"Yes","Not yet"))</f>
        <v/>
      </c>
      <c r="O601" s="21"/>
    </row>
    <row r="602" customFormat="false" ht="15" hidden="false" customHeight="false" outlineLevel="0" collapsed="false">
      <c r="A602" s="20"/>
      <c r="B602" s="21"/>
      <c r="C602" s="21"/>
      <c r="D602" s="21"/>
      <c r="E602" s="21"/>
      <c r="F602" s="22"/>
      <c r="G602" s="20"/>
      <c r="H602" s="23"/>
      <c r="I602" s="24"/>
      <c r="J602" s="14" t="str">
        <f aca="false">IF(C602="","",-E602*H602*IF(OR(B602="Sell call",B602="Buy to close",B602="Expired",B602="Assigned"),100,1)-I602)</f>
        <v/>
      </c>
      <c r="K602" s="21"/>
      <c r="L602" s="21"/>
      <c r="M602" s="21"/>
      <c r="N602" s="8" t="str">
        <f aca="false">IF(A602="","",IF(COUNTIFS(Reconcile!$I:$I,A602,Reconcile!$H:$H,"&gt;="&amp;(J602-0.01),Reconcile!$H:$H,"&lt;="&amp;(J602+0.01))&gt;0,"Yes","Not yet"))</f>
        <v/>
      </c>
      <c r="O602" s="21"/>
    </row>
    <row r="603" customFormat="false" ht="15" hidden="false" customHeight="false" outlineLevel="0" collapsed="false">
      <c r="A603" s="20"/>
      <c r="B603" s="21"/>
      <c r="C603" s="21"/>
      <c r="D603" s="21"/>
      <c r="E603" s="21"/>
      <c r="F603" s="22"/>
      <c r="G603" s="20"/>
      <c r="H603" s="23"/>
      <c r="I603" s="24"/>
      <c r="J603" s="14" t="str">
        <f aca="false">IF(C603="","",-E603*H603*IF(OR(B603="Sell call",B603="Buy to close",B603="Expired",B603="Assigned"),100,1)-I603)</f>
        <v/>
      </c>
      <c r="K603" s="21"/>
      <c r="L603" s="21"/>
      <c r="M603" s="21"/>
      <c r="N603" s="8" t="str">
        <f aca="false">IF(A603="","",IF(COUNTIFS(Reconcile!$I:$I,A603,Reconcile!$H:$H,"&gt;="&amp;(J603-0.01),Reconcile!$H:$H,"&lt;="&amp;(J603+0.01))&gt;0,"Yes","Not yet"))</f>
        <v/>
      </c>
      <c r="O603" s="21"/>
    </row>
    <row r="604" customFormat="false" ht="15" hidden="false" customHeight="false" outlineLevel="0" collapsed="false">
      <c r="A604" s="20"/>
      <c r="B604" s="21"/>
      <c r="C604" s="21"/>
      <c r="D604" s="21"/>
      <c r="E604" s="21"/>
      <c r="F604" s="22"/>
      <c r="G604" s="20"/>
      <c r="H604" s="23"/>
      <c r="I604" s="24"/>
      <c r="J604" s="14" t="str">
        <f aca="false">IF(C604="","",-E604*H604*IF(OR(B604="Sell call",B604="Buy to close",B604="Expired",B604="Assigned"),100,1)-I604)</f>
        <v/>
      </c>
      <c r="K604" s="21"/>
      <c r="L604" s="21"/>
      <c r="M604" s="21"/>
      <c r="N604" s="8" t="str">
        <f aca="false">IF(A604="","",IF(COUNTIFS(Reconcile!$I:$I,A604,Reconcile!$H:$H,"&gt;="&amp;(J604-0.01),Reconcile!$H:$H,"&lt;="&amp;(J604+0.01))&gt;0,"Yes","Not yet"))</f>
        <v/>
      </c>
      <c r="O604" s="21"/>
    </row>
    <row r="605" customFormat="false" ht="15" hidden="false" customHeight="false" outlineLevel="0" collapsed="false">
      <c r="A605" s="20"/>
      <c r="B605" s="21"/>
      <c r="C605" s="21"/>
      <c r="D605" s="21"/>
      <c r="E605" s="21"/>
      <c r="F605" s="22"/>
      <c r="G605" s="20"/>
      <c r="H605" s="23"/>
      <c r="I605" s="24"/>
      <c r="J605" s="14" t="str">
        <f aca="false">IF(C605="","",-E605*H605*IF(OR(B605="Sell call",B605="Buy to close",B605="Expired",B605="Assigned"),100,1)-I605)</f>
        <v/>
      </c>
      <c r="K605" s="21"/>
      <c r="L605" s="21"/>
      <c r="M605" s="21"/>
      <c r="N605" s="8" t="str">
        <f aca="false">IF(A605="","",IF(COUNTIFS(Reconcile!$I:$I,A605,Reconcile!$H:$H,"&gt;="&amp;(J605-0.01),Reconcile!$H:$H,"&lt;="&amp;(J605+0.01))&gt;0,"Yes","Not yet"))</f>
        <v/>
      </c>
      <c r="O605" s="21"/>
    </row>
    <row r="606" customFormat="false" ht="15" hidden="false" customHeight="false" outlineLevel="0" collapsed="false">
      <c r="A606" s="20"/>
      <c r="B606" s="21"/>
      <c r="C606" s="21"/>
      <c r="D606" s="21"/>
      <c r="E606" s="21"/>
      <c r="F606" s="22"/>
      <c r="G606" s="20"/>
      <c r="H606" s="23"/>
      <c r="I606" s="24"/>
      <c r="J606" s="14" t="str">
        <f aca="false">IF(C606="","",-E606*H606*IF(OR(B606="Sell call",B606="Buy to close",B606="Expired",B606="Assigned"),100,1)-I606)</f>
        <v/>
      </c>
      <c r="K606" s="21"/>
      <c r="L606" s="21"/>
      <c r="M606" s="21"/>
      <c r="N606" s="8" t="str">
        <f aca="false">IF(A606="","",IF(COUNTIFS(Reconcile!$I:$I,A606,Reconcile!$H:$H,"&gt;="&amp;(J606-0.01),Reconcile!$H:$H,"&lt;="&amp;(J606+0.01))&gt;0,"Yes","Not yet"))</f>
        <v/>
      </c>
      <c r="O606" s="21"/>
    </row>
    <row r="607" customFormat="false" ht="15" hidden="false" customHeight="false" outlineLevel="0" collapsed="false">
      <c r="A607" s="20"/>
      <c r="B607" s="21"/>
      <c r="C607" s="21"/>
      <c r="D607" s="21"/>
      <c r="E607" s="21"/>
      <c r="F607" s="22"/>
      <c r="G607" s="20"/>
      <c r="H607" s="23"/>
      <c r="I607" s="24"/>
      <c r="J607" s="14" t="str">
        <f aca="false">IF(C607="","",-E607*H607*IF(OR(B607="Sell call",B607="Buy to close",B607="Expired",B607="Assigned"),100,1)-I607)</f>
        <v/>
      </c>
      <c r="K607" s="21"/>
      <c r="L607" s="21"/>
      <c r="M607" s="21"/>
      <c r="N607" s="8" t="str">
        <f aca="false">IF(A607="","",IF(COUNTIFS(Reconcile!$I:$I,A607,Reconcile!$H:$H,"&gt;="&amp;(J607-0.01),Reconcile!$H:$H,"&lt;="&amp;(J607+0.01))&gt;0,"Yes","Not yet"))</f>
        <v/>
      </c>
      <c r="O607" s="21"/>
    </row>
    <row r="608" customFormat="false" ht="15" hidden="false" customHeight="false" outlineLevel="0" collapsed="false">
      <c r="A608" s="20"/>
      <c r="B608" s="21"/>
      <c r="C608" s="21"/>
      <c r="D608" s="21"/>
      <c r="E608" s="21"/>
      <c r="F608" s="22"/>
      <c r="G608" s="20"/>
      <c r="H608" s="23"/>
      <c r="I608" s="24"/>
      <c r="J608" s="14" t="str">
        <f aca="false">IF(C608="","",-E608*H608*IF(OR(B608="Sell call",B608="Buy to close",B608="Expired",B608="Assigned"),100,1)-I608)</f>
        <v/>
      </c>
      <c r="K608" s="21"/>
      <c r="L608" s="21"/>
      <c r="M608" s="21"/>
      <c r="N608" s="8" t="str">
        <f aca="false">IF(A608="","",IF(COUNTIFS(Reconcile!$I:$I,A608,Reconcile!$H:$H,"&gt;="&amp;(J608-0.01),Reconcile!$H:$H,"&lt;="&amp;(J608+0.01))&gt;0,"Yes","Not yet"))</f>
        <v/>
      </c>
      <c r="O608" s="21"/>
    </row>
    <row r="609" customFormat="false" ht="15" hidden="false" customHeight="false" outlineLevel="0" collapsed="false">
      <c r="A609" s="20"/>
      <c r="B609" s="21"/>
      <c r="C609" s="21"/>
      <c r="D609" s="21"/>
      <c r="E609" s="21"/>
      <c r="F609" s="22"/>
      <c r="G609" s="20"/>
      <c r="H609" s="23"/>
      <c r="I609" s="24"/>
      <c r="J609" s="14" t="str">
        <f aca="false">IF(C609="","",-E609*H609*IF(OR(B609="Sell call",B609="Buy to close",B609="Expired",B609="Assigned"),100,1)-I609)</f>
        <v/>
      </c>
      <c r="K609" s="21"/>
      <c r="L609" s="21"/>
      <c r="M609" s="21"/>
      <c r="N609" s="8" t="str">
        <f aca="false">IF(A609="","",IF(COUNTIFS(Reconcile!$I:$I,A609,Reconcile!$H:$H,"&gt;="&amp;(J609-0.01),Reconcile!$H:$H,"&lt;="&amp;(J609+0.01))&gt;0,"Yes","Not yet"))</f>
        <v/>
      </c>
      <c r="O609" s="21"/>
    </row>
    <row r="610" customFormat="false" ht="15" hidden="false" customHeight="false" outlineLevel="0" collapsed="false">
      <c r="A610" s="20"/>
      <c r="B610" s="21"/>
      <c r="C610" s="21"/>
      <c r="D610" s="21"/>
      <c r="E610" s="21"/>
      <c r="F610" s="22"/>
      <c r="G610" s="20"/>
      <c r="H610" s="23"/>
      <c r="I610" s="24"/>
      <c r="J610" s="14" t="str">
        <f aca="false">IF(C610="","",-E610*H610*IF(OR(B610="Sell call",B610="Buy to close",B610="Expired",B610="Assigned"),100,1)-I610)</f>
        <v/>
      </c>
      <c r="K610" s="21"/>
      <c r="L610" s="21"/>
      <c r="M610" s="21"/>
      <c r="N610" s="8" t="str">
        <f aca="false">IF(A610="","",IF(COUNTIFS(Reconcile!$I:$I,A610,Reconcile!$H:$H,"&gt;="&amp;(J610-0.01),Reconcile!$H:$H,"&lt;="&amp;(J610+0.01))&gt;0,"Yes","Not yet"))</f>
        <v/>
      </c>
      <c r="O610" s="21"/>
    </row>
    <row r="611" customFormat="false" ht="15" hidden="false" customHeight="false" outlineLevel="0" collapsed="false">
      <c r="A611" s="20"/>
      <c r="B611" s="21"/>
      <c r="C611" s="21"/>
      <c r="D611" s="21"/>
      <c r="E611" s="21"/>
      <c r="F611" s="22"/>
      <c r="G611" s="20"/>
      <c r="H611" s="23"/>
      <c r="I611" s="24"/>
      <c r="J611" s="14" t="str">
        <f aca="false">IF(C611="","",-E611*H611*IF(OR(B611="Sell call",B611="Buy to close",B611="Expired",B611="Assigned"),100,1)-I611)</f>
        <v/>
      </c>
      <c r="K611" s="21"/>
      <c r="L611" s="21"/>
      <c r="M611" s="21"/>
      <c r="N611" s="8" t="str">
        <f aca="false">IF(A611="","",IF(COUNTIFS(Reconcile!$I:$I,A611,Reconcile!$H:$H,"&gt;="&amp;(J611-0.01),Reconcile!$H:$H,"&lt;="&amp;(J611+0.01))&gt;0,"Yes","Not yet"))</f>
        <v/>
      </c>
      <c r="O611" s="21"/>
    </row>
    <row r="612" customFormat="false" ht="15" hidden="false" customHeight="false" outlineLevel="0" collapsed="false">
      <c r="A612" s="20"/>
      <c r="B612" s="21"/>
      <c r="C612" s="21"/>
      <c r="D612" s="21"/>
      <c r="E612" s="21"/>
      <c r="F612" s="22"/>
      <c r="G612" s="20"/>
      <c r="H612" s="23"/>
      <c r="I612" s="24"/>
      <c r="J612" s="14" t="str">
        <f aca="false">IF(C612="","",-E612*H612*IF(OR(B612="Sell call",B612="Buy to close",B612="Expired",B612="Assigned"),100,1)-I612)</f>
        <v/>
      </c>
      <c r="K612" s="21"/>
      <c r="L612" s="21"/>
      <c r="M612" s="21"/>
      <c r="N612" s="8" t="str">
        <f aca="false">IF(A612="","",IF(COUNTIFS(Reconcile!$I:$I,A612,Reconcile!$H:$H,"&gt;="&amp;(J612-0.01),Reconcile!$H:$H,"&lt;="&amp;(J612+0.01))&gt;0,"Yes","Not yet"))</f>
        <v/>
      </c>
      <c r="O612" s="21"/>
    </row>
    <row r="613" customFormat="false" ht="15" hidden="false" customHeight="false" outlineLevel="0" collapsed="false">
      <c r="A613" s="20"/>
      <c r="B613" s="21"/>
      <c r="C613" s="21"/>
      <c r="D613" s="21"/>
      <c r="E613" s="21"/>
      <c r="F613" s="22"/>
      <c r="G613" s="20"/>
      <c r="H613" s="23"/>
      <c r="I613" s="24"/>
      <c r="J613" s="14" t="str">
        <f aca="false">IF(C613="","",-E613*H613*IF(OR(B613="Sell call",B613="Buy to close",B613="Expired",B613="Assigned"),100,1)-I613)</f>
        <v/>
      </c>
      <c r="K613" s="21"/>
      <c r="L613" s="21"/>
      <c r="M613" s="21"/>
      <c r="N613" s="8" t="str">
        <f aca="false">IF(A613="","",IF(COUNTIFS(Reconcile!$I:$I,A613,Reconcile!$H:$H,"&gt;="&amp;(J613-0.01),Reconcile!$H:$H,"&lt;="&amp;(J613+0.01))&gt;0,"Yes","Not yet"))</f>
        <v/>
      </c>
      <c r="O613" s="21"/>
    </row>
    <row r="614" customFormat="false" ht="15" hidden="false" customHeight="false" outlineLevel="0" collapsed="false">
      <c r="A614" s="20"/>
      <c r="B614" s="21"/>
      <c r="C614" s="21"/>
      <c r="D614" s="21"/>
      <c r="E614" s="21"/>
      <c r="F614" s="22"/>
      <c r="G614" s="20"/>
      <c r="H614" s="23"/>
      <c r="I614" s="24"/>
      <c r="J614" s="14" t="str">
        <f aca="false">IF(C614="","",-E614*H614*IF(OR(B614="Sell call",B614="Buy to close",B614="Expired",B614="Assigned"),100,1)-I614)</f>
        <v/>
      </c>
      <c r="K614" s="21"/>
      <c r="L614" s="21"/>
      <c r="M614" s="21"/>
      <c r="N614" s="8" t="str">
        <f aca="false">IF(A614="","",IF(COUNTIFS(Reconcile!$I:$I,A614,Reconcile!$H:$H,"&gt;="&amp;(J614-0.01),Reconcile!$H:$H,"&lt;="&amp;(J614+0.01))&gt;0,"Yes","Not yet"))</f>
        <v/>
      </c>
      <c r="O614" s="21"/>
    </row>
    <row r="615" customFormat="false" ht="15" hidden="false" customHeight="false" outlineLevel="0" collapsed="false">
      <c r="A615" s="20"/>
      <c r="B615" s="21"/>
      <c r="C615" s="21"/>
      <c r="D615" s="21"/>
      <c r="E615" s="21"/>
      <c r="F615" s="22"/>
      <c r="G615" s="20"/>
      <c r="H615" s="23"/>
      <c r="I615" s="24"/>
      <c r="J615" s="14" t="str">
        <f aca="false">IF(C615="","",-E615*H615*IF(OR(B615="Sell call",B615="Buy to close",B615="Expired",B615="Assigned"),100,1)-I615)</f>
        <v/>
      </c>
      <c r="K615" s="21"/>
      <c r="L615" s="21"/>
      <c r="M615" s="21"/>
      <c r="N615" s="8" t="str">
        <f aca="false">IF(A615="","",IF(COUNTIFS(Reconcile!$I:$I,A615,Reconcile!$H:$H,"&gt;="&amp;(J615-0.01),Reconcile!$H:$H,"&lt;="&amp;(J615+0.01))&gt;0,"Yes","Not yet"))</f>
        <v/>
      </c>
      <c r="O615" s="21"/>
    </row>
    <row r="616" customFormat="false" ht="15" hidden="false" customHeight="false" outlineLevel="0" collapsed="false">
      <c r="A616" s="20"/>
      <c r="B616" s="21"/>
      <c r="C616" s="21"/>
      <c r="D616" s="21"/>
      <c r="E616" s="21"/>
      <c r="F616" s="22"/>
      <c r="G616" s="20"/>
      <c r="H616" s="23"/>
      <c r="I616" s="24"/>
      <c r="J616" s="14" t="str">
        <f aca="false">IF(C616="","",-E616*H616*IF(OR(B616="Sell call",B616="Buy to close",B616="Expired",B616="Assigned"),100,1)-I616)</f>
        <v/>
      </c>
      <c r="K616" s="21"/>
      <c r="L616" s="21"/>
      <c r="M616" s="21"/>
      <c r="N616" s="8" t="str">
        <f aca="false">IF(A616="","",IF(COUNTIFS(Reconcile!$I:$I,A616,Reconcile!$H:$H,"&gt;="&amp;(J616-0.01),Reconcile!$H:$H,"&lt;="&amp;(J616+0.01))&gt;0,"Yes","Not yet"))</f>
        <v/>
      </c>
      <c r="O616" s="21"/>
    </row>
    <row r="617" customFormat="false" ht="15" hidden="false" customHeight="false" outlineLevel="0" collapsed="false">
      <c r="A617" s="20"/>
      <c r="B617" s="21"/>
      <c r="C617" s="21"/>
      <c r="D617" s="21"/>
      <c r="E617" s="21"/>
      <c r="F617" s="22"/>
      <c r="G617" s="20"/>
      <c r="H617" s="23"/>
      <c r="I617" s="24"/>
      <c r="J617" s="14" t="str">
        <f aca="false">IF(C617="","",-E617*H617*IF(OR(B617="Sell call",B617="Buy to close",B617="Expired",B617="Assigned"),100,1)-I617)</f>
        <v/>
      </c>
      <c r="K617" s="21"/>
      <c r="L617" s="21"/>
      <c r="M617" s="21"/>
      <c r="N617" s="8" t="str">
        <f aca="false">IF(A617="","",IF(COUNTIFS(Reconcile!$I:$I,A617,Reconcile!$H:$H,"&gt;="&amp;(J617-0.01),Reconcile!$H:$H,"&lt;="&amp;(J617+0.01))&gt;0,"Yes","Not yet"))</f>
        <v/>
      </c>
      <c r="O617" s="21"/>
    </row>
    <row r="618" customFormat="false" ht="15" hidden="false" customHeight="false" outlineLevel="0" collapsed="false">
      <c r="A618" s="20"/>
      <c r="B618" s="21"/>
      <c r="C618" s="21"/>
      <c r="D618" s="21"/>
      <c r="E618" s="21"/>
      <c r="F618" s="22"/>
      <c r="G618" s="20"/>
      <c r="H618" s="23"/>
      <c r="I618" s="24"/>
      <c r="J618" s="14" t="str">
        <f aca="false">IF(C618="","",-E618*H618*IF(OR(B618="Sell call",B618="Buy to close",B618="Expired",B618="Assigned"),100,1)-I618)</f>
        <v/>
      </c>
      <c r="K618" s="21"/>
      <c r="L618" s="21"/>
      <c r="M618" s="21"/>
      <c r="N618" s="8" t="str">
        <f aca="false">IF(A618="","",IF(COUNTIFS(Reconcile!$I:$I,A618,Reconcile!$H:$H,"&gt;="&amp;(J618-0.01),Reconcile!$H:$H,"&lt;="&amp;(J618+0.01))&gt;0,"Yes","Not yet"))</f>
        <v/>
      </c>
      <c r="O618" s="21"/>
    </row>
    <row r="619" customFormat="false" ht="15" hidden="false" customHeight="false" outlineLevel="0" collapsed="false">
      <c r="A619" s="20"/>
      <c r="B619" s="21"/>
      <c r="C619" s="21"/>
      <c r="D619" s="21"/>
      <c r="E619" s="21"/>
      <c r="F619" s="22"/>
      <c r="G619" s="20"/>
      <c r="H619" s="23"/>
      <c r="I619" s="24"/>
      <c r="J619" s="14" t="str">
        <f aca="false">IF(C619="","",-E619*H619*IF(OR(B619="Sell call",B619="Buy to close",B619="Expired",B619="Assigned"),100,1)-I619)</f>
        <v/>
      </c>
      <c r="K619" s="21"/>
      <c r="L619" s="21"/>
      <c r="M619" s="21"/>
      <c r="N619" s="8" t="str">
        <f aca="false">IF(A619="","",IF(COUNTIFS(Reconcile!$I:$I,A619,Reconcile!$H:$H,"&gt;="&amp;(J619-0.01),Reconcile!$H:$H,"&lt;="&amp;(J619+0.01))&gt;0,"Yes","Not yet"))</f>
        <v/>
      </c>
      <c r="O619" s="21"/>
    </row>
    <row r="620" customFormat="false" ht="15" hidden="false" customHeight="false" outlineLevel="0" collapsed="false">
      <c r="A620" s="20"/>
      <c r="B620" s="21"/>
      <c r="C620" s="21"/>
      <c r="D620" s="21"/>
      <c r="E620" s="21"/>
      <c r="F620" s="22"/>
      <c r="G620" s="20"/>
      <c r="H620" s="23"/>
      <c r="I620" s="24"/>
      <c r="J620" s="14" t="str">
        <f aca="false">IF(C620="","",-E620*H620*IF(OR(B620="Sell call",B620="Buy to close",B620="Expired",B620="Assigned"),100,1)-I620)</f>
        <v/>
      </c>
      <c r="K620" s="21"/>
      <c r="L620" s="21"/>
      <c r="M620" s="21"/>
      <c r="N620" s="8" t="str">
        <f aca="false">IF(A620="","",IF(COUNTIFS(Reconcile!$I:$I,A620,Reconcile!$H:$H,"&gt;="&amp;(J620-0.01),Reconcile!$H:$H,"&lt;="&amp;(J620+0.01))&gt;0,"Yes","Not yet"))</f>
        <v/>
      </c>
      <c r="O620" s="21"/>
    </row>
    <row r="621" customFormat="false" ht="15" hidden="false" customHeight="false" outlineLevel="0" collapsed="false">
      <c r="A621" s="20"/>
      <c r="B621" s="21"/>
      <c r="C621" s="21"/>
      <c r="D621" s="21"/>
      <c r="E621" s="21"/>
      <c r="F621" s="22"/>
      <c r="G621" s="20"/>
      <c r="H621" s="23"/>
      <c r="I621" s="24"/>
      <c r="J621" s="14" t="str">
        <f aca="false">IF(C621="","",-E621*H621*IF(OR(B621="Sell call",B621="Buy to close",B621="Expired",B621="Assigned"),100,1)-I621)</f>
        <v/>
      </c>
      <c r="K621" s="21"/>
      <c r="L621" s="21"/>
      <c r="M621" s="21"/>
      <c r="N621" s="8" t="str">
        <f aca="false">IF(A621="","",IF(COUNTIFS(Reconcile!$I:$I,A621,Reconcile!$H:$H,"&gt;="&amp;(J621-0.01),Reconcile!$H:$H,"&lt;="&amp;(J621+0.01))&gt;0,"Yes","Not yet"))</f>
        <v/>
      </c>
      <c r="O621" s="21"/>
    </row>
    <row r="622" customFormat="false" ht="15" hidden="false" customHeight="false" outlineLevel="0" collapsed="false">
      <c r="A622" s="20"/>
      <c r="B622" s="21"/>
      <c r="C622" s="21"/>
      <c r="D622" s="21"/>
      <c r="E622" s="21"/>
      <c r="F622" s="22"/>
      <c r="G622" s="20"/>
      <c r="H622" s="23"/>
      <c r="I622" s="24"/>
      <c r="J622" s="14" t="str">
        <f aca="false">IF(C622="","",-E622*H622*IF(OR(B622="Sell call",B622="Buy to close",B622="Expired",B622="Assigned"),100,1)-I622)</f>
        <v/>
      </c>
      <c r="K622" s="21"/>
      <c r="L622" s="21"/>
      <c r="M622" s="21"/>
      <c r="N622" s="8" t="str">
        <f aca="false">IF(A622="","",IF(COUNTIFS(Reconcile!$I:$I,A622,Reconcile!$H:$H,"&gt;="&amp;(J622-0.01),Reconcile!$H:$H,"&lt;="&amp;(J622+0.01))&gt;0,"Yes","Not yet"))</f>
        <v/>
      </c>
      <c r="O622" s="21"/>
    </row>
    <row r="623" customFormat="false" ht="15" hidden="false" customHeight="false" outlineLevel="0" collapsed="false">
      <c r="A623" s="20"/>
      <c r="B623" s="21"/>
      <c r="C623" s="21"/>
      <c r="D623" s="21"/>
      <c r="E623" s="21"/>
      <c r="F623" s="22"/>
      <c r="G623" s="20"/>
      <c r="H623" s="23"/>
      <c r="I623" s="24"/>
      <c r="J623" s="14" t="str">
        <f aca="false">IF(C623="","",-E623*H623*IF(OR(B623="Sell call",B623="Buy to close",B623="Expired",B623="Assigned"),100,1)-I623)</f>
        <v/>
      </c>
      <c r="K623" s="21"/>
      <c r="L623" s="21"/>
      <c r="M623" s="21"/>
      <c r="N623" s="8" t="str">
        <f aca="false">IF(A623="","",IF(COUNTIFS(Reconcile!$I:$I,A623,Reconcile!$H:$H,"&gt;="&amp;(J623-0.01),Reconcile!$H:$H,"&lt;="&amp;(J623+0.01))&gt;0,"Yes","Not yet"))</f>
        <v/>
      </c>
      <c r="O623" s="21"/>
    </row>
    <row r="624" customFormat="false" ht="15" hidden="false" customHeight="false" outlineLevel="0" collapsed="false">
      <c r="A624" s="20"/>
      <c r="B624" s="21"/>
      <c r="C624" s="21"/>
      <c r="D624" s="21"/>
      <c r="E624" s="21"/>
      <c r="F624" s="22"/>
      <c r="G624" s="20"/>
      <c r="H624" s="23"/>
      <c r="I624" s="24"/>
      <c r="J624" s="14" t="str">
        <f aca="false">IF(C624="","",-E624*H624*IF(OR(B624="Sell call",B624="Buy to close",B624="Expired",B624="Assigned"),100,1)-I624)</f>
        <v/>
      </c>
      <c r="K624" s="21"/>
      <c r="L624" s="21"/>
      <c r="M624" s="21"/>
      <c r="N624" s="8" t="str">
        <f aca="false">IF(A624="","",IF(COUNTIFS(Reconcile!$I:$I,A624,Reconcile!$H:$H,"&gt;="&amp;(J624-0.01),Reconcile!$H:$H,"&lt;="&amp;(J624+0.01))&gt;0,"Yes","Not yet"))</f>
        <v/>
      </c>
      <c r="O624" s="21"/>
    </row>
    <row r="625" customFormat="false" ht="15" hidden="false" customHeight="false" outlineLevel="0" collapsed="false">
      <c r="A625" s="20"/>
      <c r="B625" s="21"/>
      <c r="C625" s="21"/>
      <c r="D625" s="21"/>
      <c r="E625" s="21"/>
      <c r="F625" s="22"/>
      <c r="G625" s="20"/>
      <c r="H625" s="23"/>
      <c r="I625" s="24"/>
      <c r="J625" s="14" t="str">
        <f aca="false">IF(C625="","",-E625*H625*IF(OR(B625="Sell call",B625="Buy to close",B625="Expired",B625="Assigned"),100,1)-I625)</f>
        <v/>
      </c>
      <c r="K625" s="21"/>
      <c r="L625" s="21"/>
      <c r="M625" s="21"/>
      <c r="N625" s="8" t="str">
        <f aca="false">IF(A625="","",IF(COUNTIFS(Reconcile!$I:$I,A625,Reconcile!$H:$H,"&gt;="&amp;(J625-0.01),Reconcile!$H:$H,"&lt;="&amp;(J625+0.01))&gt;0,"Yes","Not yet"))</f>
        <v/>
      </c>
      <c r="O625" s="21"/>
    </row>
    <row r="626" customFormat="false" ht="15" hidden="false" customHeight="false" outlineLevel="0" collapsed="false">
      <c r="A626" s="20"/>
      <c r="B626" s="21"/>
      <c r="C626" s="21"/>
      <c r="D626" s="21"/>
      <c r="E626" s="21"/>
      <c r="F626" s="22"/>
      <c r="G626" s="20"/>
      <c r="H626" s="23"/>
      <c r="I626" s="24"/>
      <c r="J626" s="14" t="str">
        <f aca="false">IF(C626="","",-E626*H626*IF(OR(B626="Sell call",B626="Buy to close",B626="Expired",B626="Assigned"),100,1)-I626)</f>
        <v/>
      </c>
      <c r="K626" s="21"/>
      <c r="L626" s="21"/>
      <c r="M626" s="21"/>
      <c r="N626" s="8" t="str">
        <f aca="false">IF(A626="","",IF(COUNTIFS(Reconcile!$I:$I,A626,Reconcile!$H:$H,"&gt;="&amp;(J626-0.01),Reconcile!$H:$H,"&lt;="&amp;(J626+0.01))&gt;0,"Yes","Not yet"))</f>
        <v/>
      </c>
      <c r="O626" s="21"/>
    </row>
    <row r="627" customFormat="false" ht="15" hidden="false" customHeight="false" outlineLevel="0" collapsed="false">
      <c r="A627" s="20"/>
      <c r="B627" s="21"/>
      <c r="C627" s="21"/>
      <c r="D627" s="21"/>
      <c r="E627" s="21"/>
      <c r="F627" s="22"/>
      <c r="G627" s="20"/>
      <c r="H627" s="23"/>
      <c r="I627" s="24"/>
      <c r="J627" s="14" t="str">
        <f aca="false">IF(C627="","",-E627*H627*IF(OR(B627="Sell call",B627="Buy to close",B627="Expired",B627="Assigned"),100,1)-I627)</f>
        <v/>
      </c>
      <c r="K627" s="21"/>
      <c r="L627" s="21"/>
      <c r="M627" s="21"/>
      <c r="N627" s="8" t="str">
        <f aca="false">IF(A627="","",IF(COUNTIFS(Reconcile!$I:$I,A627,Reconcile!$H:$H,"&gt;="&amp;(J627-0.01),Reconcile!$H:$H,"&lt;="&amp;(J627+0.01))&gt;0,"Yes","Not yet"))</f>
        <v/>
      </c>
      <c r="O627" s="21"/>
    </row>
    <row r="628" customFormat="false" ht="15" hidden="false" customHeight="false" outlineLevel="0" collapsed="false">
      <c r="A628" s="20"/>
      <c r="B628" s="21"/>
      <c r="C628" s="21"/>
      <c r="D628" s="21"/>
      <c r="E628" s="21"/>
      <c r="F628" s="22"/>
      <c r="G628" s="20"/>
      <c r="H628" s="23"/>
      <c r="I628" s="24"/>
      <c r="J628" s="14" t="str">
        <f aca="false">IF(C628="","",-E628*H628*IF(OR(B628="Sell call",B628="Buy to close",B628="Expired",B628="Assigned"),100,1)-I628)</f>
        <v/>
      </c>
      <c r="K628" s="21"/>
      <c r="L628" s="21"/>
      <c r="M628" s="21"/>
      <c r="N628" s="8" t="str">
        <f aca="false">IF(A628="","",IF(COUNTIFS(Reconcile!$I:$I,A628,Reconcile!$H:$H,"&gt;="&amp;(J628-0.01),Reconcile!$H:$H,"&lt;="&amp;(J628+0.01))&gt;0,"Yes","Not yet"))</f>
        <v/>
      </c>
      <c r="O628" s="21"/>
    </row>
    <row r="629" customFormat="false" ht="15" hidden="false" customHeight="false" outlineLevel="0" collapsed="false">
      <c r="A629" s="20"/>
      <c r="B629" s="21"/>
      <c r="C629" s="21"/>
      <c r="D629" s="21"/>
      <c r="E629" s="21"/>
      <c r="F629" s="22"/>
      <c r="G629" s="20"/>
      <c r="H629" s="23"/>
      <c r="I629" s="24"/>
      <c r="J629" s="14" t="str">
        <f aca="false">IF(C629="","",-E629*H629*IF(OR(B629="Sell call",B629="Buy to close",B629="Expired",B629="Assigned"),100,1)-I629)</f>
        <v/>
      </c>
      <c r="K629" s="21"/>
      <c r="L629" s="21"/>
      <c r="M629" s="21"/>
      <c r="N629" s="8" t="str">
        <f aca="false">IF(A629="","",IF(COUNTIFS(Reconcile!$I:$I,A629,Reconcile!$H:$H,"&gt;="&amp;(J629-0.01),Reconcile!$H:$H,"&lt;="&amp;(J629+0.01))&gt;0,"Yes","Not yet"))</f>
        <v/>
      </c>
      <c r="O629" s="21"/>
    </row>
    <row r="630" customFormat="false" ht="15" hidden="false" customHeight="false" outlineLevel="0" collapsed="false">
      <c r="A630" s="20"/>
      <c r="B630" s="21"/>
      <c r="C630" s="21"/>
      <c r="D630" s="21"/>
      <c r="E630" s="21"/>
      <c r="F630" s="22"/>
      <c r="G630" s="20"/>
      <c r="H630" s="23"/>
      <c r="I630" s="24"/>
      <c r="J630" s="14" t="str">
        <f aca="false">IF(C630="","",-E630*H630*IF(OR(B630="Sell call",B630="Buy to close",B630="Expired",B630="Assigned"),100,1)-I630)</f>
        <v/>
      </c>
      <c r="K630" s="21"/>
      <c r="L630" s="21"/>
      <c r="M630" s="21"/>
      <c r="N630" s="8" t="str">
        <f aca="false">IF(A630="","",IF(COUNTIFS(Reconcile!$I:$I,A630,Reconcile!$H:$H,"&gt;="&amp;(J630-0.01),Reconcile!$H:$H,"&lt;="&amp;(J630+0.01))&gt;0,"Yes","Not yet"))</f>
        <v/>
      </c>
      <c r="O630" s="21"/>
    </row>
    <row r="631" customFormat="false" ht="15" hidden="false" customHeight="false" outlineLevel="0" collapsed="false">
      <c r="A631" s="20"/>
      <c r="B631" s="21"/>
      <c r="C631" s="21"/>
      <c r="D631" s="21"/>
      <c r="E631" s="21"/>
      <c r="F631" s="22"/>
      <c r="G631" s="20"/>
      <c r="H631" s="23"/>
      <c r="I631" s="24"/>
      <c r="J631" s="14" t="str">
        <f aca="false">IF(C631="","",-E631*H631*IF(OR(B631="Sell call",B631="Buy to close",B631="Expired",B631="Assigned"),100,1)-I631)</f>
        <v/>
      </c>
      <c r="K631" s="21"/>
      <c r="L631" s="21"/>
      <c r="M631" s="21"/>
      <c r="N631" s="8" t="str">
        <f aca="false">IF(A631="","",IF(COUNTIFS(Reconcile!$I:$I,A631,Reconcile!$H:$H,"&gt;="&amp;(J631-0.01),Reconcile!$H:$H,"&lt;="&amp;(J631+0.01))&gt;0,"Yes","Not yet"))</f>
        <v/>
      </c>
      <c r="O631" s="21"/>
    </row>
    <row r="632" customFormat="false" ht="15" hidden="false" customHeight="false" outlineLevel="0" collapsed="false">
      <c r="A632" s="20"/>
      <c r="B632" s="21"/>
      <c r="C632" s="21"/>
      <c r="D632" s="21"/>
      <c r="E632" s="21"/>
      <c r="F632" s="22"/>
      <c r="G632" s="20"/>
      <c r="H632" s="23"/>
      <c r="I632" s="24"/>
      <c r="J632" s="14" t="str">
        <f aca="false">IF(C632="","",-E632*H632*IF(OR(B632="Sell call",B632="Buy to close",B632="Expired",B632="Assigned"),100,1)-I632)</f>
        <v/>
      </c>
      <c r="K632" s="21"/>
      <c r="L632" s="21"/>
      <c r="M632" s="21"/>
      <c r="N632" s="8" t="str">
        <f aca="false">IF(A632="","",IF(COUNTIFS(Reconcile!$I:$I,A632,Reconcile!$H:$H,"&gt;="&amp;(J632-0.01),Reconcile!$H:$H,"&lt;="&amp;(J632+0.01))&gt;0,"Yes","Not yet"))</f>
        <v/>
      </c>
      <c r="O632" s="21"/>
    </row>
    <row r="633" customFormat="false" ht="15" hidden="false" customHeight="false" outlineLevel="0" collapsed="false">
      <c r="A633" s="20"/>
      <c r="B633" s="21"/>
      <c r="C633" s="21"/>
      <c r="D633" s="21"/>
      <c r="E633" s="21"/>
      <c r="F633" s="22"/>
      <c r="G633" s="20"/>
      <c r="H633" s="23"/>
      <c r="I633" s="24"/>
      <c r="J633" s="14" t="str">
        <f aca="false">IF(C633="","",-E633*H633*IF(OR(B633="Sell call",B633="Buy to close",B633="Expired",B633="Assigned"),100,1)-I633)</f>
        <v/>
      </c>
      <c r="K633" s="21"/>
      <c r="L633" s="21"/>
      <c r="M633" s="21"/>
      <c r="N633" s="8" t="str">
        <f aca="false">IF(A633="","",IF(COUNTIFS(Reconcile!$I:$I,A633,Reconcile!$H:$H,"&gt;="&amp;(J633-0.01),Reconcile!$H:$H,"&lt;="&amp;(J633+0.01))&gt;0,"Yes","Not yet"))</f>
        <v/>
      </c>
      <c r="O633" s="21"/>
    </row>
    <row r="634" customFormat="false" ht="15" hidden="false" customHeight="false" outlineLevel="0" collapsed="false">
      <c r="A634" s="20"/>
      <c r="B634" s="21"/>
      <c r="C634" s="21"/>
      <c r="D634" s="21"/>
      <c r="E634" s="21"/>
      <c r="F634" s="22"/>
      <c r="G634" s="20"/>
      <c r="H634" s="23"/>
      <c r="I634" s="24"/>
      <c r="J634" s="14" t="str">
        <f aca="false">IF(C634="","",-E634*H634*IF(OR(B634="Sell call",B634="Buy to close",B634="Expired",B634="Assigned"),100,1)-I634)</f>
        <v/>
      </c>
      <c r="K634" s="21"/>
      <c r="L634" s="21"/>
      <c r="M634" s="21"/>
      <c r="N634" s="8" t="str">
        <f aca="false">IF(A634="","",IF(COUNTIFS(Reconcile!$I:$I,A634,Reconcile!$H:$H,"&gt;="&amp;(J634-0.01),Reconcile!$H:$H,"&lt;="&amp;(J634+0.01))&gt;0,"Yes","Not yet"))</f>
        <v/>
      </c>
      <c r="O634" s="21"/>
    </row>
    <row r="635" customFormat="false" ht="15" hidden="false" customHeight="false" outlineLevel="0" collapsed="false">
      <c r="A635" s="20"/>
      <c r="B635" s="21"/>
      <c r="C635" s="21"/>
      <c r="D635" s="21"/>
      <c r="E635" s="21"/>
      <c r="F635" s="22"/>
      <c r="G635" s="20"/>
      <c r="H635" s="23"/>
      <c r="I635" s="24"/>
      <c r="J635" s="14" t="str">
        <f aca="false">IF(C635="","",-E635*H635*IF(OR(B635="Sell call",B635="Buy to close",B635="Expired",B635="Assigned"),100,1)-I635)</f>
        <v/>
      </c>
      <c r="K635" s="21"/>
      <c r="L635" s="21"/>
      <c r="M635" s="21"/>
      <c r="N635" s="8" t="str">
        <f aca="false">IF(A635="","",IF(COUNTIFS(Reconcile!$I:$I,A635,Reconcile!$H:$H,"&gt;="&amp;(J635-0.01),Reconcile!$H:$H,"&lt;="&amp;(J635+0.01))&gt;0,"Yes","Not yet"))</f>
        <v/>
      </c>
      <c r="O635" s="21"/>
    </row>
    <row r="636" customFormat="false" ht="15" hidden="false" customHeight="false" outlineLevel="0" collapsed="false">
      <c r="A636" s="20"/>
      <c r="B636" s="21"/>
      <c r="C636" s="21"/>
      <c r="D636" s="21"/>
      <c r="E636" s="21"/>
      <c r="F636" s="22"/>
      <c r="G636" s="20"/>
      <c r="H636" s="23"/>
      <c r="I636" s="24"/>
      <c r="J636" s="14" t="str">
        <f aca="false">IF(C636="","",-E636*H636*IF(OR(B636="Sell call",B636="Buy to close",B636="Expired",B636="Assigned"),100,1)-I636)</f>
        <v/>
      </c>
      <c r="K636" s="21"/>
      <c r="L636" s="21"/>
      <c r="M636" s="21"/>
      <c r="N636" s="8" t="str">
        <f aca="false">IF(A636="","",IF(COUNTIFS(Reconcile!$I:$I,A636,Reconcile!$H:$H,"&gt;="&amp;(J636-0.01),Reconcile!$H:$H,"&lt;="&amp;(J636+0.01))&gt;0,"Yes","Not yet"))</f>
        <v/>
      </c>
      <c r="O636" s="21"/>
    </row>
    <row r="637" customFormat="false" ht="15" hidden="false" customHeight="false" outlineLevel="0" collapsed="false">
      <c r="A637" s="20"/>
      <c r="B637" s="21"/>
      <c r="C637" s="21"/>
      <c r="D637" s="21"/>
      <c r="E637" s="21"/>
      <c r="F637" s="22"/>
      <c r="G637" s="20"/>
      <c r="H637" s="23"/>
      <c r="I637" s="24"/>
      <c r="J637" s="14" t="str">
        <f aca="false">IF(C637="","",-E637*H637*IF(OR(B637="Sell call",B637="Buy to close",B637="Expired",B637="Assigned"),100,1)-I637)</f>
        <v/>
      </c>
      <c r="K637" s="21"/>
      <c r="L637" s="21"/>
      <c r="M637" s="21"/>
      <c r="N637" s="8" t="str">
        <f aca="false">IF(A637="","",IF(COUNTIFS(Reconcile!$I:$I,A637,Reconcile!$H:$H,"&gt;="&amp;(J637-0.01),Reconcile!$H:$H,"&lt;="&amp;(J637+0.01))&gt;0,"Yes","Not yet"))</f>
        <v/>
      </c>
      <c r="O637" s="21"/>
    </row>
    <row r="638" customFormat="false" ht="15" hidden="false" customHeight="false" outlineLevel="0" collapsed="false">
      <c r="A638" s="20"/>
      <c r="B638" s="21"/>
      <c r="C638" s="21"/>
      <c r="D638" s="21"/>
      <c r="E638" s="21"/>
      <c r="F638" s="22"/>
      <c r="G638" s="20"/>
      <c r="H638" s="23"/>
      <c r="I638" s="24"/>
      <c r="J638" s="14" t="str">
        <f aca="false">IF(C638="","",-E638*H638*IF(OR(B638="Sell call",B638="Buy to close",B638="Expired",B638="Assigned"),100,1)-I638)</f>
        <v/>
      </c>
      <c r="K638" s="21"/>
      <c r="L638" s="21"/>
      <c r="M638" s="21"/>
      <c r="N638" s="8" t="str">
        <f aca="false">IF(A638="","",IF(COUNTIFS(Reconcile!$I:$I,A638,Reconcile!$H:$H,"&gt;="&amp;(J638-0.01),Reconcile!$H:$H,"&lt;="&amp;(J638+0.01))&gt;0,"Yes","Not yet"))</f>
        <v/>
      </c>
      <c r="O638" s="21"/>
    </row>
    <row r="639" customFormat="false" ht="15" hidden="false" customHeight="false" outlineLevel="0" collapsed="false">
      <c r="A639" s="20"/>
      <c r="B639" s="21"/>
      <c r="C639" s="21"/>
      <c r="D639" s="21"/>
      <c r="E639" s="21"/>
      <c r="F639" s="22"/>
      <c r="G639" s="20"/>
      <c r="H639" s="23"/>
      <c r="I639" s="24"/>
      <c r="J639" s="14" t="str">
        <f aca="false">IF(C639="","",-E639*H639*IF(OR(B639="Sell call",B639="Buy to close",B639="Expired",B639="Assigned"),100,1)-I639)</f>
        <v/>
      </c>
      <c r="K639" s="21"/>
      <c r="L639" s="21"/>
      <c r="M639" s="21"/>
      <c r="N639" s="8" t="str">
        <f aca="false">IF(A639="","",IF(COUNTIFS(Reconcile!$I:$I,A639,Reconcile!$H:$H,"&gt;="&amp;(J639-0.01),Reconcile!$H:$H,"&lt;="&amp;(J639+0.01))&gt;0,"Yes","Not yet"))</f>
        <v/>
      </c>
      <c r="O639" s="21"/>
    </row>
    <row r="640" customFormat="false" ht="15" hidden="false" customHeight="false" outlineLevel="0" collapsed="false">
      <c r="A640" s="20"/>
      <c r="B640" s="21"/>
      <c r="C640" s="21"/>
      <c r="D640" s="21"/>
      <c r="E640" s="21"/>
      <c r="F640" s="22"/>
      <c r="G640" s="20"/>
      <c r="H640" s="23"/>
      <c r="I640" s="24"/>
      <c r="J640" s="14" t="str">
        <f aca="false">IF(C640="","",-E640*H640*IF(OR(B640="Sell call",B640="Buy to close",B640="Expired",B640="Assigned"),100,1)-I640)</f>
        <v/>
      </c>
      <c r="K640" s="21"/>
      <c r="L640" s="21"/>
      <c r="M640" s="21"/>
      <c r="N640" s="8" t="str">
        <f aca="false">IF(A640="","",IF(COUNTIFS(Reconcile!$I:$I,A640,Reconcile!$H:$H,"&gt;="&amp;(J640-0.01),Reconcile!$H:$H,"&lt;="&amp;(J640+0.01))&gt;0,"Yes","Not yet"))</f>
        <v/>
      </c>
      <c r="O640" s="21"/>
    </row>
    <row r="641" customFormat="false" ht="15" hidden="false" customHeight="false" outlineLevel="0" collapsed="false">
      <c r="A641" s="20"/>
      <c r="B641" s="21"/>
      <c r="C641" s="21"/>
      <c r="D641" s="21"/>
      <c r="E641" s="21"/>
      <c r="F641" s="22"/>
      <c r="G641" s="20"/>
      <c r="H641" s="23"/>
      <c r="I641" s="24"/>
      <c r="J641" s="14" t="str">
        <f aca="false">IF(C641="","",-E641*H641*IF(OR(B641="Sell call",B641="Buy to close",B641="Expired",B641="Assigned"),100,1)-I641)</f>
        <v/>
      </c>
      <c r="K641" s="21"/>
      <c r="L641" s="21"/>
      <c r="M641" s="21"/>
      <c r="N641" s="8" t="str">
        <f aca="false">IF(A641="","",IF(COUNTIFS(Reconcile!$I:$I,A641,Reconcile!$H:$H,"&gt;="&amp;(J641-0.01),Reconcile!$H:$H,"&lt;="&amp;(J641+0.01))&gt;0,"Yes","Not yet"))</f>
        <v/>
      </c>
      <c r="O641" s="21"/>
    </row>
    <row r="642" customFormat="false" ht="15" hidden="false" customHeight="false" outlineLevel="0" collapsed="false">
      <c r="A642" s="20"/>
      <c r="B642" s="21"/>
      <c r="C642" s="21"/>
      <c r="D642" s="21"/>
      <c r="E642" s="21"/>
      <c r="F642" s="22"/>
      <c r="G642" s="20"/>
      <c r="H642" s="23"/>
      <c r="I642" s="24"/>
      <c r="J642" s="14" t="str">
        <f aca="false">IF(C642="","",-E642*H642*IF(OR(B642="Sell call",B642="Buy to close",B642="Expired",B642="Assigned"),100,1)-I642)</f>
        <v/>
      </c>
      <c r="K642" s="21"/>
      <c r="L642" s="21"/>
      <c r="M642" s="21"/>
      <c r="N642" s="8" t="str">
        <f aca="false">IF(A642="","",IF(COUNTIFS(Reconcile!$I:$I,A642,Reconcile!$H:$H,"&gt;="&amp;(J642-0.01),Reconcile!$H:$H,"&lt;="&amp;(J642+0.01))&gt;0,"Yes","Not yet"))</f>
        <v/>
      </c>
      <c r="O642" s="21"/>
    </row>
    <row r="643" customFormat="false" ht="15" hidden="false" customHeight="false" outlineLevel="0" collapsed="false">
      <c r="A643" s="20"/>
      <c r="B643" s="21"/>
      <c r="C643" s="21"/>
      <c r="D643" s="21"/>
      <c r="E643" s="21"/>
      <c r="F643" s="22"/>
      <c r="G643" s="20"/>
      <c r="H643" s="23"/>
      <c r="I643" s="24"/>
      <c r="J643" s="14" t="str">
        <f aca="false">IF(C643="","",-E643*H643*IF(OR(B643="Sell call",B643="Buy to close",B643="Expired",B643="Assigned"),100,1)-I643)</f>
        <v/>
      </c>
      <c r="K643" s="21"/>
      <c r="L643" s="21"/>
      <c r="M643" s="21"/>
      <c r="N643" s="8" t="str">
        <f aca="false">IF(A643="","",IF(COUNTIFS(Reconcile!$I:$I,A643,Reconcile!$H:$H,"&gt;="&amp;(J643-0.01),Reconcile!$H:$H,"&lt;="&amp;(J643+0.01))&gt;0,"Yes","Not yet"))</f>
        <v/>
      </c>
      <c r="O643" s="21"/>
    </row>
    <row r="644" customFormat="false" ht="15" hidden="false" customHeight="false" outlineLevel="0" collapsed="false">
      <c r="A644" s="20"/>
      <c r="B644" s="21"/>
      <c r="C644" s="21"/>
      <c r="D644" s="21"/>
      <c r="E644" s="21"/>
      <c r="F644" s="22"/>
      <c r="G644" s="20"/>
      <c r="H644" s="23"/>
      <c r="I644" s="24"/>
      <c r="J644" s="14" t="str">
        <f aca="false">IF(C644="","",-E644*H644*IF(OR(B644="Sell call",B644="Buy to close",B644="Expired",B644="Assigned"),100,1)-I644)</f>
        <v/>
      </c>
      <c r="K644" s="21"/>
      <c r="L644" s="21"/>
      <c r="M644" s="21"/>
      <c r="N644" s="8" t="str">
        <f aca="false">IF(A644="","",IF(COUNTIFS(Reconcile!$I:$I,A644,Reconcile!$H:$H,"&gt;="&amp;(J644-0.01),Reconcile!$H:$H,"&lt;="&amp;(J644+0.01))&gt;0,"Yes","Not yet"))</f>
        <v/>
      </c>
      <c r="O644" s="21"/>
    </row>
    <row r="645" customFormat="false" ht="15" hidden="false" customHeight="false" outlineLevel="0" collapsed="false">
      <c r="A645" s="20"/>
      <c r="B645" s="21"/>
      <c r="C645" s="21"/>
      <c r="D645" s="21"/>
      <c r="E645" s="21"/>
      <c r="F645" s="22"/>
      <c r="G645" s="20"/>
      <c r="H645" s="23"/>
      <c r="I645" s="24"/>
      <c r="J645" s="14" t="str">
        <f aca="false">IF(C645="","",-E645*H645*IF(OR(B645="Sell call",B645="Buy to close",B645="Expired",B645="Assigned"),100,1)-I645)</f>
        <v/>
      </c>
      <c r="K645" s="21"/>
      <c r="L645" s="21"/>
      <c r="M645" s="21"/>
      <c r="N645" s="8" t="str">
        <f aca="false">IF(A645="","",IF(COUNTIFS(Reconcile!$I:$I,A645,Reconcile!$H:$H,"&gt;="&amp;(J645-0.01),Reconcile!$H:$H,"&lt;="&amp;(J645+0.01))&gt;0,"Yes","Not yet"))</f>
        <v/>
      </c>
      <c r="O645" s="21"/>
    </row>
    <row r="646" customFormat="false" ht="15" hidden="false" customHeight="false" outlineLevel="0" collapsed="false">
      <c r="A646" s="20"/>
      <c r="B646" s="21"/>
      <c r="C646" s="21"/>
      <c r="D646" s="21"/>
      <c r="E646" s="21"/>
      <c r="F646" s="22"/>
      <c r="G646" s="20"/>
      <c r="H646" s="23"/>
      <c r="I646" s="24"/>
      <c r="J646" s="14" t="str">
        <f aca="false">IF(C646="","",-E646*H646*IF(OR(B646="Sell call",B646="Buy to close",B646="Expired",B646="Assigned"),100,1)-I646)</f>
        <v/>
      </c>
      <c r="K646" s="21"/>
      <c r="L646" s="21"/>
      <c r="M646" s="21"/>
      <c r="N646" s="8" t="str">
        <f aca="false">IF(A646="","",IF(COUNTIFS(Reconcile!$I:$I,A646,Reconcile!$H:$H,"&gt;="&amp;(J646-0.01),Reconcile!$H:$H,"&lt;="&amp;(J646+0.01))&gt;0,"Yes","Not yet"))</f>
        <v/>
      </c>
      <c r="O646" s="21"/>
    </row>
    <row r="647" customFormat="false" ht="15" hidden="false" customHeight="false" outlineLevel="0" collapsed="false">
      <c r="A647" s="20"/>
      <c r="B647" s="21"/>
      <c r="C647" s="21"/>
      <c r="D647" s="21"/>
      <c r="E647" s="21"/>
      <c r="F647" s="22"/>
      <c r="G647" s="20"/>
      <c r="H647" s="23"/>
      <c r="I647" s="24"/>
      <c r="J647" s="14" t="str">
        <f aca="false">IF(C647="","",-E647*H647*IF(OR(B647="Sell call",B647="Buy to close",B647="Expired",B647="Assigned"),100,1)-I647)</f>
        <v/>
      </c>
      <c r="K647" s="21"/>
      <c r="L647" s="21"/>
      <c r="M647" s="21"/>
      <c r="N647" s="8" t="str">
        <f aca="false">IF(A647="","",IF(COUNTIFS(Reconcile!$I:$I,A647,Reconcile!$H:$H,"&gt;="&amp;(J647-0.01),Reconcile!$H:$H,"&lt;="&amp;(J647+0.01))&gt;0,"Yes","Not yet"))</f>
        <v/>
      </c>
      <c r="O647" s="21"/>
    </row>
    <row r="648" customFormat="false" ht="15" hidden="false" customHeight="false" outlineLevel="0" collapsed="false">
      <c r="A648" s="20"/>
      <c r="B648" s="21"/>
      <c r="C648" s="21"/>
      <c r="D648" s="21"/>
      <c r="E648" s="21"/>
      <c r="F648" s="22"/>
      <c r="G648" s="20"/>
      <c r="H648" s="23"/>
      <c r="I648" s="24"/>
      <c r="J648" s="14" t="str">
        <f aca="false">IF(C648="","",-E648*H648*IF(OR(B648="Sell call",B648="Buy to close",B648="Expired",B648="Assigned"),100,1)-I648)</f>
        <v/>
      </c>
      <c r="K648" s="21"/>
      <c r="L648" s="21"/>
      <c r="M648" s="21"/>
      <c r="N648" s="8" t="str">
        <f aca="false">IF(A648="","",IF(COUNTIFS(Reconcile!$I:$I,A648,Reconcile!$H:$H,"&gt;="&amp;(J648-0.01),Reconcile!$H:$H,"&lt;="&amp;(J648+0.01))&gt;0,"Yes","Not yet"))</f>
        <v/>
      </c>
      <c r="O648" s="21"/>
    </row>
    <row r="649" customFormat="false" ht="15" hidden="false" customHeight="false" outlineLevel="0" collapsed="false">
      <c r="A649" s="20"/>
      <c r="B649" s="21"/>
      <c r="C649" s="21"/>
      <c r="D649" s="21"/>
      <c r="E649" s="21"/>
      <c r="F649" s="22"/>
      <c r="G649" s="20"/>
      <c r="H649" s="23"/>
      <c r="I649" s="24"/>
      <c r="J649" s="14" t="str">
        <f aca="false">IF(C649="","",-E649*H649*IF(OR(B649="Sell call",B649="Buy to close",B649="Expired",B649="Assigned"),100,1)-I649)</f>
        <v/>
      </c>
      <c r="K649" s="21"/>
      <c r="L649" s="21"/>
      <c r="M649" s="21"/>
      <c r="N649" s="8" t="str">
        <f aca="false">IF(A649="","",IF(COUNTIFS(Reconcile!$I:$I,A649,Reconcile!$H:$H,"&gt;="&amp;(J649-0.01),Reconcile!$H:$H,"&lt;="&amp;(J649+0.01))&gt;0,"Yes","Not yet"))</f>
        <v/>
      </c>
      <c r="O649" s="21"/>
    </row>
    <row r="650" customFormat="false" ht="15" hidden="false" customHeight="false" outlineLevel="0" collapsed="false">
      <c r="A650" s="20"/>
      <c r="B650" s="21"/>
      <c r="C650" s="21"/>
      <c r="D650" s="21"/>
      <c r="E650" s="21"/>
      <c r="F650" s="22"/>
      <c r="G650" s="20"/>
      <c r="H650" s="23"/>
      <c r="I650" s="24"/>
      <c r="J650" s="14" t="str">
        <f aca="false">IF(C650="","",-E650*H650*IF(OR(B650="Sell call",B650="Buy to close",B650="Expired",B650="Assigned"),100,1)-I650)</f>
        <v/>
      </c>
      <c r="K650" s="21"/>
      <c r="L650" s="21"/>
      <c r="M650" s="21"/>
      <c r="N650" s="8" t="str">
        <f aca="false">IF(A650="","",IF(COUNTIFS(Reconcile!$I:$I,A650,Reconcile!$H:$H,"&gt;="&amp;(J650-0.01),Reconcile!$H:$H,"&lt;="&amp;(J650+0.01))&gt;0,"Yes","Not yet"))</f>
        <v/>
      </c>
      <c r="O650" s="21"/>
    </row>
    <row r="651" customFormat="false" ht="15" hidden="false" customHeight="false" outlineLevel="0" collapsed="false">
      <c r="A651" s="20"/>
      <c r="B651" s="21"/>
      <c r="C651" s="21"/>
      <c r="D651" s="21"/>
      <c r="E651" s="21"/>
      <c r="F651" s="22"/>
      <c r="G651" s="20"/>
      <c r="H651" s="23"/>
      <c r="I651" s="24"/>
      <c r="J651" s="14" t="str">
        <f aca="false">IF(C651="","",-E651*H651*IF(OR(B651="Sell call",B651="Buy to close",B651="Expired",B651="Assigned"),100,1)-I651)</f>
        <v/>
      </c>
      <c r="K651" s="21"/>
      <c r="L651" s="21"/>
      <c r="M651" s="21"/>
      <c r="N651" s="8" t="str">
        <f aca="false">IF(A651="","",IF(COUNTIFS(Reconcile!$I:$I,A651,Reconcile!$H:$H,"&gt;="&amp;(J651-0.01),Reconcile!$H:$H,"&lt;="&amp;(J651+0.01))&gt;0,"Yes","Not yet"))</f>
        <v/>
      </c>
      <c r="O651" s="21"/>
    </row>
    <row r="652" customFormat="false" ht="15" hidden="false" customHeight="false" outlineLevel="0" collapsed="false">
      <c r="A652" s="20"/>
      <c r="B652" s="21"/>
      <c r="C652" s="21"/>
      <c r="D652" s="21"/>
      <c r="E652" s="21"/>
      <c r="F652" s="22"/>
      <c r="G652" s="20"/>
      <c r="H652" s="23"/>
      <c r="I652" s="24"/>
      <c r="J652" s="14" t="str">
        <f aca="false">IF(C652="","",-E652*H652*IF(OR(B652="Sell call",B652="Buy to close",B652="Expired",B652="Assigned"),100,1)-I652)</f>
        <v/>
      </c>
      <c r="K652" s="21"/>
      <c r="L652" s="21"/>
      <c r="M652" s="21"/>
      <c r="N652" s="8" t="str">
        <f aca="false">IF(A652="","",IF(COUNTIFS(Reconcile!$I:$I,A652,Reconcile!$H:$H,"&gt;="&amp;(J652-0.01),Reconcile!$H:$H,"&lt;="&amp;(J652+0.01))&gt;0,"Yes","Not yet"))</f>
        <v/>
      </c>
      <c r="O652" s="21"/>
    </row>
    <row r="653" customFormat="false" ht="15" hidden="false" customHeight="false" outlineLevel="0" collapsed="false">
      <c r="A653" s="20"/>
      <c r="B653" s="21"/>
      <c r="C653" s="21"/>
      <c r="D653" s="21"/>
      <c r="E653" s="21"/>
      <c r="F653" s="22"/>
      <c r="G653" s="20"/>
      <c r="H653" s="23"/>
      <c r="I653" s="24"/>
      <c r="J653" s="14" t="str">
        <f aca="false">IF(C653="","",-E653*H653*IF(OR(B653="Sell call",B653="Buy to close",B653="Expired",B653="Assigned"),100,1)-I653)</f>
        <v/>
      </c>
      <c r="K653" s="21"/>
      <c r="L653" s="21"/>
      <c r="M653" s="21"/>
      <c r="N653" s="8" t="str">
        <f aca="false">IF(A653="","",IF(COUNTIFS(Reconcile!$I:$I,A653,Reconcile!$H:$H,"&gt;="&amp;(J653-0.01),Reconcile!$H:$H,"&lt;="&amp;(J653+0.01))&gt;0,"Yes","Not yet"))</f>
        <v/>
      </c>
      <c r="O653" s="21"/>
    </row>
    <row r="654" customFormat="false" ht="15" hidden="false" customHeight="false" outlineLevel="0" collapsed="false">
      <c r="A654" s="20"/>
      <c r="B654" s="21"/>
      <c r="C654" s="21"/>
      <c r="D654" s="21"/>
      <c r="E654" s="21"/>
      <c r="F654" s="22"/>
      <c r="G654" s="20"/>
      <c r="H654" s="23"/>
      <c r="I654" s="24"/>
      <c r="J654" s="14" t="str">
        <f aca="false">IF(C654="","",-E654*H654*IF(OR(B654="Sell call",B654="Buy to close",B654="Expired",B654="Assigned"),100,1)-I654)</f>
        <v/>
      </c>
      <c r="K654" s="21"/>
      <c r="L654" s="21"/>
      <c r="M654" s="21"/>
      <c r="N654" s="8" t="str">
        <f aca="false">IF(A654="","",IF(COUNTIFS(Reconcile!$I:$I,A654,Reconcile!$H:$H,"&gt;="&amp;(J654-0.01),Reconcile!$H:$H,"&lt;="&amp;(J654+0.01))&gt;0,"Yes","Not yet"))</f>
        <v/>
      </c>
      <c r="O654" s="21"/>
    </row>
    <row r="655" customFormat="false" ht="15" hidden="false" customHeight="false" outlineLevel="0" collapsed="false">
      <c r="A655" s="20"/>
      <c r="B655" s="21"/>
      <c r="C655" s="21"/>
      <c r="D655" s="21"/>
      <c r="E655" s="21"/>
      <c r="F655" s="22"/>
      <c r="G655" s="20"/>
      <c r="H655" s="23"/>
      <c r="I655" s="24"/>
      <c r="J655" s="14" t="str">
        <f aca="false">IF(C655="","",-E655*H655*IF(OR(B655="Sell call",B655="Buy to close",B655="Expired",B655="Assigned"),100,1)-I655)</f>
        <v/>
      </c>
      <c r="K655" s="21"/>
      <c r="L655" s="21"/>
      <c r="M655" s="21"/>
      <c r="N655" s="8" t="str">
        <f aca="false">IF(A655="","",IF(COUNTIFS(Reconcile!$I:$I,A655,Reconcile!$H:$H,"&gt;="&amp;(J655-0.01),Reconcile!$H:$H,"&lt;="&amp;(J655+0.01))&gt;0,"Yes","Not yet"))</f>
        <v/>
      </c>
      <c r="O655" s="21"/>
    </row>
    <row r="656" customFormat="false" ht="15" hidden="false" customHeight="false" outlineLevel="0" collapsed="false">
      <c r="A656" s="20"/>
      <c r="B656" s="21"/>
      <c r="C656" s="21"/>
      <c r="D656" s="21"/>
      <c r="E656" s="21"/>
      <c r="F656" s="22"/>
      <c r="G656" s="20"/>
      <c r="H656" s="23"/>
      <c r="I656" s="24"/>
      <c r="J656" s="14" t="str">
        <f aca="false">IF(C656="","",-E656*H656*IF(OR(B656="Sell call",B656="Buy to close",B656="Expired",B656="Assigned"),100,1)-I656)</f>
        <v/>
      </c>
      <c r="K656" s="21"/>
      <c r="L656" s="21"/>
      <c r="M656" s="21"/>
      <c r="N656" s="8" t="str">
        <f aca="false">IF(A656="","",IF(COUNTIFS(Reconcile!$I:$I,A656,Reconcile!$H:$H,"&gt;="&amp;(J656-0.01),Reconcile!$H:$H,"&lt;="&amp;(J656+0.01))&gt;0,"Yes","Not yet"))</f>
        <v/>
      </c>
      <c r="O656" s="21"/>
    </row>
    <row r="657" customFormat="false" ht="15" hidden="false" customHeight="false" outlineLevel="0" collapsed="false">
      <c r="A657" s="20"/>
      <c r="B657" s="21"/>
      <c r="C657" s="21"/>
      <c r="D657" s="21"/>
      <c r="E657" s="21"/>
      <c r="F657" s="22"/>
      <c r="G657" s="20"/>
      <c r="H657" s="23"/>
      <c r="I657" s="24"/>
      <c r="J657" s="14" t="str">
        <f aca="false">IF(C657="","",-E657*H657*IF(OR(B657="Sell call",B657="Buy to close",B657="Expired",B657="Assigned"),100,1)-I657)</f>
        <v/>
      </c>
      <c r="K657" s="21"/>
      <c r="L657" s="21"/>
      <c r="M657" s="21"/>
      <c r="N657" s="8" t="str">
        <f aca="false">IF(A657="","",IF(COUNTIFS(Reconcile!$I:$I,A657,Reconcile!$H:$H,"&gt;="&amp;(J657-0.01),Reconcile!$H:$H,"&lt;="&amp;(J657+0.01))&gt;0,"Yes","Not yet"))</f>
        <v/>
      </c>
      <c r="O657" s="21"/>
    </row>
    <row r="658" customFormat="false" ht="15" hidden="false" customHeight="false" outlineLevel="0" collapsed="false">
      <c r="A658" s="20"/>
      <c r="B658" s="21"/>
      <c r="C658" s="21"/>
      <c r="D658" s="21"/>
      <c r="E658" s="21"/>
      <c r="F658" s="22"/>
      <c r="G658" s="20"/>
      <c r="H658" s="23"/>
      <c r="I658" s="24"/>
      <c r="J658" s="14" t="str">
        <f aca="false">IF(C658="","",-E658*H658*IF(OR(B658="Sell call",B658="Buy to close",B658="Expired",B658="Assigned"),100,1)-I658)</f>
        <v/>
      </c>
      <c r="K658" s="21"/>
      <c r="L658" s="21"/>
      <c r="M658" s="21"/>
      <c r="N658" s="8" t="str">
        <f aca="false">IF(A658="","",IF(COUNTIFS(Reconcile!$I:$I,A658,Reconcile!$H:$H,"&gt;="&amp;(J658-0.01),Reconcile!$H:$H,"&lt;="&amp;(J658+0.01))&gt;0,"Yes","Not yet"))</f>
        <v/>
      </c>
      <c r="O658" s="21"/>
    </row>
    <row r="659" customFormat="false" ht="15" hidden="false" customHeight="false" outlineLevel="0" collapsed="false">
      <c r="A659" s="20"/>
      <c r="B659" s="21"/>
      <c r="C659" s="21"/>
      <c r="D659" s="21"/>
      <c r="E659" s="21"/>
      <c r="F659" s="22"/>
      <c r="G659" s="20"/>
      <c r="H659" s="23"/>
      <c r="I659" s="24"/>
      <c r="J659" s="14" t="str">
        <f aca="false">IF(C659="","",-E659*H659*IF(OR(B659="Sell call",B659="Buy to close",B659="Expired",B659="Assigned"),100,1)-I659)</f>
        <v/>
      </c>
      <c r="K659" s="21"/>
      <c r="L659" s="21"/>
      <c r="M659" s="21"/>
      <c r="N659" s="8" t="str">
        <f aca="false">IF(A659="","",IF(COUNTIFS(Reconcile!$I:$I,A659,Reconcile!$H:$H,"&gt;="&amp;(J659-0.01),Reconcile!$H:$H,"&lt;="&amp;(J659+0.01))&gt;0,"Yes","Not yet"))</f>
        <v/>
      </c>
      <c r="O659" s="21"/>
    </row>
    <row r="660" customFormat="false" ht="15" hidden="false" customHeight="false" outlineLevel="0" collapsed="false">
      <c r="A660" s="20"/>
      <c r="B660" s="21"/>
      <c r="C660" s="21"/>
      <c r="D660" s="21"/>
      <c r="E660" s="21"/>
      <c r="F660" s="22"/>
      <c r="G660" s="20"/>
      <c r="H660" s="23"/>
      <c r="I660" s="24"/>
      <c r="J660" s="14" t="str">
        <f aca="false">IF(C660="","",-E660*H660*IF(OR(B660="Sell call",B660="Buy to close",B660="Expired",B660="Assigned"),100,1)-I660)</f>
        <v/>
      </c>
      <c r="K660" s="21"/>
      <c r="L660" s="21"/>
      <c r="M660" s="21"/>
      <c r="N660" s="8" t="str">
        <f aca="false">IF(A660="","",IF(COUNTIFS(Reconcile!$I:$I,A660,Reconcile!$H:$H,"&gt;="&amp;(J660-0.01),Reconcile!$H:$H,"&lt;="&amp;(J660+0.01))&gt;0,"Yes","Not yet"))</f>
        <v/>
      </c>
      <c r="O660" s="21"/>
    </row>
    <row r="661" customFormat="false" ht="15" hidden="false" customHeight="false" outlineLevel="0" collapsed="false">
      <c r="A661" s="20"/>
      <c r="B661" s="21"/>
      <c r="C661" s="21"/>
      <c r="D661" s="21"/>
      <c r="E661" s="21"/>
      <c r="F661" s="22"/>
      <c r="G661" s="20"/>
      <c r="H661" s="23"/>
      <c r="I661" s="24"/>
      <c r="J661" s="14" t="str">
        <f aca="false">IF(C661="","",-E661*H661*IF(OR(B661="Sell call",B661="Buy to close",B661="Expired",B661="Assigned"),100,1)-I661)</f>
        <v/>
      </c>
      <c r="K661" s="21"/>
      <c r="L661" s="21"/>
      <c r="M661" s="21"/>
      <c r="N661" s="8" t="str">
        <f aca="false">IF(A661="","",IF(COUNTIFS(Reconcile!$I:$I,A661,Reconcile!$H:$H,"&gt;="&amp;(J661-0.01),Reconcile!$H:$H,"&lt;="&amp;(J661+0.01))&gt;0,"Yes","Not yet"))</f>
        <v/>
      </c>
      <c r="O661" s="21"/>
    </row>
    <row r="662" customFormat="false" ht="15" hidden="false" customHeight="false" outlineLevel="0" collapsed="false">
      <c r="A662" s="20"/>
      <c r="B662" s="21"/>
      <c r="C662" s="21"/>
      <c r="D662" s="21"/>
      <c r="E662" s="21"/>
      <c r="F662" s="22"/>
      <c r="G662" s="20"/>
      <c r="H662" s="23"/>
      <c r="I662" s="24"/>
      <c r="J662" s="14" t="str">
        <f aca="false">IF(C662="","",-E662*H662*IF(OR(B662="Sell call",B662="Buy to close",B662="Expired",B662="Assigned"),100,1)-I662)</f>
        <v/>
      </c>
      <c r="K662" s="21"/>
      <c r="L662" s="21"/>
      <c r="M662" s="21"/>
      <c r="N662" s="8" t="str">
        <f aca="false">IF(A662="","",IF(COUNTIFS(Reconcile!$I:$I,A662,Reconcile!$H:$H,"&gt;="&amp;(J662-0.01),Reconcile!$H:$H,"&lt;="&amp;(J662+0.01))&gt;0,"Yes","Not yet"))</f>
        <v/>
      </c>
      <c r="O662" s="21"/>
    </row>
    <row r="663" customFormat="false" ht="15" hidden="false" customHeight="false" outlineLevel="0" collapsed="false">
      <c r="A663" s="20"/>
      <c r="B663" s="21"/>
      <c r="C663" s="21"/>
      <c r="D663" s="21"/>
      <c r="E663" s="21"/>
      <c r="F663" s="22"/>
      <c r="G663" s="20"/>
      <c r="H663" s="23"/>
      <c r="I663" s="24"/>
      <c r="J663" s="14" t="str">
        <f aca="false">IF(C663="","",-E663*H663*IF(OR(B663="Sell call",B663="Buy to close",B663="Expired",B663="Assigned"),100,1)-I663)</f>
        <v/>
      </c>
      <c r="K663" s="21"/>
      <c r="L663" s="21"/>
      <c r="M663" s="21"/>
      <c r="N663" s="8" t="str">
        <f aca="false">IF(A663="","",IF(COUNTIFS(Reconcile!$I:$I,A663,Reconcile!$H:$H,"&gt;="&amp;(J663-0.01),Reconcile!$H:$H,"&lt;="&amp;(J663+0.01))&gt;0,"Yes","Not yet"))</f>
        <v/>
      </c>
      <c r="O663" s="21"/>
    </row>
    <row r="664" customFormat="false" ht="15" hidden="false" customHeight="false" outlineLevel="0" collapsed="false">
      <c r="A664" s="20"/>
      <c r="B664" s="21"/>
      <c r="C664" s="21"/>
      <c r="D664" s="21"/>
      <c r="E664" s="21"/>
      <c r="F664" s="22"/>
      <c r="G664" s="20"/>
      <c r="H664" s="23"/>
      <c r="I664" s="24"/>
      <c r="J664" s="14" t="str">
        <f aca="false">IF(C664="","",-E664*H664*IF(OR(B664="Sell call",B664="Buy to close",B664="Expired",B664="Assigned"),100,1)-I664)</f>
        <v/>
      </c>
      <c r="K664" s="21"/>
      <c r="L664" s="21"/>
      <c r="M664" s="21"/>
      <c r="N664" s="8" t="str">
        <f aca="false">IF(A664="","",IF(COUNTIFS(Reconcile!$I:$I,A664,Reconcile!$H:$H,"&gt;="&amp;(J664-0.01),Reconcile!$H:$H,"&lt;="&amp;(J664+0.01))&gt;0,"Yes","Not yet"))</f>
        <v/>
      </c>
      <c r="O664" s="21"/>
    </row>
    <row r="665" customFormat="false" ht="15" hidden="false" customHeight="false" outlineLevel="0" collapsed="false">
      <c r="A665" s="20"/>
      <c r="B665" s="21"/>
      <c r="C665" s="21"/>
      <c r="D665" s="21"/>
      <c r="E665" s="21"/>
      <c r="F665" s="22"/>
      <c r="G665" s="20"/>
      <c r="H665" s="23"/>
      <c r="I665" s="24"/>
      <c r="J665" s="14" t="str">
        <f aca="false">IF(C665="","",-E665*H665*IF(OR(B665="Sell call",B665="Buy to close",B665="Expired",B665="Assigned"),100,1)-I665)</f>
        <v/>
      </c>
      <c r="K665" s="21"/>
      <c r="L665" s="21"/>
      <c r="M665" s="21"/>
      <c r="N665" s="8" t="str">
        <f aca="false">IF(A665="","",IF(COUNTIFS(Reconcile!$I:$I,A665,Reconcile!$H:$H,"&gt;="&amp;(J665-0.01),Reconcile!$H:$H,"&lt;="&amp;(J665+0.01))&gt;0,"Yes","Not yet"))</f>
        <v/>
      </c>
      <c r="O665" s="21"/>
    </row>
    <row r="666" customFormat="false" ht="15" hidden="false" customHeight="false" outlineLevel="0" collapsed="false">
      <c r="A666" s="20"/>
      <c r="B666" s="21"/>
      <c r="C666" s="21"/>
      <c r="D666" s="21"/>
      <c r="E666" s="21"/>
      <c r="F666" s="22"/>
      <c r="G666" s="20"/>
      <c r="H666" s="23"/>
      <c r="I666" s="24"/>
      <c r="J666" s="14" t="str">
        <f aca="false">IF(C666="","",-E666*H666*IF(OR(B666="Sell call",B666="Buy to close",B666="Expired",B666="Assigned"),100,1)-I666)</f>
        <v/>
      </c>
      <c r="K666" s="21"/>
      <c r="L666" s="21"/>
      <c r="M666" s="21"/>
      <c r="N666" s="8" t="str">
        <f aca="false">IF(A666="","",IF(COUNTIFS(Reconcile!$I:$I,A666,Reconcile!$H:$H,"&gt;="&amp;(J666-0.01),Reconcile!$H:$H,"&lt;="&amp;(J666+0.01))&gt;0,"Yes","Not yet"))</f>
        <v/>
      </c>
      <c r="O666" s="21"/>
    </row>
    <row r="667" customFormat="false" ht="15" hidden="false" customHeight="false" outlineLevel="0" collapsed="false">
      <c r="A667" s="20"/>
      <c r="B667" s="21"/>
      <c r="C667" s="21"/>
      <c r="D667" s="21"/>
      <c r="E667" s="21"/>
      <c r="F667" s="22"/>
      <c r="G667" s="20"/>
      <c r="H667" s="23"/>
      <c r="I667" s="24"/>
      <c r="J667" s="14" t="str">
        <f aca="false">IF(C667="","",-E667*H667*IF(OR(B667="Sell call",B667="Buy to close",B667="Expired",B667="Assigned"),100,1)-I667)</f>
        <v/>
      </c>
      <c r="K667" s="21"/>
      <c r="L667" s="21"/>
      <c r="M667" s="21"/>
      <c r="N667" s="8" t="str">
        <f aca="false">IF(A667="","",IF(COUNTIFS(Reconcile!$I:$I,A667,Reconcile!$H:$H,"&gt;="&amp;(J667-0.01),Reconcile!$H:$H,"&lt;="&amp;(J667+0.01))&gt;0,"Yes","Not yet"))</f>
        <v/>
      </c>
      <c r="O667" s="21"/>
    </row>
    <row r="668" customFormat="false" ht="15" hidden="false" customHeight="false" outlineLevel="0" collapsed="false">
      <c r="A668" s="20"/>
      <c r="B668" s="21"/>
      <c r="C668" s="21"/>
      <c r="D668" s="21"/>
      <c r="E668" s="21"/>
      <c r="F668" s="22"/>
      <c r="G668" s="20"/>
      <c r="H668" s="23"/>
      <c r="I668" s="24"/>
      <c r="J668" s="14" t="str">
        <f aca="false">IF(C668="","",-E668*H668*IF(OR(B668="Sell call",B668="Buy to close",B668="Expired",B668="Assigned"),100,1)-I668)</f>
        <v/>
      </c>
      <c r="K668" s="21"/>
      <c r="L668" s="21"/>
      <c r="M668" s="21"/>
      <c r="N668" s="8" t="str">
        <f aca="false">IF(A668="","",IF(COUNTIFS(Reconcile!$I:$I,A668,Reconcile!$H:$H,"&gt;="&amp;(J668-0.01),Reconcile!$H:$H,"&lt;="&amp;(J668+0.01))&gt;0,"Yes","Not yet"))</f>
        <v/>
      </c>
      <c r="O668" s="21"/>
    </row>
    <row r="669" customFormat="false" ht="15" hidden="false" customHeight="false" outlineLevel="0" collapsed="false">
      <c r="A669" s="20"/>
      <c r="B669" s="21"/>
      <c r="C669" s="21"/>
      <c r="D669" s="21"/>
      <c r="E669" s="21"/>
      <c r="F669" s="22"/>
      <c r="G669" s="20"/>
      <c r="H669" s="23"/>
      <c r="I669" s="24"/>
      <c r="J669" s="14" t="str">
        <f aca="false">IF(C669="","",-E669*H669*IF(OR(B669="Sell call",B669="Buy to close",B669="Expired",B669="Assigned"),100,1)-I669)</f>
        <v/>
      </c>
      <c r="K669" s="21"/>
      <c r="L669" s="21"/>
      <c r="M669" s="21"/>
      <c r="N669" s="8" t="str">
        <f aca="false">IF(A669="","",IF(COUNTIFS(Reconcile!$I:$I,A669,Reconcile!$H:$H,"&gt;="&amp;(J669-0.01),Reconcile!$H:$H,"&lt;="&amp;(J669+0.01))&gt;0,"Yes","Not yet"))</f>
        <v/>
      </c>
      <c r="O669" s="21"/>
    </row>
    <row r="670" customFormat="false" ht="15" hidden="false" customHeight="false" outlineLevel="0" collapsed="false">
      <c r="A670" s="20"/>
      <c r="B670" s="21"/>
      <c r="C670" s="21"/>
      <c r="D670" s="21"/>
      <c r="E670" s="21"/>
      <c r="F670" s="22"/>
      <c r="G670" s="20"/>
      <c r="H670" s="23"/>
      <c r="I670" s="24"/>
      <c r="J670" s="14" t="str">
        <f aca="false">IF(C670="","",-E670*H670*IF(OR(B670="Sell call",B670="Buy to close",B670="Expired",B670="Assigned"),100,1)-I670)</f>
        <v/>
      </c>
      <c r="K670" s="21"/>
      <c r="L670" s="21"/>
      <c r="M670" s="21"/>
      <c r="N670" s="8" t="str">
        <f aca="false">IF(A670="","",IF(COUNTIFS(Reconcile!$I:$I,A670,Reconcile!$H:$H,"&gt;="&amp;(J670-0.01),Reconcile!$H:$H,"&lt;="&amp;(J670+0.01))&gt;0,"Yes","Not yet"))</f>
        <v/>
      </c>
      <c r="O670" s="21"/>
    </row>
    <row r="671" customFormat="false" ht="15" hidden="false" customHeight="false" outlineLevel="0" collapsed="false">
      <c r="A671" s="20"/>
      <c r="B671" s="21"/>
      <c r="C671" s="21"/>
      <c r="D671" s="21"/>
      <c r="E671" s="21"/>
      <c r="F671" s="22"/>
      <c r="G671" s="20"/>
      <c r="H671" s="23"/>
      <c r="I671" s="24"/>
      <c r="J671" s="14" t="str">
        <f aca="false">IF(C671="","",-E671*H671*IF(OR(B671="Sell call",B671="Buy to close",B671="Expired",B671="Assigned"),100,1)-I671)</f>
        <v/>
      </c>
      <c r="K671" s="21"/>
      <c r="L671" s="21"/>
      <c r="M671" s="21"/>
      <c r="N671" s="8" t="str">
        <f aca="false">IF(A671="","",IF(COUNTIFS(Reconcile!$I:$I,A671,Reconcile!$H:$H,"&gt;="&amp;(J671-0.01),Reconcile!$H:$H,"&lt;="&amp;(J671+0.01))&gt;0,"Yes","Not yet"))</f>
        <v/>
      </c>
      <c r="O671" s="21"/>
    </row>
    <row r="672" customFormat="false" ht="15" hidden="false" customHeight="false" outlineLevel="0" collapsed="false">
      <c r="A672" s="20"/>
      <c r="B672" s="21"/>
      <c r="C672" s="21"/>
      <c r="D672" s="21"/>
      <c r="E672" s="21"/>
      <c r="F672" s="22"/>
      <c r="G672" s="20"/>
      <c r="H672" s="23"/>
      <c r="I672" s="24"/>
      <c r="J672" s="14" t="str">
        <f aca="false">IF(C672="","",-E672*H672*IF(OR(B672="Sell call",B672="Buy to close",B672="Expired",B672="Assigned"),100,1)-I672)</f>
        <v/>
      </c>
      <c r="K672" s="21"/>
      <c r="L672" s="21"/>
      <c r="M672" s="21"/>
      <c r="N672" s="8" t="str">
        <f aca="false">IF(A672="","",IF(COUNTIFS(Reconcile!$I:$I,A672,Reconcile!$H:$H,"&gt;="&amp;(J672-0.01),Reconcile!$H:$H,"&lt;="&amp;(J672+0.01))&gt;0,"Yes","Not yet"))</f>
        <v/>
      </c>
      <c r="O672" s="21"/>
    </row>
    <row r="673" customFormat="false" ht="15" hidden="false" customHeight="false" outlineLevel="0" collapsed="false">
      <c r="A673" s="20"/>
      <c r="B673" s="21"/>
      <c r="C673" s="21"/>
      <c r="D673" s="21"/>
      <c r="E673" s="21"/>
      <c r="F673" s="22"/>
      <c r="G673" s="20"/>
      <c r="H673" s="23"/>
      <c r="I673" s="24"/>
      <c r="J673" s="14" t="str">
        <f aca="false">IF(C673="","",-E673*H673*IF(OR(B673="Sell call",B673="Buy to close",B673="Expired",B673="Assigned"),100,1)-I673)</f>
        <v/>
      </c>
      <c r="K673" s="21"/>
      <c r="L673" s="21"/>
      <c r="M673" s="21"/>
      <c r="N673" s="8" t="str">
        <f aca="false">IF(A673="","",IF(COUNTIFS(Reconcile!$I:$I,A673,Reconcile!$H:$H,"&gt;="&amp;(J673-0.01),Reconcile!$H:$H,"&lt;="&amp;(J673+0.01))&gt;0,"Yes","Not yet"))</f>
        <v/>
      </c>
      <c r="O673" s="21"/>
    </row>
    <row r="674" customFormat="false" ht="15" hidden="false" customHeight="false" outlineLevel="0" collapsed="false">
      <c r="A674" s="20"/>
      <c r="B674" s="21"/>
      <c r="C674" s="21"/>
      <c r="D674" s="21"/>
      <c r="E674" s="21"/>
      <c r="F674" s="22"/>
      <c r="G674" s="20"/>
      <c r="H674" s="23"/>
      <c r="I674" s="24"/>
      <c r="J674" s="14" t="str">
        <f aca="false">IF(C674="","",-E674*H674*IF(OR(B674="Sell call",B674="Buy to close",B674="Expired",B674="Assigned"),100,1)-I674)</f>
        <v/>
      </c>
      <c r="K674" s="21"/>
      <c r="L674" s="21"/>
      <c r="M674" s="21"/>
      <c r="N674" s="8" t="str">
        <f aca="false">IF(A674="","",IF(COUNTIFS(Reconcile!$I:$I,A674,Reconcile!$H:$H,"&gt;="&amp;(J674-0.01),Reconcile!$H:$H,"&lt;="&amp;(J674+0.01))&gt;0,"Yes","Not yet"))</f>
        <v/>
      </c>
      <c r="O674" s="21"/>
    </row>
    <row r="675" customFormat="false" ht="15" hidden="false" customHeight="false" outlineLevel="0" collapsed="false">
      <c r="A675" s="20"/>
      <c r="B675" s="21"/>
      <c r="C675" s="21"/>
      <c r="D675" s="21"/>
      <c r="E675" s="21"/>
      <c r="F675" s="22"/>
      <c r="G675" s="20"/>
      <c r="H675" s="23"/>
      <c r="I675" s="24"/>
      <c r="J675" s="14" t="str">
        <f aca="false">IF(C675="","",-E675*H675*IF(OR(B675="Sell call",B675="Buy to close",B675="Expired",B675="Assigned"),100,1)-I675)</f>
        <v/>
      </c>
      <c r="K675" s="21"/>
      <c r="L675" s="21"/>
      <c r="M675" s="21"/>
      <c r="N675" s="8" t="str">
        <f aca="false">IF(A675="","",IF(COUNTIFS(Reconcile!$I:$I,A675,Reconcile!$H:$H,"&gt;="&amp;(J675-0.01),Reconcile!$H:$H,"&lt;="&amp;(J675+0.01))&gt;0,"Yes","Not yet"))</f>
        <v/>
      </c>
      <c r="O675" s="21"/>
    </row>
    <row r="676" customFormat="false" ht="15" hidden="false" customHeight="false" outlineLevel="0" collapsed="false">
      <c r="A676" s="20"/>
      <c r="B676" s="21"/>
      <c r="C676" s="21"/>
      <c r="D676" s="21"/>
      <c r="E676" s="21"/>
      <c r="F676" s="22"/>
      <c r="G676" s="20"/>
      <c r="H676" s="23"/>
      <c r="I676" s="24"/>
      <c r="J676" s="14" t="str">
        <f aca="false">IF(C676="","",-E676*H676*IF(OR(B676="Sell call",B676="Buy to close",B676="Expired",B676="Assigned"),100,1)-I676)</f>
        <v/>
      </c>
      <c r="K676" s="21"/>
      <c r="L676" s="21"/>
      <c r="M676" s="21"/>
      <c r="N676" s="8" t="str">
        <f aca="false">IF(A676="","",IF(COUNTIFS(Reconcile!$I:$I,A676,Reconcile!$H:$H,"&gt;="&amp;(J676-0.01),Reconcile!$H:$H,"&lt;="&amp;(J676+0.01))&gt;0,"Yes","Not yet"))</f>
        <v/>
      </c>
      <c r="O676" s="21"/>
    </row>
    <row r="677" customFormat="false" ht="15" hidden="false" customHeight="false" outlineLevel="0" collapsed="false">
      <c r="A677" s="20"/>
      <c r="B677" s="21"/>
      <c r="C677" s="21"/>
      <c r="D677" s="21"/>
      <c r="E677" s="21"/>
      <c r="F677" s="22"/>
      <c r="G677" s="20"/>
      <c r="H677" s="23"/>
      <c r="I677" s="24"/>
      <c r="J677" s="14" t="str">
        <f aca="false">IF(C677="","",-E677*H677*IF(OR(B677="Sell call",B677="Buy to close",B677="Expired",B677="Assigned"),100,1)-I677)</f>
        <v/>
      </c>
      <c r="K677" s="21"/>
      <c r="L677" s="21"/>
      <c r="M677" s="21"/>
      <c r="N677" s="8" t="str">
        <f aca="false">IF(A677="","",IF(COUNTIFS(Reconcile!$I:$I,A677,Reconcile!$H:$H,"&gt;="&amp;(J677-0.01),Reconcile!$H:$H,"&lt;="&amp;(J677+0.01))&gt;0,"Yes","Not yet"))</f>
        <v/>
      </c>
      <c r="O677" s="21"/>
    </row>
    <row r="678" customFormat="false" ht="15" hidden="false" customHeight="false" outlineLevel="0" collapsed="false">
      <c r="A678" s="20"/>
      <c r="B678" s="21"/>
      <c r="C678" s="21"/>
      <c r="D678" s="21"/>
      <c r="E678" s="21"/>
      <c r="F678" s="22"/>
      <c r="G678" s="20"/>
      <c r="H678" s="23"/>
      <c r="I678" s="24"/>
      <c r="J678" s="14" t="str">
        <f aca="false">IF(C678="","",-E678*H678*IF(OR(B678="Sell call",B678="Buy to close",B678="Expired",B678="Assigned"),100,1)-I678)</f>
        <v/>
      </c>
      <c r="K678" s="21"/>
      <c r="L678" s="21"/>
      <c r="M678" s="21"/>
      <c r="N678" s="8" t="str">
        <f aca="false">IF(A678="","",IF(COUNTIFS(Reconcile!$I:$I,A678,Reconcile!$H:$H,"&gt;="&amp;(J678-0.01),Reconcile!$H:$H,"&lt;="&amp;(J678+0.01))&gt;0,"Yes","Not yet"))</f>
        <v/>
      </c>
      <c r="O678" s="21"/>
    </row>
    <row r="679" customFormat="false" ht="15" hidden="false" customHeight="false" outlineLevel="0" collapsed="false">
      <c r="A679" s="20"/>
      <c r="B679" s="21"/>
      <c r="C679" s="21"/>
      <c r="D679" s="21"/>
      <c r="E679" s="21"/>
      <c r="F679" s="22"/>
      <c r="G679" s="20"/>
      <c r="H679" s="23"/>
      <c r="I679" s="24"/>
      <c r="J679" s="14" t="str">
        <f aca="false">IF(C679="","",-E679*H679*IF(OR(B679="Sell call",B679="Buy to close",B679="Expired",B679="Assigned"),100,1)-I679)</f>
        <v/>
      </c>
      <c r="K679" s="21"/>
      <c r="L679" s="21"/>
      <c r="M679" s="21"/>
      <c r="N679" s="8" t="str">
        <f aca="false">IF(A679="","",IF(COUNTIFS(Reconcile!$I:$I,A679,Reconcile!$H:$H,"&gt;="&amp;(J679-0.01),Reconcile!$H:$H,"&lt;="&amp;(J679+0.01))&gt;0,"Yes","Not yet"))</f>
        <v/>
      </c>
      <c r="O679" s="21"/>
    </row>
    <row r="680" customFormat="false" ht="15" hidden="false" customHeight="false" outlineLevel="0" collapsed="false">
      <c r="A680" s="20"/>
      <c r="B680" s="21"/>
      <c r="C680" s="21"/>
      <c r="D680" s="21"/>
      <c r="E680" s="21"/>
      <c r="F680" s="22"/>
      <c r="G680" s="20"/>
      <c r="H680" s="23"/>
      <c r="I680" s="24"/>
      <c r="J680" s="14" t="str">
        <f aca="false">IF(C680="","",-E680*H680*IF(OR(B680="Sell call",B680="Buy to close",B680="Expired",B680="Assigned"),100,1)-I680)</f>
        <v/>
      </c>
      <c r="K680" s="21"/>
      <c r="L680" s="21"/>
      <c r="M680" s="21"/>
      <c r="N680" s="8" t="str">
        <f aca="false">IF(A680="","",IF(COUNTIFS(Reconcile!$I:$I,A680,Reconcile!$H:$H,"&gt;="&amp;(J680-0.01),Reconcile!$H:$H,"&lt;="&amp;(J680+0.01))&gt;0,"Yes","Not yet"))</f>
        <v/>
      </c>
      <c r="O680" s="21"/>
    </row>
    <row r="681" customFormat="false" ht="15" hidden="false" customHeight="false" outlineLevel="0" collapsed="false">
      <c r="A681" s="20"/>
      <c r="B681" s="21"/>
      <c r="C681" s="21"/>
      <c r="D681" s="21"/>
      <c r="E681" s="21"/>
      <c r="F681" s="22"/>
      <c r="G681" s="20"/>
      <c r="H681" s="23"/>
      <c r="I681" s="24"/>
      <c r="J681" s="14" t="str">
        <f aca="false">IF(C681="","",-E681*H681*IF(OR(B681="Sell call",B681="Buy to close",B681="Expired",B681="Assigned"),100,1)-I681)</f>
        <v/>
      </c>
      <c r="K681" s="21"/>
      <c r="L681" s="21"/>
      <c r="M681" s="21"/>
      <c r="N681" s="8" t="str">
        <f aca="false">IF(A681="","",IF(COUNTIFS(Reconcile!$I:$I,A681,Reconcile!$H:$H,"&gt;="&amp;(J681-0.01),Reconcile!$H:$H,"&lt;="&amp;(J681+0.01))&gt;0,"Yes","Not yet"))</f>
        <v/>
      </c>
      <c r="O681" s="21"/>
    </row>
    <row r="682" customFormat="false" ht="15" hidden="false" customHeight="false" outlineLevel="0" collapsed="false">
      <c r="A682" s="20"/>
      <c r="B682" s="21"/>
      <c r="C682" s="21"/>
      <c r="D682" s="21"/>
      <c r="E682" s="21"/>
      <c r="F682" s="22"/>
      <c r="G682" s="20"/>
      <c r="H682" s="23"/>
      <c r="I682" s="24"/>
      <c r="J682" s="14" t="str">
        <f aca="false">IF(C682="","",-E682*H682*IF(OR(B682="Sell call",B682="Buy to close",B682="Expired",B682="Assigned"),100,1)-I682)</f>
        <v/>
      </c>
      <c r="K682" s="21"/>
      <c r="L682" s="21"/>
      <c r="M682" s="21"/>
      <c r="N682" s="8" t="str">
        <f aca="false">IF(A682="","",IF(COUNTIFS(Reconcile!$I:$I,A682,Reconcile!$H:$H,"&gt;="&amp;(J682-0.01),Reconcile!$H:$H,"&lt;="&amp;(J682+0.01))&gt;0,"Yes","Not yet"))</f>
        <v/>
      </c>
      <c r="O682" s="21"/>
    </row>
    <row r="683" customFormat="false" ht="15" hidden="false" customHeight="false" outlineLevel="0" collapsed="false">
      <c r="A683" s="20"/>
      <c r="B683" s="21"/>
      <c r="C683" s="21"/>
      <c r="D683" s="21"/>
      <c r="E683" s="21"/>
      <c r="F683" s="22"/>
      <c r="G683" s="20"/>
      <c r="H683" s="23"/>
      <c r="I683" s="24"/>
      <c r="J683" s="14" t="str">
        <f aca="false">IF(C683="","",-E683*H683*IF(OR(B683="Sell call",B683="Buy to close",B683="Expired",B683="Assigned"),100,1)-I683)</f>
        <v/>
      </c>
      <c r="K683" s="21"/>
      <c r="L683" s="21"/>
      <c r="M683" s="21"/>
      <c r="N683" s="8" t="str">
        <f aca="false">IF(A683="","",IF(COUNTIFS(Reconcile!$I:$I,A683,Reconcile!$H:$H,"&gt;="&amp;(J683-0.01),Reconcile!$H:$H,"&lt;="&amp;(J683+0.01))&gt;0,"Yes","Not yet"))</f>
        <v/>
      </c>
      <c r="O683" s="21"/>
    </row>
    <row r="684" customFormat="false" ht="15" hidden="false" customHeight="false" outlineLevel="0" collapsed="false">
      <c r="A684" s="20"/>
      <c r="B684" s="21"/>
      <c r="C684" s="21"/>
      <c r="D684" s="21"/>
      <c r="E684" s="21"/>
      <c r="F684" s="22"/>
      <c r="G684" s="20"/>
      <c r="H684" s="23"/>
      <c r="I684" s="24"/>
      <c r="J684" s="14" t="str">
        <f aca="false">IF(C684="","",-E684*H684*IF(OR(B684="Sell call",B684="Buy to close",B684="Expired",B684="Assigned"),100,1)-I684)</f>
        <v/>
      </c>
      <c r="K684" s="21"/>
      <c r="L684" s="21"/>
      <c r="M684" s="21"/>
      <c r="N684" s="8" t="str">
        <f aca="false">IF(A684="","",IF(COUNTIFS(Reconcile!$I:$I,A684,Reconcile!$H:$H,"&gt;="&amp;(J684-0.01),Reconcile!$H:$H,"&lt;="&amp;(J684+0.01))&gt;0,"Yes","Not yet"))</f>
        <v/>
      </c>
      <c r="O684" s="21"/>
    </row>
    <row r="685" customFormat="false" ht="15" hidden="false" customHeight="false" outlineLevel="0" collapsed="false">
      <c r="A685" s="20"/>
      <c r="B685" s="21"/>
      <c r="C685" s="21"/>
      <c r="D685" s="21"/>
      <c r="E685" s="21"/>
      <c r="F685" s="22"/>
      <c r="G685" s="20"/>
      <c r="H685" s="23"/>
      <c r="I685" s="24"/>
      <c r="J685" s="14" t="str">
        <f aca="false">IF(C685="","",-E685*H685*IF(OR(B685="Sell call",B685="Buy to close",B685="Expired",B685="Assigned"),100,1)-I685)</f>
        <v/>
      </c>
      <c r="K685" s="21"/>
      <c r="L685" s="21"/>
      <c r="M685" s="21"/>
      <c r="N685" s="8" t="str">
        <f aca="false">IF(A685="","",IF(COUNTIFS(Reconcile!$I:$I,A685,Reconcile!$H:$H,"&gt;="&amp;(J685-0.01),Reconcile!$H:$H,"&lt;="&amp;(J685+0.01))&gt;0,"Yes","Not yet"))</f>
        <v/>
      </c>
      <c r="O685" s="21"/>
    </row>
    <row r="686" customFormat="false" ht="15" hidden="false" customHeight="false" outlineLevel="0" collapsed="false">
      <c r="A686" s="20"/>
      <c r="B686" s="21"/>
      <c r="C686" s="21"/>
      <c r="D686" s="21"/>
      <c r="E686" s="21"/>
      <c r="F686" s="22"/>
      <c r="G686" s="20"/>
      <c r="H686" s="23"/>
      <c r="I686" s="24"/>
      <c r="J686" s="14" t="str">
        <f aca="false">IF(C686="","",-E686*H686*IF(OR(B686="Sell call",B686="Buy to close",B686="Expired",B686="Assigned"),100,1)-I686)</f>
        <v/>
      </c>
      <c r="K686" s="21"/>
      <c r="L686" s="21"/>
      <c r="M686" s="21"/>
      <c r="N686" s="8" t="str">
        <f aca="false">IF(A686="","",IF(COUNTIFS(Reconcile!$I:$I,A686,Reconcile!$H:$H,"&gt;="&amp;(J686-0.01),Reconcile!$H:$H,"&lt;="&amp;(J686+0.01))&gt;0,"Yes","Not yet"))</f>
        <v/>
      </c>
      <c r="O686" s="21"/>
    </row>
    <row r="687" customFormat="false" ht="15" hidden="false" customHeight="false" outlineLevel="0" collapsed="false">
      <c r="A687" s="20"/>
      <c r="B687" s="21"/>
      <c r="C687" s="21"/>
      <c r="D687" s="21"/>
      <c r="E687" s="21"/>
      <c r="F687" s="22"/>
      <c r="G687" s="20"/>
      <c r="H687" s="23"/>
      <c r="I687" s="24"/>
      <c r="J687" s="14" t="str">
        <f aca="false">IF(C687="","",-E687*H687*IF(OR(B687="Sell call",B687="Buy to close",B687="Expired",B687="Assigned"),100,1)-I687)</f>
        <v/>
      </c>
      <c r="K687" s="21"/>
      <c r="L687" s="21"/>
      <c r="M687" s="21"/>
      <c r="N687" s="8" t="str">
        <f aca="false">IF(A687="","",IF(COUNTIFS(Reconcile!$I:$I,A687,Reconcile!$H:$H,"&gt;="&amp;(J687-0.01),Reconcile!$H:$H,"&lt;="&amp;(J687+0.01))&gt;0,"Yes","Not yet"))</f>
        <v/>
      </c>
      <c r="O687" s="21"/>
    </row>
    <row r="688" customFormat="false" ht="15" hidden="false" customHeight="false" outlineLevel="0" collapsed="false">
      <c r="A688" s="20"/>
      <c r="B688" s="21"/>
      <c r="C688" s="21"/>
      <c r="D688" s="21"/>
      <c r="E688" s="21"/>
      <c r="F688" s="22"/>
      <c r="G688" s="20"/>
      <c r="H688" s="23"/>
      <c r="I688" s="24"/>
      <c r="J688" s="14" t="str">
        <f aca="false">IF(C688="","",-E688*H688*IF(OR(B688="Sell call",B688="Buy to close",B688="Expired",B688="Assigned"),100,1)-I688)</f>
        <v/>
      </c>
      <c r="K688" s="21"/>
      <c r="L688" s="21"/>
      <c r="M688" s="21"/>
      <c r="N688" s="8" t="str">
        <f aca="false">IF(A688="","",IF(COUNTIFS(Reconcile!$I:$I,A688,Reconcile!$H:$H,"&gt;="&amp;(J688-0.01),Reconcile!$H:$H,"&lt;="&amp;(J688+0.01))&gt;0,"Yes","Not yet"))</f>
        <v/>
      </c>
      <c r="O688" s="21"/>
    </row>
    <row r="689" customFormat="false" ht="15" hidden="false" customHeight="false" outlineLevel="0" collapsed="false">
      <c r="A689" s="20"/>
      <c r="B689" s="21"/>
      <c r="C689" s="21"/>
      <c r="D689" s="21"/>
      <c r="E689" s="21"/>
      <c r="F689" s="22"/>
      <c r="G689" s="20"/>
      <c r="H689" s="23"/>
      <c r="I689" s="24"/>
      <c r="J689" s="14" t="str">
        <f aca="false">IF(C689="","",-E689*H689*IF(OR(B689="Sell call",B689="Buy to close",B689="Expired",B689="Assigned"),100,1)-I689)</f>
        <v/>
      </c>
      <c r="K689" s="21"/>
      <c r="L689" s="21"/>
      <c r="M689" s="21"/>
      <c r="N689" s="8" t="str">
        <f aca="false">IF(A689="","",IF(COUNTIFS(Reconcile!$I:$I,A689,Reconcile!$H:$H,"&gt;="&amp;(J689-0.01),Reconcile!$H:$H,"&lt;="&amp;(J689+0.01))&gt;0,"Yes","Not yet"))</f>
        <v/>
      </c>
      <c r="O689" s="21"/>
    </row>
    <row r="690" customFormat="false" ht="15" hidden="false" customHeight="false" outlineLevel="0" collapsed="false">
      <c r="A690" s="20"/>
      <c r="B690" s="21"/>
      <c r="C690" s="21"/>
      <c r="D690" s="21"/>
      <c r="E690" s="21"/>
      <c r="F690" s="22"/>
      <c r="G690" s="20"/>
      <c r="H690" s="23"/>
      <c r="I690" s="24"/>
      <c r="J690" s="14" t="str">
        <f aca="false">IF(C690="","",-E690*H690*IF(OR(B690="Sell call",B690="Buy to close",B690="Expired",B690="Assigned"),100,1)-I690)</f>
        <v/>
      </c>
      <c r="K690" s="21"/>
      <c r="L690" s="21"/>
      <c r="M690" s="21"/>
      <c r="N690" s="8" t="str">
        <f aca="false">IF(A690="","",IF(COUNTIFS(Reconcile!$I:$I,A690,Reconcile!$H:$H,"&gt;="&amp;(J690-0.01),Reconcile!$H:$H,"&lt;="&amp;(J690+0.01))&gt;0,"Yes","Not yet"))</f>
        <v/>
      </c>
      <c r="O690" s="21"/>
    </row>
    <row r="691" customFormat="false" ht="15" hidden="false" customHeight="false" outlineLevel="0" collapsed="false">
      <c r="A691" s="20"/>
      <c r="B691" s="21"/>
      <c r="C691" s="21"/>
      <c r="D691" s="21"/>
      <c r="E691" s="21"/>
      <c r="F691" s="22"/>
      <c r="G691" s="20"/>
      <c r="H691" s="23"/>
      <c r="I691" s="24"/>
      <c r="J691" s="14" t="str">
        <f aca="false">IF(C691="","",-E691*H691*IF(OR(B691="Sell call",B691="Buy to close",B691="Expired",B691="Assigned"),100,1)-I691)</f>
        <v/>
      </c>
      <c r="K691" s="21"/>
      <c r="L691" s="21"/>
      <c r="M691" s="21"/>
      <c r="N691" s="8" t="str">
        <f aca="false">IF(A691="","",IF(COUNTIFS(Reconcile!$I:$I,A691,Reconcile!$H:$H,"&gt;="&amp;(J691-0.01),Reconcile!$H:$H,"&lt;="&amp;(J691+0.01))&gt;0,"Yes","Not yet"))</f>
        <v/>
      </c>
      <c r="O691" s="21"/>
    </row>
    <row r="692" customFormat="false" ht="15" hidden="false" customHeight="false" outlineLevel="0" collapsed="false">
      <c r="A692" s="20"/>
      <c r="B692" s="21"/>
      <c r="C692" s="21"/>
      <c r="D692" s="21"/>
      <c r="E692" s="21"/>
      <c r="F692" s="22"/>
      <c r="G692" s="20"/>
      <c r="H692" s="23"/>
      <c r="I692" s="24"/>
      <c r="J692" s="14" t="str">
        <f aca="false">IF(C692="","",-E692*H692*IF(OR(B692="Sell call",B692="Buy to close",B692="Expired",B692="Assigned"),100,1)-I692)</f>
        <v/>
      </c>
      <c r="K692" s="21"/>
      <c r="L692" s="21"/>
      <c r="M692" s="21"/>
      <c r="N692" s="8" t="str">
        <f aca="false">IF(A692="","",IF(COUNTIFS(Reconcile!$I:$I,A692,Reconcile!$H:$H,"&gt;="&amp;(J692-0.01),Reconcile!$H:$H,"&lt;="&amp;(J692+0.01))&gt;0,"Yes","Not yet"))</f>
        <v/>
      </c>
      <c r="O692" s="21"/>
    </row>
    <row r="693" customFormat="false" ht="15" hidden="false" customHeight="false" outlineLevel="0" collapsed="false">
      <c r="A693" s="20"/>
      <c r="B693" s="21"/>
      <c r="C693" s="21"/>
      <c r="D693" s="21"/>
      <c r="E693" s="21"/>
      <c r="F693" s="22"/>
      <c r="G693" s="20"/>
      <c r="H693" s="23"/>
      <c r="I693" s="24"/>
      <c r="J693" s="14" t="str">
        <f aca="false">IF(C693="","",-E693*H693*IF(OR(B693="Sell call",B693="Buy to close",B693="Expired",B693="Assigned"),100,1)-I693)</f>
        <v/>
      </c>
      <c r="K693" s="21"/>
      <c r="L693" s="21"/>
      <c r="M693" s="21"/>
      <c r="N693" s="8" t="str">
        <f aca="false">IF(A693="","",IF(COUNTIFS(Reconcile!$I:$I,A693,Reconcile!$H:$H,"&gt;="&amp;(J693-0.01),Reconcile!$H:$H,"&lt;="&amp;(J693+0.01))&gt;0,"Yes","Not yet"))</f>
        <v/>
      </c>
      <c r="O693" s="21"/>
    </row>
    <row r="694" customFormat="false" ht="15" hidden="false" customHeight="false" outlineLevel="0" collapsed="false">
      <c r="A694" s="20"/>
      <c r="B694" s="21"/>
      <c r="C694" s="21"/>
      <c r="D694" s="21"/>
      <c r="E694" s="21"/>
      <c r="F694" s="22"/>
      <c r="G694" s="20"/>
      <c r="H694" s="23"/>
      <c r="I694" s="24"/>
      <c r="J694" s="14" t="str">
        <f aca="false">IF(C694="","",-E694*H694*IF(OR(B694="Sell call",B694="Buy to close",B694="Expired",B694="Assigned"),100,1)-I694)</f>
        <v/>
      </c>
      <c r="K694" s="21"/>
      <c r="L694" s="21"/>
      <c r="M694" s="21"/>
      <c r="N694" s="8" t="str">
        <f aca="false">IF(A694="","",IF(COUNTIFS(Reconcile!$I:$I,A694,Reconcile!$H:$H,"&gt;="&amp;(J694-0.01),Reconcile!$H:$H,"&lt;="&amp;(J694+0.01))&gt;0,"Yes","Not yet"))</f>
        <v/>
      </c>
      <c r="O694" s="21"/>
    </row>
    <row r="695" customFormat="false" ht="15" hidden="false" customHeight="false" outlineLevel="0" collapsed="false">
      <c r="A695" s="20"/>
      <c r="B695" s="21"/>
      <c r="C695" s="21"/>
      <c r="D695" s="21"/>
      <c r="E695" s="21"/>
      <c r="F695" s="22"/>
      <c r="G695" s="20"/>
      <c r="H695" s="23"/>
      <c r="I695" s="24"/>
      <c r="J695" s="14" t="str">
        <f aca="false">IF(C695="","",-E695*H695*IF(OR(B695="Sell call",B695="Buy to close",B695="Expired",B695="Assigned"),100,1)-I695)</f>
        <v/>
      </c>
      <c r="K695" s="21"/>
      <c r="L695" s="21"/>
      <c r="M695" s="21"/>
      <c r="N695" s="8" t="str">
        <f aca="false">IF(A695="","",IF(COUNTIFS(Reconcile!$I:$I,A695,Reconcile!$H:$H,"&gt;="&amp;(J695-0.01),Reconcile!$H:$H,"&lt;="&amp;(J695+0.01))&gt;0,"Yes","Not yet"))</f>
        <v/>
      </c>
      <c r="O695" s="21"/>
    </row>
    <row r="696" customFormat="false" ht="15" hidden="false" customHeight="false" outlineLevel="0" collapsed="false">
      <c r="A696" s="20"/>
      <c r="B696" s="21"/>
      <c r="C696" s="21"/>
      <c r="D696" s="21"/>
      <c r="E696" s="21"/>
      <c r="F696" s="22"/>
      <c r="G696" s="20"/>
      <c r="H696" s="23"/>
      <c r="I696" s="24"/>
      <c r="J696" s="14" t="str">
        <f aca="false">IF(C696="","",-E696*H696*IF(OR(B696="Sell call",B696="Buy to close",B696="Expired",B696="Assigned"),100,1)-I696)</f>
        <v/>
      </c>
      <c r="K696" s="21"/>
      <c r="L696" s="21"/>
      <c r="M696" s="21"/>
      <c r="N696" s="8" t="str">
        <f aca="false">IF(A696="","",IF(COUNTIFS(Reconcile!$I:$I,A696,Reconcile!$H:$H,"&gt;="&amp;(J696-0.01),Reconcile!$H:$H,"&lt;="&amp;(J696+0.01))&gt;0,"Yes","Not yet"))</f>
        <v/>
      </c>
      <c r="O696" s="21"/>
    </row>
    <row r="697" customFormat="false" ht="15" hidden="false" customHeight="false" outlineLevel="0" collapsed="false">
      <c r="A697" s="20"/>
      <c r="B697" s="21"/>
      <c r="C697" s="21"/>
      <c r="D697" s="21"/>
      <c r="E697" s="21"/>
      <c r="F697" s="22"/>
      <c r="G697" s="20"/>
      <c r="H697" s="23"/>
      <c r="I697" s="24"/>
      <c r="J697" s="14" t="str">
        <f aca="false">IF(C697="","",-E697*H697*IF(OR(B697="Sell call",B697="Buy to close",B697="Expired",B697="Assigned"),100,1)-I697)</f>
        <v/>
      </c>
      <c r="K697" s="21"/>
      <c r="L697" s="21"/>
      <c r="M697" s="21"/>
      <c r="N697" s="8" t="str">
        <f aca="false">IF(A697="","",IF(COUNTIFS(Reconcile!$I:$I,A697,Reconcile!$H:$H,"&gt;="&amp;(J697-0.01),Reconcile!$H:$H,"&lt;="&amp;(J697+0.01))&gt;0,"Yes","Not yet"))</f>
        <v/>
      </c>
      <c r="O697" s="21"/>
    </row>
    <row r="698" customFormat="false" ht="15" hidden="false" customHeight="false" outlineLevel="0" collapsed="false">
      <c r="A698" s="20"/>
      <c r="B698" s="21"/>
      <c r="C698" s="21"/>
      <c r="D698" s="21"/>
      <c r="E698" s="21"/>
      <c r="F698" s="22"/>
      <c r="G698" s="20"/>
      <c r="H698" s="23"/>
      <c r="I698" s="24"/>
      <c r="J698" s="14" t="str">
        <f aca="false">IF(C698="","",-E698*H698*IF(OR(B698="Sell call",B698="Buy to close",B698="Expired",B698="Assigned"),100,1)-I698)</f>
        <v/>
      </c>
      <c r="K698" s="21"/>
      <c r="L698" s="21"/>
      <c r="M698" s="21"/>
      <c r="N698" s="8" t="str">
        <f aca="false">IF(A698="","",IF(COUNTIFS(Reconcile!$I:$I,A698,Reconcile!$H:$H,"&gt;="&amp;(J698-0.01),Reconcile!$H:$H,"&lt;="&amp;(J698+0.01))&gt;0,"Yes","Not yet"))</f>
        <v/>
      </c>
      <c r="O698" s="21"/>
    </row>
    <row r="699" customFormat="false" ht="15" hidden="false" customHeight="false" outlineLevel="0" collapsed="false">
      <c r="A699" s="20"/>
      <c r="B699" s="21"/>
      <c r="C699" s="21"/>
      <c r="D699" s="21"/>
      <c r="E699" s="21"/>
      <c r="F699" s="22"/>
      <c r="G699" s="20"/>
      <c r="H699" s="23"/>
      <c r="I699" s="24"/>
      <c r="J699" s="14" t="str">
        <f aca="false">IF(C699="","",-E699*H699*IF(OR(B699="Sell call",B699="Buy to close",B699="Expired",B699="Assigned"),100,1)-I699)</f>
        <v/>
      </c>
      <c r="K699" s="21"/>
      <c r="L699" s="21"/>
      <c r="M699" s="21"/>
      <c r="N699" s="8" t="str">
        <f aca="false">IF(A699="","",IF(COUNTIFS(Reconcile!$I:$I,A699,Reconcile!$H:$H,"&gt;="&amp;(J699-0.01),Reconcile!$H:$H,"&lt;="&amp;(J699+0.01))&gt;0,"Yes","Not yet"))</f>
        <v/>
      </c>
      <c r="O699" s="21"/>
    </row>
    <row r="700" customFormat="false" ht="15" hidden="false" customHeight="false" outlineLevel="0" collapsed="false">
      <c r="A700" s="20"/>
      <c r="B700" s="21"/>
      <c r="C700" s="21"/>
      <c r="D700" s="21"/>
      <c r="E700" s="21"/>
      <c r="F700" s="22"/>
      <c r="G700" s="20"/>
      <c r="H700" s="23"/>
      <c r="I700" s="24"/>
      <c r="J700" s="14" t="str">
        <f aca="false">IF(C700="","",-E700*H700*IF(OR(B700="Sell call",B700="Buy to close",B700="Expired",B700="Assigned"),100,1)-I700)</f>
        <v/>
      </c>
      <c r="K700" s="21"/>
      <c r="L700" s="21"/>
      <c r="M700" s="21"/>
      <c r="N700" s="8" t="str">
        <f aca="false">IF(A700="","",IF(COUNTIFS(Reconcile!$I:$I,A700,Reconcile!$H:$H,"&gt;="&amp;(J700-0.01),Reconcile!$H:$H,"&lt;="&amp;(J700+0.01))&gt;0,"Yes","Not yet"))</f>
        <v/>
      </c>
      <c r="O700" s="21"/>
    </row>
    <row r="701" customFormat="false" ht="15" hidden="false" customHeight="false" outlineLevel="0" collapsed="false">
      <c r="A701" s="20"/>
      <c r="B701" s="21"/>
      <c r="C701" s="21"/>
      <c r="D701" s="21"/>
      <c r="E701" s="21"/>
      <c r="F701" s="22"/>
      <c r="G701" s="20"/>
      <c r="H701" s="23"/>
      <c r="I701" s="24"/>
      <c r="J701" s="14" t="str">
        <f aca="false">IF(C701="","",-E701*H701*IF(OR(B701="Sell call",B701="Buy to close",B701="Expired",B701="Assigned"),100,1)-I701)</f>
        <v/>
      </c>
      <c r="K701" s="21"/>
      <c r="L701" s="21"/>
      <c r="M701" s="21"/>
      <c r="N701" s="8" t="str">
        <f aca="false">IF(A701="","",IF(COUNTIFS(Reconcile!$I:$I,A701,Reconcile!$H:$H,"&gt;="&amp;(J701-0.01),Reconcile!$H:$H,"&lt;="&amp;(J701+0.01))&gt;0,"Yes","Not yet"))</f>
        <v/>
      </c>
      <c r="O701" s="21"/>
    </row>
    <row r="702" customFormat="false" ht="15" hidden="false" customHeight="false" outlineLevel="0" collapsed="false">
      <c r="A702" s="20"/>
      <c r="B702" s="21"/>
      <c r="C702" s="21"/>
      <c r="D702" s="21"/>
      <c r="E702" s="21"/>
      <c r="F702" s="22"/>
      <c r="G702" s="20"/>
      <c r="H702" s="23"/>
      <c r="I702" s="24"/>
      <c r="J702" s="14" t="str">
        <f aca="false">IF(C702="","",-E702*H702*IF(OR(B702="Sell call",B702="Buy to close",B702="Expired",B702="Assigned"),100,1)-I702)</f>
        <v/>
      </c>
      <c r="K702" s="21"/>
      <c r="L702" s="21"/>
      <c r="M702" s="21"/>
      <c r="N702" s="8" t="str">
        <f aca="false">IF(A702="","",IF(COUNTIFS(Reconcile!$I:$I,A702,Reconcile!$H:$H,"&gt;="&amp;(J702-0.01),Reconcile!$H:$H,"&lt;="&amp;(J702+0.01))&gt;0,"Yes","Not yet"))</f>
        <v/>
      </c>
      <c r="O702" s="21"/>
    </row>
    <row r="703" customFormat="false" ht="15" hidden="false" customHeight="false" outlineLevel="0" collapsed="false">
      <c r="A703" s="20"/>
      <c r="B703" s="21"/>
      <c r="C703" s="21"/>
      <c r="D703" s="21"/>
      <c r="E703" s="21"/>
      <c r="F703" s="22"/>
      <c r="G703" s="20"/>
      <c r="H703" s="23"/>
      <c r="I703" s="24"/>
      <c r="J703" s="14" t="str">
        <f aca="false">IF(C703="","",-E703*H703*IF(OR(B703="Sell call",B703="Buy to close",B703="Expired",B703="Assigned"),100,1)-I703)</f>
        <v/>
      </c>
      <c r="K703" s="21"/>
      <c r="L703" s="21"/>
      <c r="M703" s="21"/>
      <c r="N703" s="8" t="str">
        <f aca="false">IF(A703="","",IF(COUNTIFS(Reconcile!$I:$I,A703,Reconcile!$H:$H,"&gt;="&amp;(J703-0.01),Reconcile!$H:$H,"&lt;="&amp;(J703+0.01))&gt;0,"Yes","Not yet"))</f>
        <v/>
      </c>
      <c r="O703" s="21"/>
    </row>
    <row r="704" customFormat="false" ht="15" hidden="false" customHeight="false" outlineLevel="0" collapsed="false">
      <c r="A704" s="20"/>
      <c r="B704" s="21"/>
      <c r="C704" s="21"/>
      <c r="D704" s="21"/>
      <c r="E704" s="21"/>
      <c r="F704" s="22"/>
      <c r="G704" s="20"/>
      <c r="H704" s="23"/>
      <c r="I704" s="24"/>
      <c r="J704" s="14" t="str">
        <f aca="false">IF(C704="","",-E704*H704*IF(OR(B704="Sell call",B704="Buy to close",B704="Expired",B704="Assigned"),100,1)-I704)</f>
        <v/>
      </c>
      <c r="K704" s="21"/>
      <c r="L704" s="21"/>
      <c r="M704" s="21"/>
      <c r="N704" s="8" t="str">
        <f aca="false">IF(A704="","",IF(COUNTIFS(Reconcile!$I:$I,A704,Reconcile!$H:$H,"&gt;="&amp;(J704-0.01),Reconcile!$H:$H,"&lt;="&amp;(J704+0.01))&gt;0,"Yes","Not yet"))</f>
        <v/>
      </c>
      <c r="O704" s="21"/>
    </row>
    <row r="705" customFormat="false" ht="15" hidden="false" customHeight="false" outlineLevel="0" collapsed="false">
      <c r="A705" s="20"/>
      <c r="B705" s="21"/>
      <c r="C705" s="21"/>
      <c r="D705" s="21"/>
      <c r="E705" s="21"/>
      <c r="F705" s="22"/>
      <c r="G705" s="20"/>
      <c r="H705" s="23"/>
      <c r="I705" s="24"/>
      <c r="J705" s="14" t="str">
        <f aca="false">IF(C705="","",-E705*H705*IF(OR(B705="Sell call",B705="Buy to close",B705="Expired",B705="Assigned"),100,1)-I705)</f>
        <v/>
      </c>
      <c r="K705" s="21"/>
      <c r="L705" s="21"/>
      <c r="M705" s="21"/>
      <c r="N705" s="8" t="str">
        <f aca="false">IF(A705="","",IF(COUNTIFS(Reconcile!$I:$I,A705,Reconcile!$H:$H,"&gt;="&amp;(J705-0.01),Reconcile!$H:$H,"&lt;="&amp;(J705+0.01))&gt;0,"Yes","Not yet"))</f>
        <v/>
      </c>
      <c r="O705" s="21"/>
    </row>
    <row r="706" customFormat="false" ht="15" hidden="false" customHeight="false" outlineLevel="0" collapsed="false">
      <c r="A706" s="20"/>
      <c r="B706" s="21"/>
      <c r="C706" s="21"/>
      <c r="D706" s="21"/>
      <c r="E706" s="21"/>
      <c r="F706" s="22"/>
      <c r="G706" s="20"/>
      <c r="H706" s="23"/>
      <c r="I706" s="24"/>
      <c r="J706" s="14" t="str">
        <f aca="false">IF(C706="","",-E706*H706*IF(OR(B706="Sell call",B706="Buy to close",B706="Expired",B706="Assigned"),100,1)-I706)</f>
        <v/>
      </c>
      <c r="K706" s="21"/>
      <c r="L706" s="21"/>
      <c r="M706" s="21"/>
      <c r="N706" s="8" t="str">
        <f aca="false">IF(A706="","",IF(COUNTIFS(Reconcile!$I:$I,A706,Reconcile!$H:$H,"&gt;="&amp;(J706-0.01),Reconcile!$H:$H,"&lt;="&amp;(J706+0.01))&gt;0,"Yes","Not yet"))</f>
        <v/>
      </c>
      <c r="O706" s="21"/>
    </row>
    <row r="707" customFormat="false" ht="15" hidden="false" customHeight="false" outlineLevel="0" collapsed="false">
      <c r="A707" s="20"/>
      <c r="B707" s="21"/>
      <c r="C707" s="21"/>
      <c r="D707" s="21"/>
      <c r="E707" s="21"/>
      <c r="F707" s="22"/>
      <c r="G707" s="20"/>
      <c r="H707" s="23"/>
      <c r="I707" s="24"/>
      <c r="J707" s="14" t="str">
        <f aca="false">IF(C707="","",-E707*H707*IF(OR(B707="Sell call",B707="Buy to close",B707="Expired",B707="Assigned"),100,1)-I707)</f>
        <v/>
      </c>
      <c r="K707" s="21"/>
      <c r="L707" s="21"/>
      <c r="M707" s="21"/>
      <c r="N707" s="8" t="str">
        <f aca="false">IF(A707="","",IF(COUNTIFS(Reconcile!$I:$I,A707,Reconcile!$H:$H,"&gt;="&amp;(J707-0.01),Reconcile!$H:$H,"&lt;="&amp;(J707+0.01))&gt;0,"Yes","Not yet"))</f>
        <v/>
      </c>
      <c r="O707" s="21"/>
    </row>
    <row r="708" customFormat="false" ht="15" hidden="false" customHeight="false" outlineLevel="0" collapsed="false">
      <c r="A708" s="20"/>
      <c r="B708" s="21"/>
      <c r="C708" s="21"/>
      <c r="D708" s="21"/>
      <c r="E708" s="21"/>
      <c r="F708" s="22"/>
      <c r="G708" s="20"/>
      <c r="H708" s="23"/>
      <c r="I708" s="24"/>
      <c r="J708" s="14" t="str">
        <f aca="false">IF(C708="","",-E708*H708*IF(OR(B708="Sell call",B708="Buy to close",B708="Expired",B708="Assigned"),100,1)-I708)</f>
        <v/>
      </c>
      <c r="K708" s="21"/>
      <c r="L708" s="21"/>
      <c r="M708" s="21"/>
      <c r="N708" s="8" t="str">
        <f aca="false">IF(A708="","",IF(COUNTIFS(Reconcile!$I:$I,A708,Reconcile!$H:$H,"&gt;="&amp;(J708-0.01),Reconcile!$H:$H,"&lt;="&amp;(J708+0.01))&gt;0,"Yes","Not yet"))</f>
        <v/>
      </c>
      <c r="O708" s="21"/>
    </row>
    <row r="709" customFormat="false" ht="15" hidden="false" customHeight="false" outlineLevel="0" collapsed="false">
      <c r="A709" s="20"/>
      <c r="B709" s="21"/>
      <c r="C709" s="21"/>
      <c r="D709" s="21"/>
      <c r="E709" s="21"/>
      <c r="F709" s="22"/>
      <c r="G709" s="20"/>
      <c r="H709" s="23"/>
      <c r="I709" s="24"/>
      <c r="J709" s="14" t="str">
        <f aca="false">IF(C709="","",-E709*H709*IF(OR(B709="Sell call",B709="Buy to close",B709="Expired",B709="Assigned"),100,1)-I709)</f>
        <v/>
      </c>
      <c r="K709" s="21"/>
      <c r="L709" s="21"/>
      <c r="M709" s="21"/>
      <c r="N709" s="8" t="str">
        <f aca="false">IF(A709="","",IF(COUNTIFS(Reconcile!$I:$I,A709,Reconcile!$H:$H,"&gt;="&amp;(J709-0.01),Reconcile!$H:$H,"&lt;="&amp;(J709+0.01))&gt;0,"Yes","Not yet"))</f>
        <v/>
      </c>
      <c r="O709" s="21"/>
    </row>
    <row r="710" customFormat="false" ht="15" hidden="false" customHeight="false" outlineLevel="0" collapsed="false">
      <c r="A710" s="20"/>
      <c r="B710" s="21"/>
      <c r="C710" s="21"/>
      <c r="D710" s="21"/>
      <c r="E710" s="21"/>
      <c r="F710" s="22"/>
      <c r="G710" s="20"/>
      <c r="H710" s="23"/>
      <c r="I710" s="24"/>
      <c r="J710" s="14" t="str">
        <f aca="false">IF(C710="","",-E710*H710*IF(OR(B710="Sell call",B710="Buy to close",B710="Expired",B710="Assigned"),100,1)-I710)</f>
        <v/>
      </c>
      <c r="K710" s="21"/>
      <c r="L710" s="21"/>
      <c r="M710" s="21"/>
      <c r="N710" s="8" t="str">
        <f aca="false">IF(A710="","",IF(COUNTIFS(Reconcile!$I:$I,A710,Reconcile!$H:$H,"&gt;="&amp;(J710-0.01),Reconcile!$H:$H,"&lt;="&amp;(J710+0.01))&gt;0,"Yes","Not yet"))</f>
        <v/>
      </c>
      <c r="O710" s="21"/>
    </row>
    <row r="711" customFormat="false" ht="15" hidden="false" customHeight="false" outlineLevel="0" collapsed="false">
      <c r="A711" s="20"/>
      <c r="B711" s="21"/>
      <c r="C711" s="21"/>
      <c r="D711" s="21"/>
      <c r="E711" s="21"/>
      <c r="F711" s="22"/>
      <c r="G711" s="20"/>
      <c r="H711" s="23"/>
      <c r="I711" s="24"/>
      <c r="J711" s="14" t="str">
        <f aca="false">IF(C711="","",-E711*H711*IF(OR(B711="Sell call",B711="Buy to close",B711="Expired",B711="Assigned"),100,1)-I711)</f>
        <v/>
      </c>
      <c r="K711" s="21"/>
      <c r="L711" s="21"/>
      <c r="M711" s="21"/>
      <c r="N711" s="8" t="str">
        <f aca="false">IF(A711="","",IF(COUNTIFS(Reconcile!$I:$I,A711,Reconcile!$H:$H,"&gt;="&amp;(J711-0.01),Reconcile!$H:$H,"&lt;="&amp;(J711+0.01))&gt;0,"Yes","Not yet"))</f>
        <v/>
      </c>
      <c r="O711" s="21"/>
    </row>
    <row r="712" customFormat="false" ht="15" hidden="false" customHeight="false" outlineLevel="0" collapsed="false">
      <c r="A712" s="20"/>
      <c r="B712" s="21"/>
      <c r="C712" s="21"/>
      <c r="D712" s="21"/>
      <c r="E712" s="21"/>
      <c r="F712" s="22"/>
      <c r="G712" s="20"/>
      <c r="H712" s="23"/>
      <c r="I712" s="24"/>
      <c r="J712" s="14" t="str">
        <f aca="false">IF(C712="","",-E712*H712*IF(OR(B712="Sell call",B712="Buy to close",B712="Expired",B712="Assigned"),100,1)-I712)</f>
        <v/>
      </c>
      <c r="K712" s="21"/>
      <c r="L712" s="21"/>
      <c r="M712" s="21"/>
      <c r="N712" s="8" t="str">
        <f aca="false">IF(A712="","",IF(COUNTIFS(Reconcile!$I:$I,A712,Reconcile!$H:$H,"&gt;="&amp;(J712-0.01),Reconcile!$H:$H,"&lt;="&amp;(J712+0.01))&gt;0,"Yes","Not yet"))</f>
        <v/>
      </c>
      <c r="O712" s="21"/>
    </row>
    <row r="713" customFormat="false" ht="15" hidden="false" customHeight="false" outlineLevel="0" collapsed="false">
      <c r="A713" s="20"/>
      <c r="B713" s="21"/>
      <c r="C713" s="21"/>
      <c r="D713" s="21"/>
      <c r="E713" s="21"/>
      <c r="F713" s="22"/>
      <c r="G713" s="20"/>
      <c r="H713" s="23"/>
      <c r="I713" s="24"/>
      <c r="J713" s="14" t="str">
        <f aca="false">IF(C713="","",-E713*H713*IF(OR(B713="Sell call",B713="Buy to close",B713="Expired",B713="Assigned"),100,1)-I713)</f>
        <v/>
      </c>
      <c r="K713" s="21"/>
      <c r="L713" s="21"/>
      <c r="M713" s="21"/>
      <c r="N713" s="8" t="str">
        <f aca="false">IF(A713="","",IF(COUNTIFS(Reconcile!$I:$I,A713,Reconcile!$H:$H,"&gt;="&amp;(J713-0.01),Reconcile!$H:$H,"&lt;="&amp;(J713+0.01))&gt;0,"Yes","Not yet"))</f>
        <v/>
      </c>
      <c r="O713" s="21"/>
    </row>
    <row r="714" customFormat="false" ht="15" hidden="false" customHeight="false" outlineLevel="0" collapsed="false">
      <c r="A714" s="20"/>
      <c r="B714" s="21"/>
      <c r="C714" s="21"/>
      <c r="D714" s="21"/>
      <c r="E714" s="21"/>
      <c r="F714" s="22"/>
      <c r="G714" s="20"/>
      <c r="H714" s="23"/>
      <c r="I714" s="24"/>
      <c r="J714" s="14" t="str">
        <f aca="false">IF(C714="","",-E714*H714*IF(OR(B714="Sell call",B714="Buy to close",B714="Expired",B714="Assigned"),100,1)-I714)</f>
        <v/>
      </c>
      <c r="K714" s="21"/>
      <c r="L714" s="21"/>
      <c r="M714" s="21"/>
      <c r="N714" s="8" t="str">
        <f aca="false">IF(A714="","",IF(COUNTIFS(Reconcile!$I:$I,A714,Reconcile!$H:$H,"&gt;="&amp;(J714-0.01),Reconcile!$H:$H,"&lt;="&amp;(J714+0.01))&gt;0,"Yes","Not yet"))</f>
        <v/>
      </c>
      <c r="O714" s="21"/>
    </row>
    <row r="715" customFormat="false" ht="15" hidden="false" customHeight="false" outlineLevel="0" collapsed="false">
      <c r="A715" s="20"/>
      <c r="B715" s="21"/>
      <c r="C715" s="21"/>
      <c r="D715" s="21"/>
      <c r="E715" s="21"/>
      <c r="F715" s="22"/>
      <c r="G715" s="20"/>
      <c r="H715" s="23"/>
      <c r="I715" s="24"/>
      <c r="J715" s="14" t="str">
        <f aca="false">IF(C715="","",-E715*H715*IF(OR(B715="Sell call",B715="Buy to close",B715="Expired",B715="Assigned"),100,1)-I715)</f>
        <v/>
      </c>
      <c r="K715" s="21"/>
      <c r="L715" s="21"/>
      <c r="M715" s="21"/>
      <c r="N715" s="8" t="str">
        <f aca="false">IF(A715="","",IF(COUNTIFS(Reconcile!$I:$I,A715,Reconcile!$H:$H,"&gt;="&amp;(J715-0.01),Reconcile!$H:$H,"&lt;="&amp;(J715+0.01))&gt;0,"Yes","Not yet"))</f>
        <v/>
      </c>
      <c r="O715" s="21"/>
    </row>
    <row r="716" customFormat="false" ht="15" hidden="false" customHeight="false" outlineLevel="0" collapsed="false">
      <c r="A716" s="20"/>
      <c r="B716" s="21"/>
      <c r="C716" s="21"/>
      <c r="D716" s="21"/>
      <c r="E716" s="21"/>
      <c r="F716" s="22"/>
      <c r="G716" s="20"/>
      <c r="H716" s="23"/>
      <c r="I716" s="24"/>
      <c r="J716" s="14" t="str">
        <f aca="false">IF(C716="","",-E716*H716*IF(OR(B716="Sell call",B716="Buy to close",B716="Expired",B716="Assigned"),100,1)-I716)</f>
        <v/>
      </c>
      <c r="K716" s="21"/>
      <c r="L716" s="21"/>
      <c r="M716" s="21"/>
      <c r="N716" s="8" t="str">
        <f aca="false">IF(A716="","",IF(COUNTIFS(Reconcile!$I:$I,A716,Reconcile!$H:$H,"&gt;="&amp;(J716-0.01),Reconcile!$H:$H,"&lt;="&amp;(J716+0.01))&gt;0,"Yes","Not yet"))</f>
        <v/>
      </c>
      <c r="O716" s="21"/>
    </row>
    <row r="717" customFormat="false" ht="15" hidden="false" customHeight="false" outlineLevel="0" collapsed="false">
      <c r="A717" s="20"/>
      <c r="B717" s="21"/>
      <c r="C717" s="21"/>
      <c r="D717" s="21"/>
      <c r="E717" s="21"/>
      <c r="F717" s="22"/>
      <c r="G717" s="20"/>
      <c r="H717" s="23"/>
      <c r="I717" s="24"/>
      <c r="J717" s="14" t="str">
        <f aca="false">IF(C717="","",-E717*H717*IF(OR(B717="Sell call",B717="Buy to close",B717="Expired",B717="Assigned"),100,1)-I717)</f>
        <v/>
      </c>
      <c r="K717" s="21"/>
      <c r="L717" s="21"/>
      <c r="M717" s="21"/>
      <c r="N717" s="8" t="str">
        <f aca="false">IF(A717="","",IF(COUNTIFS(Reconcile!$I:$I,A717,Reconcile!$H:$H,"&gt;="&amp;(J717-0.01),Reconcile!$H:$H,"&lt;="&amp;(J717+0.01))&gt;0,"Yes","Not yet"))</f>
        <v/>
      </c>
      <c r="O717" s="21"/>
    </row>
    <row r="718" customFormat="false" ht="15" hidden="false" customHeight="false" outlineLevel="0" collapsed="false">
      <c r="A718" s="20"/>
      <c r="B718" s="21"/>
      <c r="C718" s="21"/>
      <c r="D718" s="21"/>
      <c r="E718" s="21"/>
      <c r="F718" s="22"/>
      <c r="G718" s="20"/>
      <c r="H718" s="23"/>
      <c r="I718" s="24"/>
      <c r="J718" s="14" t="str">
        <f aca="false">IF(C718="","",-E718*H718*IF(OR(B718="Sell call",B718="Buy to close",B718="Expired",B718="Assigned"),100,1)-I718)</f>
        <v/>
      </c>
      <c r="K718" s="21"/>
      <c r="L718" s="21"/>
      <c r="M718" s="21"/>
      <c r="N718" s="8" t="str">
        <f aca="false">IF(A718="","",IF(COUNTIFS(Reconcile!$I:$I,A718,Reconcile!$H:$H,"&gt;="&amp;(J718-0.01),Reconcile!$H:$H,"&lt;="&amp;(J718+0.01))&gt;0,"Yes","Not yet"))</f>
        <v/>
      </c>
      <c r="O718" s="21"/>
    </row>
    <row r="719" customFormat="false" ht="15" hidden="false" customHeight="false" outlineLevel="0" collapsed="false">
      <c r="A719" s="20"/>
      <c r="B719" s="21"/>
      <c r="C719" s="21"/>
      <c r="D719" s="21"/>
      <c r="E719" s="21"/>
      <c r="F719" s="22"/>
      <c r="G719" s="20"/>
      <c r="H719" s="23"/>
      <c r="I719" s="24"/>
      <c r="J719" s="14" t="str">
        <f aca="false">IF(C719="","",-E719*H719*IF(OR(B719="Sell call",B719="Buy to close",B719="Expired",B719="Assigned"),100,1)-I719)</f>
        <v/>
      </c>
      <c r="K719" s="21"/>
      <c r="L719" s="21"/>
      <c r="M719" s="21"/>
      <c r="N719" s="8" t="str">
        <f aca="false">IF(A719="","",IF(COUNTIFS(Reconcile!$I:$I,A719,Reconcile!$H:$H,"&gt;="&amp;(J719-0.01),Reconcile!$H:$H,"&lt;="&amp;(J719+0.01))&gt;0,"Yes","Not yet"))</f>
        <v/>
      </c>
      <c r="O719" s="21"/>
    </row>
    <row r="720" customFormat="false" ht="15" hidden="false" customHeight="false" outlineLevel="0" collapsed="false">
      <c r="A720" s="20"/>
      <c r="B720" s="21"/>
      <c r="C720" s="21"/>
      <c r="D720" s="21"/>
      <c r="E720" s="21"/>
      <c r="F720" s="22"/>
      <c r="G720" s="20"/>
      <c r="H720" s="23"/>
      <c r="I720" s="24"/>
      <c r="J720" s="14" t="str">
        <f aca="false">IF(C720="","",-E720*H720*IF(OR(B720="Sell call",B720="Buy to close",B720="Expired",B720="Assigned"),100,1)-I720)</f>
        <v/>
      </c>
      <c r="K720" s="21"/>
      <c r="L720" s="21"/>
      <c r="M720" s="21"/>
      <c r="N720" s="8" t="str">
        <f aca="false">IF(A720="","",IF(COUNTIFS(Reconcile!$I:$I,A720,Reconcile!$H:$H,"&gt;="&amp;(J720-0.01),Reconcile!$H:$H,"&lt;="&amp;(J720+0.01))&gt;0,"Yes","Not yet"))</f>
        <v/>
      </c>
      <c r="O720" s="21"/>
    </row>
    <row r="721" customFormat="false" ht="15" hidden="false" customHeight="false" outlineLevel="0" collapsed="false">
      <c r="A721" s="20"/>
      <c r="B721" s="21"/>
      <c r="C721" s="21"/>
      <c r="D721" s="21"/>
      <c r="E721" s="21"/>
      <c r="F721" s="22"/>
      <c r="G721" s="20"/>
      <c r="H721" s="23"/>
      <c r="I721" s="24"/>
      <c r="J721" s="14" t="str">
        <f aca="false">IF(C721="","",-E721*H721*IF(OR(B721="Sell call",B721="Buy to close",B721="Expired",B721="Assigned"),100,1)-I721)</f>
        <v/>
      </c>
      <c r="K721" s="21"/>
      <c r="L721" s="21"/>
      <c r="M721" s="21"/>
      <c r="N721" s="8" t="str">
        <f aca="false">IF(A721="","",IF(COUNTIFS(Reconcile!$I:$I,A721,Reconcile!$H:$H,"&gt;="&amp;(J721-0.01),Reconcile!$H:$H,"&lt;="&amp;(J721+0.01))&gt;0,"Yes","Not yet"))</f>
        <v/>
      </c>
      <c r="O721" s="21"/>
    </row>
    <row r="722" customFormat="false" ht="15" hidden="false" customHeight="false" outlineLevel="0" collapsed="false">
      <c r="A722" s="20"/>
      <c r="B722" s="21"/>
      <c r="C722" s="21"/>
      <c r="D722" s="21"/>
      <c r="E722" s="21"/>
      <c r="F722" s="22"/>
      <c r="G722" s="20"/>
      <c r="H722" s="23"/>
      <c r="I722" s="24"/>
      <c r="J722" s="14" t="str">
        <f aca="false">IF(C722="","",-E722*H722*IF(OR(B722="Sell call",B722="Buy to close",B722="Expired",B722="Assigned"),100,1)-I722)</f>
        <v/>
      </c>
      <c r="K722" s="21"/>
      <c r="L722" s="21"/>
      <c r="M722" s="21"/>
      <c r="N722" s="8" t="str">
        <f aca="false">IF(A722="","",IF(COUNTIFS(Reconcile!$I:$I,A722,Reconcile!$H:$H,"&gt;="&amp;(J722-0.01),Reconcile!$H:$H,"&lt;="&amp;(J722+0.01))&gt;0,"Yes","Not yet"))</f>
        <v/>
      </c>
      <c r="O722" s="21"/>
    </row>
    <row r="723" customFormat="false" ht="15" hidden="false" customHeight="false" outlineLevel="0" collapsed="false">
      <c r="A723" s="20"/>
      <c r="B723" s="21"/>
      <c r="C723" s="21"/>
      <c r="D723" s="21"/>
      <c r="E723" s="21"/>
      <c r="F723" s="22"/>
      <c r="G723" s="20"/>
      <c r="H723" s="23"/>
      <c r="I723" s="24"/>
      <c r="J723" s="14" t="str">
        <f aca="false">IF(C723="","",-E723*H723*IF(OR(B723="Sell call",B723="Buy to close",B723="Expired",B723="Assigned"),100,1)-I723)</f>
        <v/>
      </c>
      <c r="K723" s="21"/>
      <c r="L723" s="21"/>
      <c r="M723" s="21"/>
      <c r="N723" s="8" t="str">
        <f aca="false">IF(A723="","",IF(COUNTIFS(Reconcile!$I:$I,A723,Reconcile!$H:$H,"&gt;="&amp;(J723-0.01),Reconcile!$H:$H,"&lt;="&amp;(J723+0.01))&gt;0,"Yes","Not yet"))</f>
        <v/>
      </c>
      <c r="O723" s="21"/>
    </row>
    <row r="724" customFormat="false" ht="15" hidden="false" customHeight="false" outlineLevel="0" collapsed="false">
      <c r="A724" s="20"/>
      <c r="B724" s="21"/>
      <c r="C724" s="21"/>
      <c r="D724" s="21"/>
      <c r="E724" s="21"/>
      <c r="F724" s="22"/>
      <c r="G724" s="20"/>
      <c r="H724" s="23"/>
      <c r="I724" s="24"/>
      <c r="J724" s="14" t="str">
        <f aca="false">IF(C724="","",-E724*H724*IF(OR(B724="Sell call",B724="Buy to close",B724="Expired",B724="Assigned"),100,1)-I724)</f>
        <v/>
      </c>
      <c r="K724" s="21"/>
      <c r="L724" s="21"/>
      <c r="M724" s="21"/>
      <c r="N724" s="8" t="str">
        <f aca="false">IF(A724="","",IF(COUNTIFS(Reconcile!$I:$I,A724,Reconcile!$H:$H,"&gt;="&amp;(J724-0.01),Reconcile!$H:$H,"&lt;="&amp;(J724+0.01))&gt;0,"Yes","Not yet"))</f>
        <v/>
      </c>
      <c r="O724" s="21"/>
    </row>
    <row r="725" customFormat="false" ht="15" hidden="false" customHeight="false" outlineLevel="0" collapsed="false">
      <c r="A725" s="20"/>
      <c r="B725" s="21"/>
      <c r="C725" s="21"/>
      <c r="D725" s="21"/>
      <c r="E725" s="21"/>
      <c r="F725" s="22"/>
      <c r="G725" s="20"/>
      <c r="H725" s="23"/>
      <c r="I725" s="24"/>
      <c r="J725" s="14" t="str">
        <f aca="false">IF(C725="","",-E725*H725*IF(OR(B725="Sell call",B725="Buy to close",B725="Expired",B725="Assigned"),100,1)-I725)</f>
        <v/>
      </c>
      <c r="K725" s="21"/>
      <c r="L725" s="21"/>
      <c r="M725" s="21"/>
      <c r="N725" s="8" t="str">
        <f aca="false">IF(A725="","",IF(COUNTIFS(Reconcile!$I:$I,A725,Reconcile!$H:$H,"&gt;="&amp;(J725-0.01),Reconcile!$H:$H,"&lt;="&amp;(J725+0.01))&gt;0,"Yes","Not yet"))</f>
        <v/>
      </c>
      <c r="O725" s="21"/>
    </row>
    <row r="726" customFormat="false" ht="15" hidden="false" customHeight="false" outlineLevel="0" collapsed="false">
      <c r="A726" s="20"/>
      <c r="B726" s="21"/>
      <c r="C726" s="21"/>
      <c r="D726" s="21"/>
      <c r="E726" s="21"/>
      <c r="F726" s="22"/>
      <c r="G726" s="20"/>
      <c r="H726" s="23"/>
      <c r="I726" s="24"/>
      <c r="J726" s="14" t="str">
        <f aca="false">IF(C726="","",-E726*H726*IF(OR(B726="Sell call",B726="Buy to close",B726="Expired",B726="Assigned"),100,1)-I726)</f>
        <v/>
      </c>
      <c r="K726" s="21"/>
      <c r="L726" s="21"/>
      <c r="M726" s="21"/>
      <c r="N726" s="8" t="str">
        <f aca="false">IF(A726="","",IF(COUNTIFS(Reconcile!$I:$I,A726,Reconcile!$H:$H,"&gt;="&amp;(J726-0.01),Reconcile!$H:$H,"&lt;="&amp;(J726+0.01))&gt;0,"Yes","Not yet"))</f>
        <v/>
      </c>
      <c r="O726" s="21"/>
    </row>
    <row r="727" customFormat="false" ht="15" hidden="false" customHeight="false" outlineLevel="0" collapsed="false">
      <c r="A727" s="20"/>
      <c r="B727" s="21"/>
      <c r="C727" s="21"/>
      <c r="D727" s="21"/>
      <c r="E727" s="21"/>
      <c r="F727" s="22"/>
      <c r="G727" s="20"/>
      <c r="H727" s="23"/>
      <c r="I727" s="24"/>
      <c r="J727" s="14" t="str">
        <f aca="false">IF(C727="","",-E727*H727*IF(OR(B727="Sell call",B727="Buy to close",B727="Expired",B727="Assigned"),100,1)-I727)</f>
        <v/>
      </c>
      <c r="K727" s="21"/>
      <c r="L727" s="21"/>
      <c r="M727" s="21"/>
      <c r="N727" s="8" t="str">
        <f aca="false">IF(A727="","",IF(COUNTIFS(Reconcile!$I:$I,A727,Reconcile!$H:$H,"&gt;="&amp;(J727-0.01),Reconcile!$H:$H,"&lt;="&amp;(J727+0.01))&gt;0,"Yes","Not yet"))</f>
        <v/>
      </c>
      <c r="O727" s="21"/>
    </row>
    <row r="728" customFormat="false" ht="15" hidden="false" customHeight="false" outlineLevel="0" collapsed="false">
      <c r="A728" s="20"/>
      <c r="B728" s="21"/>
      <c r="C728" s="21"/>
      <c r="D728" s="21"/>
      <c r="E728" s="21"/>
      <c r="F728" s="22"/>
      <c r="G728" s="20"/>
      <c r="H728" s="23"/>
      <c r="I728" s="24"/>
      <c r="J728" s="14" t="str">
        <f aca="false">IF(C728="","",-E728*H728*IF(OR(B728="Sell call",B728="Buy to close",B728="Expired",B728="Assigned"),100,1)-I728)</f>
        <v/>
      </c>
      <c r="K728" s="21"/>
      <c r="L728" s="21"/>
      <c r="M728" s="21"/>
      <c r="N728" s="8" t="str">
        <f aca="false">IF(A728="","",IF(COUNTIFS(Reconcile!$I:$I,A728,Reconcile!$H:$H,"&gt;="&amp;(J728-0.01),Reconcile!$H:$H,"&lt;="&amp;(J728+0.01))&gt;0,"Yes","Not yet"))</f>
        <v/>
      </c>
      <c r="O728" s="21"/>
    </row>
    <row r="729" customFormat="false" ht="15" hidden="false" customHeight="false" outlineLevel="0" collapsed="false">
      <c r="A729" s="20"/>
      <c r="B729" s="21"/>
      <c r="C729" s="21"/>
      <c r="D729" s="21"/>
      <c r="E729" s="21"/>
      <c r="F729" s="22"/>
      <c r="G729" s="20"/>
      <c r="H729" s="23"/>
      <c r="I729" s="24"/>
      <c r="J729" s="14" t="str">
        <f aca="false">IF(C729="","",-E729*H729*IF(OR(B729="Sell call",B729="Buy to close",B729="Expired",B729="Assigned"),100,1)-I729)</f>
        <v/>
      </c>
      <c r="K729" s="21"/>
      <c r="L729" s="21"/>
      <c r="M729" s="21"/>
      <c r="N729" s="8" t="str">
        <f aca="false">IF(A729="","",IF(COUNTIFS(Reconcile!$I:$I,A729,Reconcile!$H:$H,"&gt;="&amp;(J729-0.01),Reconcile!$H:$H,"&lt;="&amp;(J729+0.01))&gt;0,"Yes","Not yet"))</f>
        <v/>
      </c>
      <c r="O729" s="21"/>
    </row>
    <row r="730" customFormat="false" ht="15" hidden="false" customHeight="false" outlineLevel="0" collapsed="false">
      <c r="A730" s="20"/>
      <c r="B730" s="21"/>
      <c r="C730" s="21"/>
      <c r="D730" s="21"/>
      <c r="E730" s="21"/>
      <c r="F730" s="22"/>
      <c r="G730" s="20"/>
      <c r="H730" s="23"/>
      <c r="I730" s="24"/>
      <c r="J730" s="14" t="str">
        <f aca="false">IF(C730="","",-E730*H730*IF(OR(B730="Sell call",B730="Buy to close",B730="Expired",B730="Assigned"),100,1)-I730)</f>
        <v/>
      </c>
      <c r="K730" s="21"/>
      <c r="L730" s="21"/>
      <c r="M730" s="21"/>
      <c r="N730" s="8" t="str">
        <f aca="false">IF(A730="","",IF(COUNTIFS(Reconcile!$I:$I,A730,Reconcile!$H:$H,"&gt;="&amp;(J730-0.01),Reconcile!$H:$H,"&lt;="&amp;(J730+0.01))&gt;0,"Yes","Not yet"))</f>
        <v/>
      </c>
      <c r="O730" s="21"/>
    </row>
    <row r="731" customFormat="false" ht="15" hidden="false" customHeight="false" outlineLevel="0" collapsed="false">
      <c r="A731" s="20"/>
      <c r="B731" s="21"/>
      <c r="C731" s="21"/>
      <c r="D731" s="21"/>
      <c r="E731" s="21"/>
      <c r="F731" s="22"/>
      <c r="G731" s="20"/>
      <c r="H731" s="23"/>
      <c r="I731" s="24"/>
      <c r="J731" s="14" t="str">
        <f aca="false">IF(C731="","",-E731*H731*IF(OR(B731="Sell call",B731="Buy to close",B731="Expired",B731="Assigned"),100,1)-I731)</f>
        <v/>
      </c>
      <c r="K731" s="21"/>
      <c r="L731" s="21"/>
      <c r="M731" s="21"/>
      <c r="N731" s="8" t="str">
        <f aca="false">IF(A731="","",IF(COUNTIFS(Reconcile!$I:$I,A731,Reconcile!$H:$H,"&gt;="&amp;(J731-0.01),Reconcile!$H:$H,"&lt;="&amp;(J731+0.01))&gt;0,"Yes","Not yet"))</f>
        <v/>
      </c>
      <c r="O731" s="21"/>
    </row>
    <row r="732" customFormat="false" ht="15" hidden="false" customHeight="false" outlineLevel="0" collapsed="false">
      <c r="A732" s="20"/>
      <c r="B732" s="21"/>
      <c r="C732" s="21"/>
      <c r="D732" s="21"/>
      <c r="E732" s="21"/>
      <c r="F732" s="22"/>
      <c r="G732" s="20"/>
      <c r="H732" s="23"/>
      <c r="I732" s="24"/>
      <c r="J732" s="14" t="str">
        <f aca="false">IF(C732="","",-E732*H732*IF(OR(B732="Sell call",B732="Buy to close",B732="Expired",B732="Assigned"),100,1)-I732)</f>
        <v/>
      </c>
      <c r="K732" s="21"/>
      <c r="L732" s="21"/>
      <c r="M732" s="21"/>
      <c r="N732" s="8" t="str">
        <f aca="false">IF(A732="","",IF(COUNTIFS(Reconcile!$I:$I,A732,Reconcile!$H:$H,"&gt;="&amp;(J732-0.01),Reconcile!$H:$H,"&lt;="&amp;(J732+0.01))&gt;0,"Yes","Not yet"))</f>
        <v/>
      </c>
      <c r="O732" s="21"/>
    </row>
    <row r="733" customFormat="false" ht="15" hidden="false" customHeight="false" outlineLevel="0" collapsed="false">
      <c r="A733" s="20"/>
      <c r="B733" s="21"/>
      <c r="C733" s="21"/>
      <c r="D733" s="21"/>
      <c r="E733" s="21"/>
      <c r="F733" s="22"/>
      <c r="G733" s="20"/>
      <c r="H733" s="23"/>
      <c r="I733" s="24"/>
      <c r="J733" s="14" t="str">
        <f aca="false">IF(C733="","",-E733*H733*IF(OR(B733="Sell call",B733="Buy to close",B733="Expired",B733="Assigned"),100,1)-I733)</f>
        <v/>
      </c>
      <c r="K733" s="21"/>
      <c r="L733" s="21"/>
      <c r="M733" s="21"/>
      <c r="N733" s="8" t="str">
        <f aca="false">IF(A733="","",IF(COUNTIFS(Reconcile!$I:$I,A733,Reconcile!$H:$H,"&gt;="&amp;(J733-0.01),Reconcile!$H:$H,"&lt;="&amp;(J733+0.01))&gt;0,"Yes","Not yet"))</f>
        <v/>
      </c>
      <c r="O733" s="21"/>
    </row>
    <row r="734" customFormat="false" ht="15" hidden="false" customHeight="false" outlineLevel="0" collapsed="false">
      <c r="A734" s="20"/>
      <c r="B734" s="21"/>
      <c r="C734" s="21"/>
      <c r="D734" s="21"/>
      <c r="E734" s="21"/>
      <c r="F734" s="22"/>
      <c r="G734" s="20"/>
      <c r="H734" s="23"/>
      <c r="I734" s="24"/>
      <c r="J734" s="14" t="str">
        <f aca="false">IF(C734="","",-E734*H734*IF(OR(B734="Sell call",B734="Buy to close",B734="Expired",B734="Assigned"),100,1)-I734)</f>
        <v/>
      </c>
      <c r="K734" s="21"/>
      <c r="L734" s="21"/>
      <c r="M734" s="21"/>
      <c r="N734" s="8" t="str">
        <f aca="false">IF(A734="","",IF(COUNTIFS(Reconcile!$I:$I,A734,Reconcile!$H:$H,"&gt;="&amp;(J734-0.01),Reconcile!$H:$H,"&lt;="&amp;(J734+0.01))&gt;0,"Yes","Not yet"))</f>
        <v/>
      </c>
      <c r="O734" s="21"/>
    </row>
    <row r="735" customFormat="false" ht="15" hidden="false" customHeight="false" outlineLevel="0" collapsed="false">
      <c r="A735" s="20"/>
      <c r="B735" s="21"/>
      <c r="C735" s="21"/>
      <c r="D735" s="21"/>
      <c r="E735" s="21"/>
      <c r="F735" s="22"/>
      <c r="G735" s="20"/>
      <c r="H735" s="23"/>
      <c r="I735" s="24"/>
      <c r="J735" s="14" t="str">
        <f aca="false">IF(C735="","",-E735*H735*IF(OR(B735="Sell call",B735="Buy to close",B735="Expired",B735="Assigned"),100,1)-I735)</f>
        <v/>
      </c>
      <c r="K735" s="21"/>
      <c r="L735" s="21"/>
      <c r="M735" s="21"/>
      <c r="N735" s="8" t="str">
        <f aca="false">IF(A735="","",IF(COUNTIFS(Reconcile!$I:$I,A735,Reconcile!$H:$H,"&gt;="&amp;(J735-0.01),Reconcile!$H:$H,"&lt;="&amp;(J735+0.01))&gt;0,"Yes","Not yet"))</f>
        <v/>
      </c>
      <c r="O735" s="21"/>
    </row>
    <row r="736" customFormat="false" ht="15" hidden="false" customHeight="false" outlineLevel="0" collapsed="false">
      <c r="A736" s="20"/>
      <c r="B736" s="21"/>
      <c r="C736" s="21"/>
      <c r="D736" s="21"/>
      <c r="E736" s="21"/>
      <c r="F736" s="22"/>
      <c r="G736" s="20"/>
      <c r="H736" s="23"/>
      <c r="I736" s="24"/>
      <c r="J736" s="14" t="str">
        <f aca="false">IF(C736="","",-E736*H736*IF(OR(B736="Sell call",B736="Buy to close",B736="Expired",B736="Assigned"),100,1)-I736)</f>
        <v/>
      </c>
      <c r="K736" s="21"/>
      <c r="L736" s="21"/>
      <c r="M736" s="21"/>
      <c r="N736" s="8" t="str">
        <f aca="false">IF(A736="","",IF(COUNTIFS(Reconcile!$I:$I,A736,Reconcile!$H:$H,"&gt;="&amp;(J736-0.01),Reconcile!$H:$H,"&lt;="&amp;(J736+0.01))&gt;0,"Yes","Not yet"))</f>
        <v/>
      </c>
      <c r="O736" s="21"/>
    </row>
    <row r="737" customFormat="false" ht="15" hidden="false" customHeight="false" outlineLevel="0" collapsed="false">
      <c r="A737" s="20"/>
      <c r="B737" s="21"/>
      <c r="C737" s="21"/>
      <c r="D737" s="21"/>
      <c r="E737" s="21"/>
      <c r="F737" s="22"/>
      <c r="G737" s="20"/>
      <c r="H737" s="23"/>
      <c r="I737" s="24"/>
      <c r="J737" s="14" t="str">
        <f aca="false">IF(C737="","",-E737*H737*IF(OR(B737="Sell call",B737="Buy to close",B737="Expired",B737="Assigned"),100,1)-I737)</f>
        <v/>
      </c>
      <c r="K737" s="21"/>
      <c r="L737" s="21"/>
      <c r="M737" s="21"/>
      <c r="N737" s="8" t="str">
        <f aca="false">IF(A737="","",IF(COUNTIFS(Reconcile!$I:$I,A737,Reconcile!$H:$H,"&gt;="&amp;(J737-0.01),Reconcile!$H:$H,"&lt;="&amp;(J737+0.01))&gt;0,"Yes","Not yet"))</f>
        <v/>
      </c>
      <c r="O737" s="21"/>
    </row>
    <row r="738" customFormat="false" ht="15" hidden="false" customHeight="false" outlineLevel="0" collapsed="false">
      <c r="A738" s="20"/>
      <c r="B738" s="21"/>
      <c r="C738" s="21"/>
      <c r="D738" s="21"/>
      <c r="E738" s="21"/>
      <c r="F738" s="22"/>
      <c r="G738" s="20"/>
      <c r="H738" s="23"/>
      <c r="I738" s="24"/>
      <c r="J738" s="14" t="str">
        <f aca="false">IF(C738="","",-E738*H738*IF(OR(B738="Sell call",B738="Buy to close",B738="Expired",B738="Assigned"),100,1)-I738)</f>
        <v/>
      </c>
      <c r="K738" s="21"/>
      <c r="L738" s="21"/>
      <c r="M738" s="21"/>
      <c r="N738" s="8" t="str">
        <f aca="false">IF(A738="","",IF(COUNTIFS(Reconcile!$I:$I,A738,Reconcile!$H:$H,"&gt;="&amp;(J738-0.01),Reconcile!$H:$H,"&lt;="&amp;(J738+0.01))&gt;0,"Yes","Not yet"))</f>
        <v/>
      </c>
      <c r="O738" s="21"/>
    </row>
    <row r="739" customFormat="false" ht="15" hidden="false" customHeight="false" outlineLevel="0" collapsed="false">
      <c r="A739" s="20"/>
      <c r="B739" s="21"/>
      <c r="C739" s="21"/>
      <c r="D739" s="21"/>
      <c r="E739" s="21"/>
      <c r="F739" s="22"/>
      <c r="G739" s="20"/>
      <c r="H739" s="23"/>
      <c r="I739" s="24"/>
      <c r="J739" s="14" t="str">
        <f aca="false">IF(C739="","",-E739*H739*IF(OR(B739="Sell call",B739="Buy to close",B739="Expired",B739="Assigned"),100,1)-I739)</f>
        <v/>
      </c>
      <c r="K739" s="21"/>
      <c r="L739" s="21"/>
      <c r="M739" s="21"/>
      <c r="N739" s="8" t="str">
        <f aca="false">IF(A739="","",IF(COUNTIFS(Reconcile!$I:$I,A739,Reconcile!$H:$H,"&gt;="&amp;(J739-0.01),Reconcile!$H:$H,"&lt;="&amp;(J739+0.01))&gt;0,"Yes","Not yet"))</f>
        <v/>
      </c>
      <c r="O739" s="21"/>
    </row>
    <row r="740" customFormat="false" ht="15" hidden="false" customHeight="false" outlineLevel="0" collapsed="false">
      <c r="A740" s="20"/>
      <c r="B740" s="21"/>
      <c r="C740" s="21"/>
      <c r="D740" s="21"/>
      <c r="E740" s="21"/>
      <c r="F740" s="22"/>
      <c r="G740" s="20"/>
      <c r="H740" s="23"/>
      <c r="I740" s="24"/>
      <c r="J740" s="14" t="str">
        <f aca="false">IF(C740="","",-E740*H740*IF(OR(B740="Sell call",B740="Buy to close",B740="Expired",B740="Assigned"),100,1)-I740)</f>
        <v/>
      </c>
      <c r="K740" s="21"/>
      <c r="L740" s="21"/>
      <c r="M740" s="21"/>
      <c r="N740" s="8" t="str">
        <f aca="false">IF(A740="","",IF(COUNTIFS(Reconcile!$I:$I,A740,Reconcile!$H:$H,"&gt;="&amp;(J740-0.01),Reconcile!$H:$H,"&lt;="&amp;(J740+0.01))&gt;0,"Yes","Not yet"))</f>
        <v/>
      </c>
      <c r="O740" s="21"/>
    </row>
    <row r="741" customFormat="false" ht="15" hidden="false" customHeight="false" outlineLevel="0" collapsed="false">
      <c r="A741" s="20"/>
      <c r="B741" s="21"/>
      <c r="C741" s="21"/>
      <c r="D741" s="21"/>
      <c r="E741" s="21"/>
      <c r="F741" s="22"/>
      <c r="G741" s="20"/>
      <c r="H741" s="23"/>
      <c r="I741" s="24"/>
      <c r="J741" s="14" t="str">
        <f aca="false">IF(C741="","",-E741*H741*IF(OR(B741="Sell call",B741="Buy to close",B741="Expired",B741="Assigned"),100,1)-I741)</f>
        <v/>
      </c>
      <c r="K741" s="21"/>
      <c r="L741" s="21"/>
      <c r="M741" s="21"/>
      <c r="N741" s="8" t="str">
        <f aca="false">IF(A741="","",IF(COUNTIFS(Reconcile!$I:$I,A741,Reconcile!$H:$H,"&gt;="&amp;(J741-0.01),Reconcile!$H:$H,"&lt;="&amp;(J741+0.01))&gt;0,"Yes","Not yet"))</f>
        <v/>
      </c>
      <c r="O741" s="21"/>
    </row>
    <row r="742" customFormat="false" ht="15" hidden="false" customHeight="false" outlineLevel="0" collapsed="false">
      <c r="A742" s="20"/>
      <c r="B742" s="21"/>
      <c r="C742" s="21"/>
      <c r="D742" s="21"/>
      <c r="E742" s="21"/>
      <c r="F742" s="22"/>
      <c r="G742" s="20"/>
      <c r="H742" s="23"/>
      <c r="I742" s="24"/>
      <c r="J742" s="14" t="str">
        <f aca="false">IF(C742="","",-E742*H742*IF(OR(B742="Sell call",B742="Buy to close",B742="Expired",B742="Assigned"),100,1)-I742)</f>
        <v/>
      </c>
      <c r="K742" s="21"/>
      <c r="L742" s="21"/>
      <c r="M742" s="21"/>
      <c r="N742" s="8" t="str">
        <f aca="false">IF(A742="","",IF(COUNTIFS(Reconcile!$I:$I,A742,Reconcile!$H:$H,"&gt;="&amp;(J742-0.01),Reconcile!$H:$H,"&lt;="&amp;(J742+0.01))&gt;0,"Yes","Not yet"))</f>
        <v/>
      </c>
      <c r="O742" s="21"/>
    </row>
    <row r="743" customFormat="false" ht="15" hidden="false" customHeight="false" outlineLevel="0" collapsed="false">
      <c r="A743" s="20"/>
      <c r="B743" s="21"/>
      <c r="C743" s="21"/>
      <c r="D743" s="21"/>
      <c r="E743" s="21"/>
      <c r="F743" s="22"/>
      <c r="G743" s="20"/>
      <c r="H743" s="23"/>
      <c r="I743" s="24"/>
      <c r="J743" s="14" t="str">
        <f aca="false">IF(C743="","",-E743*H743*IF(OR(B743="Sell call",B743="Buy to close",B743="Expired",B743="Assigned"),100,1)-I743)</f>
        <v/>
      </c>
      <c r="K743" s="21"/>
      <c r="L743" s="21"/>
      <c r="M743" s="21"/>
      <c r="N743" s="8" t="str">
        <f aca="false">IF(A743="","",IF(COUNTIFS(Reconcile!$I:$I,A743,Reconcile!$H:$H,"&gt;="&amp;(J743-0.01),Reconcile!$H:$H,"&lt;="&amp;(J743+0.01))&gt;0,"Yes","Not yet"))</f>
        <v/>
      </c>
      <c r="O743" s="21"/>
    </row>
    <row r="744" customFormat="false" ht="15" hidden="false" customHeight="false" outlineLevel="0" collapsed="false">
      <c r="A744" s="20"/>
      <c r="B744" s="21"/>
      <c r="C744" s="21"/>
      <c r="D744" s="21"/>
      <c r="E744" s="21"/>
      <c r="F744" s="22"/>
      <c r="G744" s="20"/>
      <c r="H744" s="23"/>
      <c r="I744" s="24"/>
      <c r="J744" s="14" t="str">
        <f aca="false">IF(C744="","",-E744*H744*IF(OR(B744="Sell call",B744="Buy to close",B744="Expired",B744="Assigned"),100,1)-I744)</f>
        <v/>
      </c>
      <c r="K744" s="21"/>
      <c r="L744" s="21"/>
      <c r="M744" s="21"/>
      <c r="N744" s="8" t="str">
        <f aca="false">IF(A744="","",IF(COUNTIFS(Reconcile!$I:$I,A744,Reconcile!$H:$H,"&gt;="&amp;(J744-0.01),Reconcile!$H:$H,"&lt;="&amp;(J744+0.01))&gt;0,"Yes","Not yet"))</f>
        <v/>
      </c>
      <c r="O744" s="21"/>
    </row>
    <row r="745" customFormat="false" ht="15" hidden="false" customHeight="false" outlineLevel="0" collapsed="false">
      <c r="A745" s="20"/>
      <c r="B745" s="21"/>
      <c r="C745" s="21"/>
      <c r="D745" s="21"/>
      <c r="E745" s="21"/>
      <c r="F745" s="22"/>
      <c r="G745" s="20"/>
      <c r="H745" s="23"/>
      <c r="I745" s="24"/>
      <c r="J745" s="14" t="str">
        <f aca="false">IF(C745="","",-E745*H745*IF(OR(B745="Sell call",B745="Buy to close",B745="Expired",B745="Assigned"),100,1)-I745)</f>
        <v/>
      </c>
      <c r="K745" s="21"/>
      <c r="L745" s="21"/>
      <c r="M745" s="21"/>
      <c r="N745" s="8" t="str">
        <f aca="false">IF(A745="","",IF(COUNTIFS(Reconcile!$I:$I,A745,Reconcile!$H:$H,"&gt;="&amp;(J745-0.01),Reconcile!$H:$H,"&lt;="&amp;(J745+0.01))&gt;0,"Yes","Not yet"))</f>
        <v/>
      </c>
      <c r="O745" s="21"/>
    </row>
    <row r="746" customFormat="false" ht="15" hidden="false" customHeight="false" outlineLevel="0" collapsed="false">
      <c r="A746" s="20"/>
      <c r="B746" s="21"/>
      <c r="C746" s="21"/>
      <c r="D746" s="21"/>
      <c r="E746" s="21"/>
      <c r="F746" s="22"/>
      <c r="G746" s="20"/>
      <c r="H746" s="23"/>
      <c r="I746" s="24"/>
      <c r="J746" s="14" t="str">
        <f aca="false">IF(C746="","",-E746*H746*IF(OR(B746="Sell call",B746="Buy to close",B746="Expired",B746="Assigned"),100,1)-I746)</f>
        <v/>
      </c>
      <c r="K746" s="21"/>
      <c r="L746" s="21"/>
      <c r="M746" s="21"/>
      <c r="N746" s="8" t="str">
        <f aca="false">IF(A746="","",IF(COUNTIFS(Reconcile!$I:$I,A746,Reconcile!$H:$H,"&gt;="&amp;(J746-0.01),Reconcile!$H:$H,"&lt;="&amp;(J746+0.01))&gt;0,"Yes","Not yet"))</f>
        <v/>
      </c>
      <c r="O746" s="21"/>
    </row>
    <row r="747" customFormat="false" ht="15" hidden="false" customHeight="false" outlineLevel="0" collapsed="false">
      <c r="A747" s="20"/>
      <c r="B747" s="21"/>
      <c r="C747" s="21"/>
      <c r="D747" s="21"/>
      <c r="E747" s="21"/>
      <c r="F747" s="22"/>
      <c r="G747" s="20"/>
      <c r="H747" s="23"/>
      <c r="I747" s="24"/>
      <c r="J747" s="14" t="str">
        <f aca="false">IF(C747="","",-E747*H747*IF(OR(B747="Sell call",B747="Buy to close",B747="Expired",B747="Assigned"),100,1)-I747)</f>
        <v/>
      </c>
      <c r="K747" s="21"/>
      <c r="L747" s="21"/>
      <c r="M747" s="21"/>
      <c r="N747" s="8" t="str">
        <f aca="false">IF(A747="","",IF(COUNTIFS(Reconcile!$I:$I,A747,Reconcile!$H:$H,"&gt;="&amp;(J747-0.01),Reconcile!$H:$H,"&lt;="&amp;(J747+0.01))&gt;0,"Yes","Not yet"))</f>
        <v/>
      </c>
      <c r="O747" s="21"/>
    </row>
    <row r="748" customFormat="false" ht="15" hidden="false" customHeight="false" outlineLevel="0" collapsed="false">
      <c r="A748" s="20"/>
      <c r="B748" s="21"/>
      <c r="C748" s="21"/>
      <c r="D748" s="21"/>
      <c r="E748" s="21"/>
      <c r="F748" s="22"/>
      <c r="G748" s="20"/>
      <c r="H748" s="23"/>
      <c r="I748" s="24"/>
      <c r="J748" s="14" t="str">
        <f aca="false">IF(C748="","",-E748*H748*IF(OR(B748="Sell call",B748="Buy to close",B748="Expired",B748="Assigned"),100,1)-I748)</f>
        <v/>
      </c>
      <c r="K748" s="21"/>
      <c r="L748" s="21"/>
      <c r="M748" s="21"/>
      <c r="N748" s="8" t="str">
        <f aca="false">IF(A748="","",IF(COUNTIFS(Reconcile!$I:$I,A748,Reconcile!$H:$H,"&gt;="&amp;(J748-0.01),Reconcile!$H:$H,"&lt;="&amp;(J748+0.01))&gt;0,"Yes","Not yet"))</f>
        <v/>
      </c>
      <c r="O748" s="21"/>
    </row>
    <row r="749" customFormat="false" ht="15" hidden="false" customHeight="false" outlineLevel="0" collapsed="false">
      <c r="A749" s="20"/>
      <c r="B749" s="21"/>
      <c r="C749" s="21"/>
      <c r="D749" s="21"/>
      <c r="E749" s="21"/>
      <c r="F749" s="22"/>
      <c r="G749" s="20"/>
      <c r="H749" s="23"/>
      <c r="I749" s="24"/>
      <c r="J749" s="14" t="str">
        <f aca="false">IF(C749="","",-E749*H749*IF(OR(B749="Sell call",B749="Buy to close",B749="Expired",B749="Assigned"),100,1)-I749)</f>
        <v/>
      </c>
      <c r="K749" s="21"/>
      <c r="L749" s="21"/>
      <c r="M749" s="21"/>
      <c r="N749" s="8" t="str">
        <f aca="false">IF(A749="","",IF(COUNTIFS(Reconcile!$I:$I,A749,Reconcile!$H:$H,"&gt;="&amp;(J749-0.01),Reconcile!$H:$H,"&lt;="&amp;(J749+0.01))&gt;0,"Yes","Not yet"))</f>
        <v/>
      </c>
      <c r="O749" s="21"/>
    </row>
    <row r="750" customFormat="false" ht="15" hidden="false" customHeight="false" outlineLevel="0" collapsed="false">
      <c r="A750" s="20"/>
      <c r="B750" s="21"/>
      <c r="C750" s="21"/>
      <c r="D750" s="21"/>
      <c r="E750" s="21"/>
      <c r="F750" s="22"/>
      <c r="G750" s="20"/>
      <c r="H750" s="23"/>
      <c r="I750" s="24"/>
      <c r="J750" s="14" t="str">
        <f aca="false">IF(C750="","",-E750*H750*IF(OR(B750="Sell call",B750="Buy to close",B750="Expired",B750="Assigned"),100,1)-I750)</f>
        <v/>
      </c>
      <c r="K750" s="21"/>
      <c r="L750" s="21"/>
      <c r="M750" s="21"/>
      <c r="N750" s="8" t="str">
        <f aca="false">IF(A750="","",IF(COUNTIFS(Reconcile!$I:$I,A750,Reconcile!$H:$H,"&gt;="&amp;(J750-0.01),Reconcile!$H:$H,"&lt;="&amp;(J750+0.01))&gt;0,"Yes","Not yet"))</f>
        <v/>
      </c>
      <c r="O750" s="21"/>
    </row>
    <row r="751" customFormat="false" ht="15" hidden="false" customHeight="false" outlineLevel="0" collapsed="false">
      <c r="A751" s="20"/>
      <c r="B751" s="21"/>
      <c r="C751" s="21"/>
      <c r="D751" s="21"/>
      <c r="E751" s="21"/>
      <c r="F751" s="22"/>
      <c r="G751" s="20"/>
      <c r="H751" s="23"/>
      <c r="I751" s="24"/>
      <c r="J751" s="14" t="str">
        <f aca="false">IF(C751="","",-E751*H751*IF(OR(B751="Sell call",B751="Buy to close",B751="Expired",B751="Assigned"),100,1)-I751)</f>
        <v/>
      </c>
      <c r="K751" s="21"/>
      <c r="L751" s="21"/>
      <c r="M751" s="21"/>
      <c r="N751" s="8" t="str">
        <f aca="false">IF(A751="","",IF(COUNTIFS(Reconcile!$I:$I,A751,Reconcile!$H:$H,"&gt;="&amp;(J751-0.01),Reconcile!$H:$H,"&lt;="&amp;(J751+0.01))&gt;0,"Yes","Not yet"))</f>
        <v/>
      </c>
      <c r="O751" s="21"/>
    </row>
    <row r="752" customFormat="false" ht="15" hidden="false" customHeight="false" outlineLevel="0" collapsed="false">
      <c r="A752" s="20"/>
      <c r="B752" s="21"/>
      <c r="C752" s="21"/>
      <c r="D752" s="21"/>
      <c r="E752" s="21"/>
      <c r="F752" s="22"/>
      <c r="G752" s="20"/>
      <c r="H752" s="23"/>
      <c r="I752" s="24"/>
      <c r="J752" s="14" t="str">
        <f aca="false">IF(C752="","",-E752*H752*IF(OR(B752="Sell call",B752="Buy to close",B752="Expired",B752="Assigned"),100,1)-I752)</f>
        <v/>
      </c>
      <c r="K752" s="21"/>
      <c r="L752" s="21"/>
      <c r="M752" s="21"/>
      <c r="N752" s="8" t="str">
        <f aca="false">IF(A752="","",IF(COUNTIFS(Reconcile!$I:$I,A752,Reconcile!$H:$H,"&gt;="&amp;(J752-0.01),Reconcile!$H:$H,"&lt;="&amp;(J752+0.01))&gt;0,"Yes","Not yet"))</f>
        <v/>
      </c>
      <c r="O752" s="21"/>
    </row>
    <row r="753" customFormat="false" ht="15" hidden="false" customHeight="false" outlineLevel="0" collapsed="false">
      <c r="A753" s="20"/>
      <c r="B753" s="21"/>
      <c r="C753" s="21"/>
      <c r="D753" s="21"/>
      <c r="E753" s="21"/>
      <c r="F753" s="22"/>
      <c r="G753" s="20"/>
      <c r="H753" s="23"/>
      <c r="I753" s="24"/>
      <c r="J753" s="14" t="str">
        <f aca="false">IF(C753="","",-E753*H753*IF(OR(B753="Sell call",B753="Buy to close",B753="Expired",B753="Assigned"),100,1)-I753)</f>
        <v/>
      </c>
      <c r="K753" s="21"/>
      <c r="L753" s="21"/>
      <c r="M753" s="21"/>
      <c r="N753" s="8" t="str">
        <f aca="false">IF(A753="","",IF(COUNTIFS(Reconcile!$I:$I,A753,Reconcile!$H:$H,"&gt;="&amp;(J753-0.01),Reconcile!$H:$H,"&lt;="&amp;(J753+0.01))&gt;0,"Yes","Not yet"))</f>
        <v/>
      </c>
      <c r="O753" s="21"/>
    </row>
    <row r="754" customFormat="false" ht="15" hidden="false" customHeight="false" outlineLevel="0" collapsed="false">
      <c r="A754" s="20"/>
      <c r="B754" s="21"/>
      <c r="C754" s="21"/>
      <c r="D754" s="21"/>
      <c r="E754" s="21"/>
      <c r="F754" s="22"/>
      <c r="G754" s="20"/>
      <c r="H754" s="23"/>
      <c r="I754" s="24"/>
      <c r="J754" s="14" t="str">
        <f aca="false">IF(C754="","",-E754*H754*IF(OR(B754="Sell call",B754="Buy to close",B754="Expired",B754="Assigned"),100,1)-I754)</f>
        <v/>
      </c>
      <c r="K754" s="21"/>
      <c r="L754" s="21"/>
      <c r="M754" s="21"/>
      <c r="N754" s="8" t="str">
        <f aca="false">IF(A754="","",IF(COUNTIFS(Reconcile!$I:$I,A754,Reconcile!$H:$H,"&gt;="&amp;(J754-0.01),Reconcile!$H:$H,"&lt;="&amp;(J754+0.01))&gt;0,"Yes","Not yet"))</f>
        <v/>
      </c>
      <c r="O754" s="21"/>
    </row>
    <row r="755" customFormat="false" ht="15" hidden="false" customHeight="false" outlineLevel="0" collapsed="false">
      <c r="A755" s="20"/>
      <c r="B755" s="21"/>
      <c r="C755" s="21"/>
      <c r="D755" s="21"/>
      <c r="E755" s="21"/>
      <c r="F755" s="22"/>
      <c r="G755" s="20"/>
      <c r="H755" s="23"/>
      <c r="I755" s="24"/>
      <c r="J755" s="14" t="str">
        <f aca="false">IF(C755="","",-E755*H755*IF(OR(B755="Sell call",B755="Buy to close",B755="Expired",B755="Assigned"),100,1)-I755)</f>
        <v/>
      </c>
      <c r="K755" s="21"/>
      <c r="L755" s="21"/>
      <c r="M755" s="21"/>
      <c r="N755" s="8" t="str">
        <f aca="false">IF(A755="","",IF(COUNTIFS(Reconcile!$I:$I,A755,Reconcile!$H:$H,"&gt;="&amp;(J755-0.01),Reconcile!$H:$H,"&lt;="&amp;(J755+0.01))&gt;0,"Yes","Not yet"))</f>
        <v/>
      </c>
      <c r="O755" s="21"/>
    </row>
    <row r="756" customFormat="false" ht="15" hidden="false" customHeight="false" outlineLevel="0" collapsed="false">
      <c r="A756" s="20"/>
      <c r="B756" s="21"/>
      <c r="C756" s="21"/>
      <c r="D756" s="21"/>
      <c r="E756" s="21"/>
      <c r="F756" s="22"/>
      <c r="G756" s="20"/>
      <c r="H756" s="23"/>
      <c r="I756" s="24"/>
      <c r="J756" s="14" t="str">
        <f aca="false">IF(C756="","",-E756*H756*IF(OR(B756="Sell call",B756="Buy to close",B756="Expired",B756="Assigned"),100,1)-I756)</f>
        <v/>
      </c>
      <c r="K756" s="21"/>
      <c r="L756" s="21"/>
      <c r="M756" s="21"/>
      <c r="N756" s="8" t="str">
        <f aca="false">IF(A756="","",IF(COUNTIFS(Reconcile!$I:$I,A756,Reconcile!$H:$H,"&gt;="&amp;(J756-0.01),Reconcile!$H:$H,"&lt;="&amp;(J756+0.01))&gt;0,"Yes","Not yet"))</f>
        <v/>
      </c>
      <c r="O756" s="21"/>
    </row>
    <row r="757" customFormat="false" ht="15" hidden="false" customHeight="false" outlineLevel="0" collapsed="false">
      <c r="A757" s="20"/>
      <c r="B757" s="21"/>
      <c r="C757" s="21"/>
      <c r="D757" s="21"/>
      <c r="E757" s="21"/>
      <c r="F757" s="22"/>
      <c r="G757" s="20"/>
      <c r="H757" s="23"/>
      <c r="I757" s="24"/>
      <c r="J757" s="14" t="str">
        <f aca="false">IF(C757="","",-E757*H757*IF(OR(B757="Sell call",B757="Buy to close",B757="Expired",B757="Assigned"),100,1)-I757)</f>
        <v/>
      </c>
      <c r="K757" s="21"/>
      <c r="L757" s="21"/>
      <c r="M757" s="21"/>
      <c r="N757" s="8" t="str">
        <f aca="false">IF(A757="","",IF(COUNTIFS(Reconcile!$I:$I,A757,Reconcile!$H:$H,"&gt;="&amp;(J757-0.01),Reconcile!$H:$H,"&lt;="&amp;(J757+0.01))&gt;0,"Yes","Not yet"))</f>
        <v/>
      </c>
      <c r="O757" s="21"/>
    </row>
    <row r="758" customFormat="false" ht="15" hidden="false" customHeight="false" outlineLevel="0" collapsed="false">
      <c r="A758" s="20"/>
      <c r="B758" s="21"/>
      <c r="C758" s="21"/>
      <c r="D758" s="21"/>
      <c r="E758" s="21"/>
      <c r="F758" s="22"/>
      <c r="G758" s="20"/>
      <c r="H758" s="23"/>
      <c r="I758" s="24"/>
      <c r="J758" s="14" t="str">
        <f aca="false">IF(C758="","",-E758*H758*IF(OR(B758="Sell call",B758="Buy to close",B758="Expired",B758="Assigned"),100,1)-I758)</f>
        <v/>
      </c>
      <c r="K758" s="21"/>
      <c r="L758" s="21"/>
      <c r="M758" s="21"/>
      <c r="N758" s="8" t="str">
        <f aca="false">IF(A758="","",IF(COUNTIFS(Reconcile!$I:$I,A758,Reconcile!$H:$H,"&gt;="&amp;(J758-0.01),Reconcile!$H:$H,"&lt;="&amp;(J758+0.01))&gt;0,"Yes","Not yet"))</f>
        <v/>
      </c>
      <c r="O758" s="21"/>
    </row>
    <row r="759" customFormat="false" ht="15" hidden="false" customHeight="false" outlineLevel="0" collapsed="false">
      <c r="A759" s="20"/>
      <c r="B759" s="21"/>
      <c r="C759" s="21"/>
      <c r="D759" s="21"/>
      <c r="E759" s="21"/>
      <c r="F759" s="22"/>
      <c r="G759" s="20"/>
      <c r="H759" s="23"/>
      <c r="I759" s="24"/>
      <c r="J759" s="14" t="str">
        <f aca="false">IF(C759="","",-E759*H759*IF(OR(B759="Sell call",B759="Buy to close",B759="Expired",B759="Assigned"),100,1)-I759)</f>
        <v/>
      </c>
      <c r="K759" s="21"/>
      <c r="L759" s="21"/>
      <c r="M759" s="21"/>
      <c r="N759" s="8" t="str">
        <f aca="false">IF(A759="","",IF(COUNTIFS(Reconcile!$I:$I,A759,Reconcile!$H:$H,"&gt;="&amp;(J759-0.01),Reconcile!$H:$H,"&lt;="&amp;(J759+0.01))&gt;0,"Yes","Not yet"))</f>
        <v/>
      </c>
      <c r="O759" s="21"/>
    </row>
    <row r="760" customFormat="false" ht="15" hidden="false" customHeight="false" outlineLevel="0" collapsed="false">
      <c r="A760" s="20"/>
      <c r="B760" s="21"/>
      <c r="C760" s="21"/>
      <c r="D760" s="21"/>
      <c r="E760" s="21"/>
      <c r="F760" s="22"/>
      <c r="G760" s="20"/>
      <c r="H760" s="23"/>
      <c r="I760" s="24"/>
      <c r="J760" s="14" t="str">
        <f aca="false">IF(C760="","",-E760*H760*IF(OR(B760="Sell call",B760="Buy to close",B760="Expired",B760="Assigned"),100,1)-I760)</f>
        <v/>
      </c>
      <c r="K760" s="21"/>
      <c r="L760" s="21"/>
      <c r="M760" s="21"/>
      <c r="N760" s="8" t="str">
        <f aca="false">IF(A760="","",IF(COUNTIFS(Reconcile!$I:$I,A760,Reconcile!$H:$H,"&gt;="&amp;(J760-0.01),Reconcile!$H:$H,"&lt;="&amp;(J760+0.01))&gt;0,"Yes","Not yet"))</f>
        <v/>
      </c>
      <c r="O760" s="21"/>
    </row>
    <row r="761" customFormat="false" ht="15" hidden="false" customHeight="false" outlineLevel="0" collapsed="false">
      <c r="A761" s="20"/>
      <c r="B761" s="21"/>
      <c r="C761" s="21"/>
      <c r="D761" s="21"/>
      <c r="E761" s="21"/>
      <c r="F761" s="22"/>
      <c r="G761" s="20"/>
      <c r="H761" s="23"/>
      <c r="I761" s="24"/>
      <c r="J761" s="14" t="str">
        <f aca="false">IF(C761="","",-E761*H761*IF(OR(B761="Sell call",B761="Buy to close",B761="Expired",B761="Assigned"),100,1)-I761)</f>
        <v/>
      </c>
      <c r="K761" s="21"/>
      <c r="L761" s="21"/>
      <c r="M761" s="21"/>
      <c r="N761" s="8" t="str">
        <f aca="false">IF(A761="","",IF(COUNTIFS(Reconcile!$I:$I,A761,Reconcile!$H:$H,"&gt;="&amp;(J761-0.01),Reconcile!$H:$H,"&lt;="&amp;(J761+0.01))&gt;0,"Yes","Not yet"))</f>
        <v/>
      </c>
      <c r="O761" s="21"/>
    </row>
    <row r="762" customFormat="false" ht="15" hidden="false" customHeight="false" outlineLevel="0" collapsed="false">
      <c r="A762" s="20"/>
      <c r="B762" s="21"/>
      <c r="C762" s="21"/>
      <c r="D762" s="21"/>
      <c r="E762" s="21"/>
      <c r="F762" s="22"/>
      <c r="G762" s="20"/>
      <c r="H762" s="23"/>
      <c r="I762" s="24"/>
      <c r="J762" s="14" t="str">
        <f aca="false">IF(C762="","",-E762*H762*IF(OR(B762="Sell call",B762="Buy to close",B762="Expired",B762="Assigned"),100,1)-I762)</f>
        <v/>
      </c>
      <c r="K762" s="21"/>
      <c r="L762" s="21"/>
      <c r="M762" s="21"/>
      <c r="N762" s="8" t="str">
        <f aca="false">IF(A762="","",IF(COUNTIFS(Reconcile!$I:$I,A762,Reconcile!$H:$H,"&gt;="&amp;(J762-0.01),Reconcile!$H:$H,"&lt;="&amp;(J762+0.01))&gt;0,"Yes","Not yet"))</f>
        <v/>
      </c>
      <c r="O762" s="21"/>
    </row>
    <row r="763" customFormat="false" ht="15" hidden="false" customHeight="false" outlineLevel="0" collapsed="false">
      <c r="A763" s="20"/>
      <c r="B763" s="21"/>
      <c r="C763" s="21"/>
      <c r="D763" s="21"/>
      <c r="E763" s="21"/>
      <c r="F763" s="22"/>
      <c r="G763" s="20"/>
      <c r="H763" s="23"/>
      <c r="I763" s="24"/>
      <c r="J763" s="14" t="str">
        <f aca="false">IF(C763="","",-E763*H763*IF(OR(B763="Sell call",B763="Buy to close",B763="Expired",B763="Assigned"),100,1)-I763)</f>
        <v/>
      </c>
      <c r="K763" s="21"/>
      <c r="L763" s="21"/>
      <c r="M763" s="21"/>
      <c r="N763" s="8" t="str">
        <f aca="false">IF(A763="","",IF(COUNTIFS(Reconcile!$I:$I,A763,Reconcile!$H:$H,"&gt;="&amp;(J763-0.01),Reconcile!$H:$H,"&lt;="&amp;(J763+0.01))&gt;0,"Yes","Not yet"))</f>
        <v/>
      </c>
      <c r="O763" s="21"/>
    </row>
    <row r="764" customFormat="false" ht="15" hidden="false" customHeight="false" outlineLevel="0" collapsed="false">
      <c r="A764" s="20"/>
      <c r="B764" s="21"/>
      <c r="C764" s="21"/>
      <c r="D764" s="21"/>
      <c r="E764" s="21"/>
      <c r="F764" s="22"/>
      <c r="G764" s="20"/>
      <c r="H764" s="23"/>
      <c r="I764" s="24"/>
      <c r="J764" s="14" t="str">
        <f aca="false">IF(C764="","",-E764*H764*IF(OR(B764="Sell call",B764="Buy to close",B764="Expired",B764="Assigned"),100,1)-I764)</f>
        <v/>
      </c>
      <c r="K764" s="21"/>
      <c r="L764" s="21"/>
      <c r="M764" s="21"/>
      <c r="N764" s="8" t="str">
        <f aca="false">IF(A764="","",IF(COUNTIFS(Reconcile!$I:$I,A764,Reconcile!$H:$H,"&gt;="&amp;(J764-0.01),Reconcile!$H:$H,"&lt;="&amp;(J764+0.01))&gt;0,"Yes","Not yet"))</f>
        <v/>
      </c>
      <c r="O764" s="21"/>
    </row>
    <row r="765" customFormat="false" ht="15" hidden="false" customHeight="false" outlineLevel="0" collapsed="false">
      <c r="A765" s="20"/>
      <c r="B765" s="21"/>
      <c r="C765" s="21"/>
      <c r="D765" s="21"/>
      <c r="E765" s="21"/>
      <c r="F765" s="22"/>
      <c r="G765" s="20"/>
      <c r="H765" s="23"/>
      <c r="I765" s="24"/>
      <c r="J765" s="14" t="str">
        <f aca="false">IF(C765="","",-E765*H765*IF(OR(B765="Sell call",B765="Buy to close",B765="Expired",B765="Assigned"),100,1)-I765)</f>
        <v/>
      </c>
      <c r="K765" s="21"/>
      <c r="L765" s="21"/>
      <c r="M765" s="21"/>
      <c r="N765" s="8" t="str">
        <f aca="false">IF(A765="","",IF(COUNTIFS(Reconcile!$I:$I,A765,Reconcile!$H:$H,"&gt;="&amp;(J765-0.01),Reconcile!$H:$H,"&lt;="&amp;(J765+0.01))&gt;0,"Yes","Not yet"))</f>
        <v/>
      </c>
      <c r="O765" s="21"/>
    </row>
    <row r="766" customFormat="false" ht="15" hidden="false" customHeight="false" outlineLevel="0" collapsed="false">
      <c r="A766" s="20"/>
      <c r="B766" s="21"/>
      <c r="C766" s="21"/>
      <c r="D766" s="21"/>
      <c r="E766" s="21"/>
      <c r="F766" s="22"/>
      <c r="G766" s="20"/>
      <c r="H766" s="23"/>
      <c r="I766" s="24"/>
      <c r="J766" s="14" t="str">
        <f aca="false">IF(C766="","",-E766*H766*IF(OR(B766="Sell call",B766="Buy to close",B766="Expired",B766="Assigned"),100,1)-I766)</f>
        <v/>
      </c>
      <c r="K766" s="21"/>
      <c r="L766" s="21"/>
      <c r="M766" s="21"/>
      <c r="N766" s="8" t="str">
        <f aca="false">IF(A766="","",IF(COUNTIFS(Reconcile!$I:$I,A766,Reconcile!$H:$H,"&gt;="&amp;(J766-0.01),Reconcile!$H:$H,"&lt;="&amp;(J766+0.01))&gt;0,"Yes","Not yet"))</f>
        <v/>
      </c>
      <c r="O766" s="21"/>
    </row>
    <row r="767" customFormat="false" ht="15" hidden="false" customHeight="false" outlineLevel="0" collapsed="false">
      <c r="A767" s="20"/>
      <c r="B767" s="21"/>
      <c r="C767" s="21"/>
      <c r="D767" s="21"/>
      <c r="E767" s="21"/>
      <c r="F767" s="22"/>
      <c r="G767" s="20"/>
      <c r="H767" s="23"/>
      <c r="I767" s="24"/>
      <c r="J767" s="14" t="str">
        <f aca="false">IF(C767="","",-E767*H767*IF(OR(B767="Sell call",B767="Buy to close",B767="Expired",B767="Assigned"),100,1)-I767)</f>
        <v/>
      </c>
      <c r="K767" s="21"/>
      <c r="L767" s="21"/>
      <c r="M767" s="21"/>
      <c r="N767" s="8" t="str">
        <f aca="false">IF(A767="","",IF(COUNTIFS(Reconcile!$I:$I,A767,Reconcile!$H:$H,"&gt;="&amp;(J767-0.01),Reconcile!$H:$H,"&lt;="&amp;(J767+0.01))&gt;0,"Yes","Not yet"))</f>
        <v/>
      </c>
      <c r="O767" s="21"/>
    </row>
    <row r="768" customFormat="false" ht="15" hidden="false" customHeight="false" outlineLevel="0" collapsed="false">
      <c r="A768" s="20"/>
      <c r="B768" s="21"/>
      <c r="C768" s="21"/>
      <c r="D768" s="21"/>
      <c r="E768" s="21"/>
      <c r="F768" s="22"/>
      <c r="G768" s="20"/>
      <c r="H768" s="23"/>
      <c r="I768" s="24"/>
      <c r="J768" s="14" t="str">
        <f aca="false">IF(C768="","",-E768*H768*IF(OR(B768="Sell call",B768="Buy to close",B768="Expired",B768="Assigned"),100,1)-I768)</f>
        <v/>
      </c>
      <c r="K768" s="21"/>
      <c r="L768" s="21"/>
      <c r="M768" s="21"/>
      <c r="N768" s="8" t="str">
        <f aca="false">IF(A768="","",IF(COUNTIFS(Reconcile!$I:$I,A768,Reconcile!$H:$H,"&gt;="&amp;(J768-0.01),Reconcile!$H:$H,"&lt;="&amp;(J768+0.01))&gt;0,"Yes","Not yet"))</f>
        <v/>
      </c>
      <c r="O768" s="21"/>
    </row>
    <row r="769" customFormat="false" ht="15" hidden="false" customHeight="false" outlineLevel="0" collapsed="false">
      <c r="A769" s="20"/>
      <c r="B769" s="21"/>
      <c r="C769" s="21"/>
      <c r="D769" s="21"/>
      <c r="E769" s="21"/>
      <c r="F769" s="22"/>
      <c r="G769" s="20"/>
      <c r="H769" s="23"/>
      <c r="I769" s="24"/>
      <c r="J769" s="14" t="str">
        <f aca="false">IF(C769="","",-E769*H769*IF(OR(B769="Sell call",B769="Buy to close",B769="Expired",B769="Assigned"),100,1)-I769)</f>
        <v/>
      </c>
      <c r="K769" s="21"/>
      <c r="L769" s="21"/>
      <c r="M769" s="21"/>
      <c r="N769" s="8" t="str">
        <f aca="false">IF(A769="","",IF(COUNTIFS(Reconcile!$I:$I,A769,Reconcile!$H:$H,"&gt;="&amp;(J769-0.01),Reconcile!$H:$H,"&lt;="&amp;(J769+0.01))&gt;0,"Yes","Not yet"))</f>
        <v/>
      </c>
      <c r="O769" s="21"/>
    </row>
    <row r="770" customFormat="false" ht="15" hidden="false" customHeight="false" outlineLevel="0" collapsed="false">
      <c r="A770" s="20"/>
      <c r="B770" s="21"/>
      <c r="C770" s="21"/>
      <c r="D770" s="21"/>
      <c r="E770" s="21"/>
      <c r="F770" s="22"/>
      <c r="G770" s="20"/>
      <c r="H770" s="23"/>
      <c r="I770" s="24"/>
      <c r="J770" s="14" t="str">
        <f aca="false">IF(C770="","",-E770*H770*IF(OR(B770="Sell call",B770="Buy to close",B770="Expired",B770="Assigned"),100,1)-I770)</f>
        <v/>
      </c>
      <c r="K770" s="21"/>
      <c r="L770" s="21"/>
      <c r="M770" s="21"/>
      <c r="N770" s="8" t="str">
        <f aca="false">IF(A770="","",IF(COUNTIFS(Reconcile!$I:$I,A770,Reconcile!$H:$H,"&gt;="&amp;(J770-0.01),Reconcile!$H:$H,"&lt;="&amp;(J770+0.01))&gt;0,"Yes","Not yet"))</f>
        <v/>
      </c>
      <c r="O770" s="21"/>
    </row>
    <row r="771" customFormat="false" ht="15" hidden="false" customHeight="false" outlineLevel="0" collapsed="false">
      <c r="A771" s="20"/>
      <c r="B771" s="21"/>
      <c r="C771" s="21"/>
      <c r="D771" s="21"/>
      <c r="E771" s="21"/>
      <c r="F771" s="22"/>
      <c r="G771" s="20"/>
      <c r="H771" s="23"/>
      <c r="I771" s="24"/>
      <c r="J771" s="14" t="str">
        <f aca="false">IF(C771="","",-E771*H771*IF(OR(B771="Sell call",B771="Buy to close",B771="Expired",B771="Assigned"),100,1)-I771)</f>
        <v/>
      </c>
      <c r="K771" s="21"/>
      <c r="L771" s="21"/>
      <c r="M771" s="21"/>
      <c r="N771" s="8" t="str">
        <f aca="false">IF(A771="","",IF(COUNTIFS(Reconcile!$I:$I,A771,Reconcile!$H:$H,"&gt;="&amp;(J771-0.01),Reconcile!$H:$H,"&lt;="&amp;(J771+0.01))&gt;0,"Yes","Not yet"))</f>
        <v/>
      </c>
      <c r="O771" s="21"/>
    </row>
    <row r="772" customFormat="false" ht="15" hidden="false" customHeight="false" outlineLevel="0" collapsed="false">
      <c r="A772" s="20"/>
      <c r="B772" s="21"/>
      <c r="C772" s="21"/>
      <c r="D772" s="21"/>
      <c r="E772" s="21"/>
      <c r="F772" s="22"/>
      <c r="G772" s="20"/>
      <c r="H772" s="23"/>
      <c r="I772" s="24"/>
      <c r="J772" s="14" t="str">
        <f aca="false">IF(C772="","",-E772*H772*IF(OR(B772="Sell call",B772="Buy to close",B772="Expired",B772="Assigned"),100,1)-I772)</f>
        <v/>
      </c>
      <c r="K772" s="21"/>
      <c r="L772" s="21"/>
      <c r="M772" s="21"/>
      <c r="N772" s="8" t="str">
        <f aca="false">IF(A772="","",IF(COUNTIFS(Reconcile!$I:$I,A772,Reconcile!$H:$H,"&gt;="&amp;(J772-0.01),Reconcile!$H:$H,"&lt;="&amp;(J772+0.01))&gt;0,"Yes","Not yet"))</f>
        <v/>
      </c>
      <c r="O772" s="21"/>
    </row>
    <row r="773" customFormat="false" ht="15" hidden="false" customHeight="false" outlineLevel="0" collapsed="false">
      <c r="A773" s="20"/>
      <c r="B773" s="21"/>
      <c r="C773" s="21"/>
      <c r="D773" s="21"/>
      <c r="E773" s="21"/>
      <c r="F773" s="22"/>
      <c r="G773" s="20"/>
      <c r="H773" s="23"/>
      <c r="I773" s="24"/>
      <c r="J773" s="14" t="str">
        <f aca="false">IF(C773="","",-E773*H773*IF(OR(B773="Sell call",B773="Buy to close",B773="Expired",B773="Assigned"),100,1)-I773)</f>
        <v/>
      </c>
      <c r="K773" s="21"/>
      <c r="L773" s="21"/>
      <c r="M773" s="21"/>
      <c r="N773" s="8" t="str">
        <f aca="false">IF(A773="","",IF(COUNTIFS(Reconcile!$I:$I,A773,Reconcile!$H:$H,"&gt;="&amp;(J773-0.01),Reconcile!$H:$H,"&lt;="&amp;(J773+0.01))&gt;0,"Yes","Not yet"))</f>
        <v/>
      </c>
      <c r="O773" s="21"/>
    </row>
    <row r="774" customFormat="false" ht="15" hidden="false" customHeight="false" outlineLevel="0" collapsed="false">
      <c r="A774" s="20"/>
      <c r="B774" s="21"/>
      <c r="C774" s="21"/>
      <c r="D774" s="21"/>
      <c r="E774" s="21"/>
      <c r="F774" s="22"/>
      <c r="G774" s="20"/>
      <c r="H774" s="23"/>
      <c r="I774" s="24"/>
      <c r="J774" s="14" t="str">
        <f aca="false">IF(C774="","",-E774*H774*IF(OR(B774="Sell call",B774="Buy to close",B774="Expired",B774="Assigned"),100,1)-I774)</f>
        <v/>
      </c>
      <c r="K774" s="21"/>
      <c r="L774" s="21"/>
      <c r="M774" s="21"/>
      <c r="N774" s="8" t="str">
        <f aca="false">IF(A774="","",IF(COUNTIFS(Reconcile!$I:$I,A774,Reconcile!$H:$H,"&gt;="&amp;(J774-0.01),Reconcile!$H:$H,"&lt;="&amp;(J774+0.01))&gt;0,"Yes","Not yet"))</f>
        <v/>
      </c>
      <c r="O774" s="21"/>
    </row>
    <row r="775" customFormat="false" ht="15" hidden="false" customHeight="false" outlineLevel="0" collapsed="false">
      <c r="A775" s="20"/>
      <c r="B775" s="21"/>
      <c r="C775" s="21"/>
      <c r="D775" s="21"/>
      <c r="E775" s="21"/>
      <c r="F775" s="22"/>
      <c r="G775" s="20"/>
      <c r="H775" s="23"/>
      <c r="I775" s="24"/>
      <c r="J775" s="14" t="str">
        <f aca="false">IF(C775="","",-E775*H775*IF(OR(B775="Sell call",B775="Buy to close",B775="Expired",B775="Assigned"),100,1)-I775)</f>
        <v/>
      </c>
      <c r="K775" s="21"/>
      <c r="L775" s="21"/>
      <c r="M775" s="21"/>
      <c r="N775" s="8" t="str">
        <f aca="false">IF(A775="","",IF(COUNTIFS(Reconcile!$I:$I,A775,Reconcile!$H:$H,"&gt;="&amp;(J775-0.01),Reconcile!$H:$H,"&lt;="&amp;(J775+0.01))&gt;0,"Yes","Not yet"))</f>
        <v/>
      </c>
      <c r="O775" s="21"/>
    </row>
    <row r="776" customFormat="false" ht="15" hidden="false" customHeight="false" outlineLevel="0" collapsed="false">
      <c r="A776" s="20"/>
      <c r="B776" s="21"/>
      <c r="C776" s="21"/>
      <c r="D776" s="21"/>
      <c r="E776" s="21"/>
      <c r="F776" s="22"/>
      <c r="G776" s="20"/>
      <c r="H776" s="23"/>
      <c r="I776" s="24"/>
      <c r="J776" s="14" t="str">
        <f aca="false">IF(C776="","",-E776*H776*IF(OR(B776="Sell call",B776="Buy to close",B776="Expired",B776="Assigned"),100,1)-I776)</f>
        <v/>
      </c>
      <c r="K776" s="21"/>
      <c r="L776" s="21"/>
      <c r="M776" s="21"/>
      <c r="N776" s="8" t="str">
        <f aca="false">IF(A776="","",IF(COUNTIFS(Reconcile!$I:$I,A776,Reconcile!$H:$H,"&gt;="&amp;(J776-0.01),Reconcile!$H:$H,"&lt;="&amp;(J776+0.01))&gt;0,"Yes","Not yet"))</f>
        <v/>
      </c>
      <c r="O776" s="21"/>
    </row>
    <row r="777" customFormat="false" ht="15" hidden="false" customHeight="false" outlineLevel="0" collapsed="false">
      <c r="A777" s="20"/>
      <c r="B777" s="21"/>
      <c r="C777" s="21"/>
      <c r="D777" s="21"/>
      <c r="E777" s="21"/>
      <c r="F777" s="22"/>
      <c r="G777" s="20"/>
      <c r="H777" s="23"/>
      <c r="I777" s="24"/>
      <c r="J777" s="14" t="str">
        <f aca="false">IF(C777="","",-E777*H777*IF(OR(B777="Sell call",B777="Buy to close",B777="Expired",B777="Assigned"),100,1)-I777)</f>
        <v/>
      </c>
      <c r="K777" s="21"/>
      <c r="L777" s="21"/>
      <c r="M777" s="21"/>
      <c r="N777" s="8" t="str">
        <f aca="false">IF(A777="","",IF(COUNTIFS(Reconcile!$I:$I,A777,Reconcile!$H:$H,"&gt;="&amp;(J777-0.01),Reconcile!$H:$H,"&lt;="&amp;(J777+0.01))&gt;0,"Yes","Not yet"))</f>
        <v/>
      </c>
      <c r="O777" s="21"/>
    </row>
    <row r="778" customFormat="false" ht="15" hidden="false" customHeight="false" outlineLevel="0" collapsed="false">
      <c r="A778" s="20"/>
      <c r="B778" s="21"/>
      <c r="C778" s="21"/>
      <c r="D778" s="21"/>
      <c r="E778" s="21"/>
      <c r="F778" s="22"/>
      <c r="G778" s="20"/>
      <c r="H778" s="23"/>
      <c r="I778" s="24"/>
      <c r="J778" s="14" t="str">
        <f aca="false">IF(C778="","",-E778*H778*IF(OR(B778="Sell call",B778="Buy to close",B778="Expired",B778="Assigned"),100,1)-I778)</f>
        <v/>
      </c>
      <c r="K778" s="21"/>
      <c r="L778" s="21"/>
      <c r="M778" s="21"/>
      <c r="N778" s="8" t="str">
        <f aca="false">IF(A778="","",IF(COUNTIFS(Reconcile!$I:$I,A778,Reconcile!$H:$H,"&gt;="&amp;(J778-0.01),Reconcile!$H:$H,"&lt;="&amp;(J778+0.01))&gt;0,"Yes","Not yet"))</f>
        <v/>
      </c>
      <c r="O778" s="21"/>
    </row>
    <row r="779" customFormat="false" ht="15" hidden="false" customHeight="false" outlineLevel="0" collapsed="false">
      <c r="A779" s="20"/>
      <c r="B779" s="21"/>
      <c r="C779" s="21"/>
      <c r="D779" s="21"/>
      <c r="E779" s="21"/>
      <c r="F779" s="22"/>
      <c r="G779" s="20"/>
      <c r="H779" s="23"/>
      <c r="I779" s="24"/>
      <c r="J779" s="14" t="str">
        <f aca="false">IF(C779="","",-E779*H779*IF(OR(B779="Sell call",B779="Buy to close",B779="Expired",B779="Assigned"),100,1)-I779)</f>
        <v/>
      </c>
      <c r="K779" s="21"/>
      <c r="L779" s="21"/>
      <c r="M779" s="21"/>
      <c r="N779" s="8" t="str">
        <f aca="false">IF(A779="","",IF(COUNTIFS(Reconcile!$I:$I,A779,Reconcile!$H:$H,"&gt;="&amp;(J779-0.01),Reconcile!$H:$H,"&lt;="&amp;(J779+0.01))&gt;0,"Yes","Not yet"))</f>
        <v/>
      </c>
      <c r="O779" s="21"/>
    </row>
    <row r="780" customFormat="false" ht="15" hidden="false" customHeight="false" outlineLevel="0" collapsed="false">
      <c r="A780" s="20"/>
      <c r="B780" s="21"/>
      <c r="C780" s="21"/>
      <c r="D780" s="21"/>
      <c r="E780" s="21"/>
      <c r="F780" s="22"/>
      <c r="G780" s="20"/>
      <c r="H780" s="23"/>
      <c r="I780" s="24"/>
      <c r="J780" s="14" t="str">
        <f aca="false">IF(C780="","",-E780*H780*IF(OR(B780="Sell call",B780="Buy to close",B780="Expired",B780="Assigned"),100,1)-I780)</f>
        <v/>
      </c>
      <c r="K780" s="21"/>
      <c r="L780" s="21"/>
      <c r="M780" s="21"/>
      <c r="N780" s="8" t="str">
        <f aca="false">IF(A780="","",IF(COUNTIFS(Reconcile!$I:$I,A780,Reconcile!$H:$H,"&gt;="&amp;(J780-0.01),Reconcile!$H:$H,"&lt;="&amp;(J780+0.01))&gt;0,"Yes","Not yet"))</f>
        <v/>
      </c>
      <c r="O780" s="21"/>
    </row>
    <row r="781" customFormat="false" ht="15" hidden="false" customHeight="false" outlineLevel="0" collapsed="false">
      <c r="A781" s="20"/>
      <c r="B781" s="21"/>
      <c r="C781" s="21"/>
      <c r="D781" s="21"/>
      <c r="E781" s="21"/>
      <c r="F781" s="22"/>
      <c r="G781" s="20"/>
      <c r="H781" s="23"/>
      <c r="I781" s="24"/>
      <c r="J781" s="14" t="str">
        <f aca="false">IF(C781="","",-E781*H781*IF(OR(B781="Sell call",B781="Buy to close",B781="Expired",B781="Assigned"),100,1)-I781)</f>
        <v/>
      </c>
      <c r="K781" s="21"/>
      <c r="L781" s="21"/>
      <c r="M781" s="21"/>
      <c r="N781" s="8" t="str">
        <f aca="false">IF(A781="","",IF(COUNTIFS(Reconcile!$I:$I,A781,Reconcile!$H:$H,"&gt;="&amp;(J781-0.01),Reconcile!$H:$H,"&lt;="&amp;(J781+0.01))&gt;0,"Yes","Not yet"))</f>
        <v/>
      </c>
      <c r="O781" s="21"/>
    </row>
    <row r="782" customFormat="false" ht="15" hidden="false" customHeight="false" outlineLevel="0" collapsed="false">
      <c r="A782" s="20"/>
      <c r="B782" s="21"/>
      <c r="C782" s="21"/>
      <c r="D782" s="21"/>
      <c r="E782" s="21"/>
      <c r="F782" s="22"/>
      <c r="G782" s="20"/>
      <c r="H782" s="23"/>
      <c r="I782" s="24"/>
      <c r="J782" s="14" t="str">
        <f aca="false">IF(C782="","",-E782*H782*IF(OR(B782="Sell call",B782="Buy to close",B782="Expired",B782="Assigned"),100,1)-I782)</f>
        <v/>
      </c>
      <c r="K782" s="21"/>
      <c r="L782" s="21"/>
      <c r="M782" s="21"/>
      <c r="N782" s="8" t="str">
        <f aca="false">IF(A782="","",IF(COUNTIFS(Reconcile!$I:$I,A782,Reconcile!$H:$H,"&gt;="&amp;(J782-0.01),Reconcile!$H:$H,"&lt;="&amp;(J782+0.01))&gt;0,"Yes","Not yet"))</f>
        <v/>
      </c>
      <c r="O782" s="21"/>
    </row>
    <row r="783" customFormat="false" ht="15" hidden="false" customHeight="false" outlineLevel="0" collapsed="false">
      <c r="A783" s="20"/>
      <c r="B783" s="21"/>
      <c r="C783" s="21"/>
      <c r="D783" s="21"/>
      <c r="E783" s="21"/>
      <c r="F783" s="22"/>
      <c r="G783" s="20"/>
      <c r="H783" s="23"/>
      <c r="I783" s="24"/>
      <c r="J783" s="14" t="str">
        <f aca="false">IF(C783="","",-E783*H783*IF(OR(B783="Sell call",B783="Buy to close",B783="Expired",B783="Assigned"),100,1)-I783)</f>
        <v/>
      </c>
      <c r="K783" s="21"/>
      <c r="L783" s="21"/>
      <c r="M783" s="21"/>
      <c r="N783" s="8" t="str">
        <f aca="false">IF(A783="","",IF(COUNTIFS(Reconcile!$I:$I,A783,Reconcile!$H:$H,"&gt;="&amp;(J783-0.01),Reconcile!$H:$H,"&lt;="&amp;(J783+0.01))&gt;0,"Yes","Not yet"))</f>
        <v/>
      </c>
      <c r="O783" s="21"/>
    </row>
    <row r="784" customFormat="false" ht="15" hidden="false" customHeight="false" outlineLevel="0" collapsed="false">
      <c r="A784" s="20"/>
      <c r="B784" s="21"/>
      <c r="C784" s="21"/>
      <c r="D784" s="21"/>
      <c r="E784" s="21"/>
      <c r="F784" s="22"/>
      <c r="G784" s="20"/>
      <c r="H784" s="23"/>
      <c r="I784" s="24"/>
      <c r="J784" s="14" t="str">
        <f aca="false">IF(C784="","",-E784*H784*IF(OR(B784="Sell call",B784="Buy to close",B784="Expired",B784="Assigned"),100,1)-I784)</f>
        <v/>
      </c>
      <c r="K784" s="21"/>
      <c r="L784" s="21"/>
      <c r="M784" s="21"/>
      <c r="N784" s="8" t="str">
        <f aca="false">IF(A784="","",IF(COUNTIFS(Reconcile!$I:$I,A784,Reconcile!$H:$H,"&gt;="&amp;(J784-0.01),Reconcile!$H:$H,"&lt;="&amp;(J784+0.01))&gt;0,"Yes","Not yet"))</f>
        <v/>
      </c>
      <c r="O784" s="21"/>
    </row>
    <row r="785" customFormat="false" ht="15" hidden="false" customHeight="false" outlineLevel="0" collapsed="false">
      <c r="A785" s="20"/>
      <c r="B785" s="21"/>
      <c r="C785" s="21"/>
      <c r="D785" s="21"/>
      <c r="E785" s="21"/>
      <c r="F785" s="22"/>
      <c r="G785" s="20"/>
      <c r="H785" s="23"/>
      <c r="I785" s="24"/>
      <c r="J785" s="14" t="str">
        <f aca="false">IF(C785="","",-E785*H785*IF(OR(B785="Sell call",B785="Buy to close",B785="Expired",B785="Assigned"),100,1)-I785)</f>
        <v/>
      </c>
      <c r="K785" s="21"/>
      <c r="L785" s="21"/>
      <c r="M785" s="21"/>
      <c r="N785" s="8" t="str">
        <f aca="false">IF(A785="","",IF(COUNTIFS(Reconcile!$I:$I,A785,Reconcile!$H:$H,"&gt;="&amp;(J785-0.01),Reconcile!$H:$H,"&lt;="&amp;(J785+0.01))&gt;0,"Yes","Not yet"))</f>
        <v/>
      </c>
      <c r="O785" s="21"/>
    </row>
    <row r="786" customFormat="false" ht="15" hidden="false" customHeight="false" outlineLevel="0" collapsed="false">
      <c r="A786" s="20"/>
      <c r="B786" s="21"/>
      <c r="C786" s="21"/>
      <c r="D786" s="21"/>
      <c r="E786" s="21"/>
      <c r="F786" s="22"/>
      <c r="G786" s="20"/>
      <c r="H786" s="23"/>
      <c r="I786" s="24"/>
      <c r="J786" s="14" t="str">
        <f aca="false">IF(C786="","",-E786*H786*IF(OR(B786="Sell call",B786="Buy to close",B786="Expired",B786="Assigned"),100,1)-I786)</f>
        <v/>
      </c>
      <c r="K786" s="21"/>
      <c r="L786" s="21"/>
      <c r="M786" s="21"/>
      <c r="N786" s="8" t="str">
        <f aca="false">IF(A786="","",IF(COUNTIFS(Reconcile!$I:$I,A786,Reconcile!$H:$H,"&gt;="&amp;(J786-0.01),Reconcile!$H:$H,"&lt;="&amp;(J786+0.01))&gt;0,"Yes","Not yet"))</f>
        <v/>
      </c>
      <c r="O786" s="21"/>
    </row>
    <row r="787" customFormat="false" ht="15" hidden="false" customHeight="false" outlineLevel="0" collapsed="false">
      <c r="A787" s="20"/>
      <c r="B787" s="21"/>
      <c r="C787" s="21"/>
      <c r="D787" s="21"/>
      <c r="E787" s="21"/>
      <c r="F787" s="22"/>
      <c r="G787" s="20"/>
      <c r="H787" s="23"/>
      <c r="I787" s="24"/>
      <c r="J787" s="14" t="str">
        <f aca="false">IF(C787="","",-E787*H787*IF(OR(B787="Sell call",B787="Buy to close",B787="Expired",B787="Assigned"),100,1)-I787)</f>
        <v/>
      </c>
      <c r="K787" s="21"/>
      <c r="L787" s="21"/>
      <c r="M787" s="21"/>
      <c r="N787" s="8" t="str">
        <f aca="false">IF(A787="","",IF(COUNTIFS(Reconcile!$I:$I,A787,Reconcile!$H:$H,"&gt;="&amp;(J787-0.01),Reconcile!$H:$H,"&lt;="&amp;(J787+0.01))&gt;0,"Yes","Not yet"))</f>
        <v/>
      </c>
      <c r="O787" s="21"/>
    </row>
    <row r="788" customFormat="false" ht="15" hidden="false" customHeight="false" outlineLevel="0" collapsed="false">
      <c r="A788" s="20"/>
      <c r="B788" s="21"/>
      <c r="C788" s="21"/>
      <c r="D788" s="21"/>
      <c r="E788" s="21"/>
      <c r="F788" s="22"/>
      <c r="G788" s="20"/>
      <c r="H788" s="23"/>
      <c r="I788" s="24"/>
      <c r="J788" s="14" t="str">
        <f aca="false">IF(C788="","",-E788*H788*IF(OR(B788="Sell call",B788="Buy to close",B788="Expired",B788="Assigned"),100,1)-I788)</f>
        <v/>
      </c>
      <c r="K788" s="21"/>
      <c r="L788" s="21"/>
      <c r="M788" s="21"/>
      <c r="N788" s="8" t="str">
        <f aca="false">IF(A788="","",IF(COUNTIFS(Reconcile!$I:$I,A788,Reconcile!$H:$H,"&gt;="&amp;(J788-0.01),Reconcile!$H:$H,"&lt;="&amp;(J788+0.01))&gt;0,"Yes","Not yet"))</f>
        <v/>
      </c>
      <c r="O788" s="21"/>
    </row>
    <row r="789" customFormat="false" ht="15" hidden="false" customHeight="false" outlineLevel="0" collapsed="false">
      <c r="A789" s="20"/>
      <c r="B789" s="21"/>
      <c r="C789" s="21"/>
      <c r="D789" s="21"/>
      <c r="E789" s="21"/>
      <c r="F789" s="22"/>
      <c r="G789" s="20"/>
      <c r="H789" s="23"/>
      <c r="I789" s="24"/>
      <c r="J789" s="14" t="str">
        <f aca="false">IF(C789="","",-E789*H789*IF(OR(B789="Sell call",B789="Buy to close",B789="Expired",B789="Assigned"),100,1)-I789)</f>
        <v/>
      </c>
      <c r="K789" s="21"/>
      <c r="L789" s="21"/>
      <c r="M789" s="21"/>
      <c r="N789" s="8" t="str">
        <f aca="false">IF(A789="","",IF(COUNTIFS(Reconcile!$I:$I,A789,Reconcile!$H:$H,"&gt;="&amp;(J789-0.01),Reconcile!$H:$H,"&lt;="&amp;(J789+0.01))&gt;0,"Yes","Not yet"))</f>
        <v/>
      </c>
      <c r="O789" s="21"/>
    </row>
    <row r="790" customFormat="false" ht="15" hidden="false" customHeight="false" outlineLevel="0" collapsed="false">
      <c r="A790" s="20"/>
      <c r="B790" s="21"/>
      <c r="C790" s="21"/>
      <c r="D790" s="21"/>
      <c r="E790" s="21"/>
      <c r="F790" s="22"/>
      <c r="G790" s="20"/>
      <c r="H790" s="23"/>
      <c r="I790" s="24"/>
      <c r="J790" s="14" t="str">
        <f aca="false">IF(C790="","",-E790*H790*IF(OR(B790="Sell call",B790="Buy to close",B790="Expired",B790="Assigned"),100,1)-I790)</f>
        <v/>
      </c>
      <c r="K790" s="21"/>
      <c r="L790" s="21"/>
      <c r="M790" s="21"/>
      <c r="N790" s="8" t="str">
        <f aca="false">IF(A790="","",IF(COUNTIFS(Reconcile!$I:$I,A790,Reconcile!$H:$H,"&gt;="&amp;(J790-0.01),Reconcile!$H:$H,"&lt;="&amp;(J790+0.01))&gt;0,"Yes","Not yet"))</f>
        <v/>
      </c>
      <c r="O790" s="21"/>
    </row>
    <row r="791" customFormat="false" ht="15" hidden="false" customHeight="false" outlineLevel="0" collapsed="false">
      <c r="A791" s="20"/>
      <c r="B791" s="21"/>
      <c r="C791" s="21"/>
      <c r="D791" s="21"/>
      <c r="E791" s="21"/>
      <c r="F791" s="22"/>
      <c r="G791" s="20"/>
      <c r="H791" s="23"/>
      <c r="I791" s="24"/>
      <c r="J791" s="14" t="str">
        <f aca="false">IF(C791="","",-E791*H791*IF(OR(B791="Sell call",B791="Buy to close",B791="Expired",B791="Assigned"),100,1)-I791)</f>
        <v/>
      </c>
      <c r="K791" s="21"/>
      <c r="L791" s="21"/>
      <c r="M791" s="21"/>
      <c r="N791" s="8" t="str">
        <f aca="false">IF(A791="","",IF(COUNTIFS(Reconcile!$I:$I,A791,Reconcile!$H:$H,"&gt;="&amp;(J791-0.01),Reconcile!$H:$H,"&lt;="&amp;(J791+0.01))&gt;0,"Yes","Not yet"))</f>
        <v/>
      </c>
      <c r="O791" s="21"/>
    </row>
    <row r="792" customFormat="false" ht="15" hidden="false" customHeight="false" outlineLevel="0" collapsed="false">
      <c r="A792" s="20"/>
      <c r="B792" s="21"/>
      <c r="C792" s="21"/>
      <c r="D792" s="21"/>
      <c r="E792" s="21"/>
      <c r="F792" s="22"/>
      <c r="G792" s="20"/>
      <c r="H792" s="23"/>
      <c r="I792" s="24"/>
      <c r="J792" s="14" t="str">
        <f aca="false">IF(C792="","",-E792*H792*IF(OR(B792="Sell call",B792="Buy to close",B792="Expired",B792="Assigned"),100,1)-I792)</f>
        <v/>
      </c>
      <c r="K792" s="21"/>
      <c r="L792" s="21"/>
      <c r="M792" s="21"/>
      <c r="N792" s="8" t="str">
        <f aca="false">IF(A792="","",IF(COUNTIFS(Reconcile!$I:$I,A792,Reconcile!$H:$H,"&gt;="&amp;(J792-0.01),Reconcile!$H:$H,"&lt;="&amp;(J792+0.01))&gt;0,"Yes","Not yet"))</f>
        <v/>
      </c>
      <c r="O792" s="21"/>
    </row>
    <row r="793" customFormat="false" ht="15" hidden="false" customHeight="false" outlineLevel="0" collapsed="false">
      <c r="A793" s="20"/>
      <c r="B793" s="21"/>
      <c r="C793" s="21"/>
      <c r="D793" s="21"/>
      <c r="E793" s="21"/>
      <c r="F793" s="22"/>
      <c r="G793" s="20"/>
      <c r="H793" s="23"/>
      <c r="I793" s="24"/>
      <c r="J793" s="14" t="str">
        <f aca="false">IF(C793="","",-E793*H793*IF(OR(B793="Sell call",B793="Buy to close",B793="Expired",B793="Assigned"),100,1)-I793)</f>
        <v/>
      </c>
      <c r="K793" s="21"/>
      <c r="L793" s="21"/>
      <c r="M793" s="21"/>
      <c r="N793" s="8" t="str">
        <f aca="false">IF(A793="","",IF(COUNTIFS(Reconcile!$I:$I,A793,Reconcile!$H:$H,"&gt;="&amp;(J793-0.01),Reconcile!$H:$H,"&lt;="&amp;(J793+0.01))&gt;0,"Yes","Not yet"))</f>
        <v/>
      </c>
      <c r="O793" s="21"/>
    </row>
    <row r="794" customFormat="false" ht="15" hidden="false" customHeight="false" outlineLevel="0" collapsed="false">
      <c r="A794" s="20"/>
      <c r="B794" s="21"/>
      <c r="C794" s="21"/>
      <c r="D794" s="21"/>
      <c r="E794" s="21"/>
      <c r="F794" s="22"/>
      <c r="G794" s="20"/>
      <c r="H794" s="23"/>
      <c r="I794" s="24"/>
      <c r="J794" s="14" t="str">
        <f aca="false">IF(C794="","",-E794*H794*IF(OR(B794="Sell call",B794="Buy to close",B794="Expired",B794="Assigned"),100,1)-I794)</f>
        <v/>
      </c>
      <c r="K794" s="21"/>
      <c r="L794" s="21"/>
      <c r="M794" s="21"/>
      <c r="N794" s="8" t="str">
        <f aca="false">IF(A794="","",IF(COUNTIFS(Reconcile!$I:$I,A794,Reconcile!$H:$H,"&gt;="&amp;(J794-0.01),Reconcile!$H:$H,"&lt;="&amp;(J794+0.01))&gt;0,"Yes","Not yet"))</f>
        <v/>
      </c>
      <c r="O794" s="21"/>
    </row>
    <row r="795" customFormat="false" ht="15" hidden="false" customHeight="false" outlineLevel="0" collapsed="false">
      <c r="A795" s="20"/>
      <c r="B795" s="21"/>
      <c r="C795" s="21"/>
      <c r="D795" s="21"/>
      <c r="E795" s="21"/>
      <c r="F795" s="22"/>
      <c r="G795" s="20"/>
      <c r="H795" s="23"/>
      <c r="I795" s="24"/>
      <c r="J795" s="14" t="str">
        <f aca="false">IF(C795="","",-E795*H795*IF(OR(B795="Sell call",B795="Buy to close",B795="Expired",B795="Assigned"),100,1)-I795)</f>
        <v/>
      </c>
      <c r="K795" s="21"/>
      <c r="L795" s="21"/>
      <c r="M795" s="21"/>
      <c r="N795" s="8" t="str">
        <f aca="false">IF(A795="","",IF(COUNTIFS(Reconcile!$I:$I,A795,Reconcile!$H:$H,"&gt;="&amp;(J795-0.01),Reconcile!$H:$H,"&lt;="&amp;(J795+0.01))&gt;0,"Yes","Not yet"))</f>
        <v/>
      </c>
      <c r="O795" s="21"/>
    </row>
    <row r="796" customFormat="false" ht="15" hidden="false" customHeight="false" outlineLevel="0" collapsed="false">
      <c r="A796" s="20"/>
      <c r="B796" s="21"/>
      <c r="C796" s="21"/>
      <c r="D796" s="21"/>
      <c r="E796" s="21"/>
      <c r="F796" s="22"/>
      <c r="G796" s="20"/>
      <c r="H796" s="23"/>
      <c r="I796" s="24"/>
      <c r="J796" s="14" t="str">
        <f aca="false">IF(C796="","",-E796*H796*IF(OR(B796="Sell call",B796="Buy to close",B796="Expired",B796="Assigned"),100,1)-I796)</f>
        <v/>
      </c>
      <c r="K796" s="21"/>
      <c r="L796" s="21"/>
      <c r="M796" s="21"/>
      <c r="N796" s="8" t="str">
        <f aca="false">IF(A796="","",IF(COUNTIFS(Reconcile!$I:$I,A796,Reconcile!$H:$H,"&gt;="&amp;(J796-0.01),Reconcile!$H:$H,"&lt;="&amp;(J796+0.01))&gt;0,"Yes","Not yet"))</f>
        <v/>
      </c>
      <c r="O796" s="21"/>
    </row>
    <row r="797" customFormat="false" ht="15" hidden="false" customHeight="false" outlineLevel="0" collapsed="false">
      <c r="A797" s="20"/>
      <c r="B797" s="21"/>
      <c r="C797" s="21"/>
      <c r="D797" s="21"/>
      <c r="E797" s="21"/>
      <c r="F797" s="22"/>
      <c r="G797" s="20"/>
      <c r="H797" s="23"/>
      <c r="I797" s="24"/>
      <c r="J797" s="14" t="str">
        <f aca="false">IF(C797="","",-E797*H797*IF(OR(B797="Sell call",B797="Buy to close",B797="Expired",B797="Assigned"),100,1)-I797)</f>
        <v/>
      </c>
      <c r="K797" s="21"/>
      <c r="L797" s="21"/>
      <c r="M797" s="21"/>
      <c r="N797" s="8" t="str">
        <f aca="false">IF(A797="","",IF(COUNTIFS(Reconcile!$I:$I,A797,Reconcile!$H:$H,"&gt;="&amp;(J797-0.01),Reconcile!$H:$H,"&lt;="&amp;(J797+0.01))&gt;0,"Yes","Not yet"))</f>
        <v/>
      </c>
      <c r="O797" s="21"/>
    </row>
    <row r="798" customFormat="false" ht="15" hidden="false" customHeight="false" outlineLevel="0" collapsed="false">
      <c r="A798" s="20"/>
      <c r="B798" s="21"/>
      <c r="C798" s="21"/>
      <c r="D798" s="21"/>
      <c r="E798" s="21"/>
      <c r="F798" s="22"/>
      <c r="G798" s="20"/>
      <c r="H798" s="23"/>
      <c r="I798" s="24"/>
      <c r="J798" s="14" t="str">
        <f aca="false">IF(C798="","",-E798*H798*IF(OR(B798="Sell call",B798="Buy to close",B798="Expired",B798="Assigned"),100,1)-I798)</f>
        <v/>
      </c>
      <c r="K798" s="21"/>
      <c r="L798" s="21"/>
      <c r="M798" s="21"/>
      <c r="N798" s="8" t="str">
        <f aca="false">IF(A798="","",IF(COUNTIFS(Reconcile!$I:$I,A798,Reconcile!$H:$H,"&gt;="&amp;(J798-0.01),Reconcile!$H:$H,"&lt;="&amp;(J798+0.01))&gt;0,"Yes","Not yet"))</f>
        <v/>
      </c>
      <c r="O798" s="21"/>
    </row>
    <row r="799" customFormat="false" ht="15" hidden="false" customHeight="false" outlineLevel="0" collapsed="false">
      <c r="A799" s="20"/>
      <c r="B799" s="21"/>
      <c r="C799" s="21"/>
      <c r="D799" s="21"/>
      <c r="E799" s="21"/>
      <c r="F799" s="22"/>
      <c r="G799" s="20"/>
      <c r="H799" s="23"/>
      <c r="I799" s="24"/>
      <c r="J799" s="14" t="str">
        <f aca="false">IF(C799="","",-E799*H799*IF(OR(B799="Sell call",B799="Buy to close",B799="Expired",B799="Assigned"),100,1)-I799)</f>
        <v/>
      </c>
      <c r="K799" s="21"/>
      <c r="L799" s="21"/>
      <c r="M799" s="21"/>
      <c r="N799" s="8" t="str">
        <f aca="false">IF(A799="","",IF(COUNTIFS(Reconcile!$I:$I,A799,Reconcile!$H:$H,"&gt;="&amp;(J799-0.01),Reconcile!$H:$H,"&lt;="&amp;(J799+0.01))&gt;0,"Yes","Not yet"))</f>
        <v/>
      </c>
      <c r="O799" s="21"/>
    </row>
    <row r="800" customFormat="false" ht="15" hidden="false" customHeight="false" outlineLevel="0" collapsed="false">
      <c r="A800" s="20"/>
      <c r="B800" s="21"/>
      <c r="C800" s="21"/>
      <c r="D800" s="21"/>
      <c r="E800" s="21"/>
      <c r="F800" s="22"/>
      <c r="G800" s="20"/>
      <c r="H800" s="23"/>
      <c r="I800" s="24"/>
      <c r="J800" s="14" t="str">
        <f aca="false">IF(C800="","",-E800*H800*IF(OR(B800="Sell call",B800="Buy to close",B800="Expired",B800="Assigned"),100,1)-I800)</f>
        <v/>
      </c>
      <c r="K800" s="21"/>
      <c r="L800" s="21"/>
      <c r="M800" s="21"/>
      <c r="N800" s="8" t="str">
        <f aca="false">IF(A800="","",IF(COUNTIFS(Reconcile!$I:$I,A800,Reconcile!$H:$H,"&gt;="&amp;(J800-0.01),Reconcile!$H:$H,"&lt;="&amp;(J800+0.01))&gt;0,"Yes","Not yet"))</f>
        <v/>
      </c>
      <c r="O800" s="21"/>
    </row>
    <row r="801" customFormat="false" ht="15" hidden="false" customHeight="false" outlineLevel="0" collapsed="false">
      <c r="A801" s="20"/>
      <c r="B801" s="21"/>
      <c r="C801" s="21"/>
      <c r="D801" s="21"/>
      <c r="E801" s="21"/>
      <c r="F801" s="22"/>
      <c r="G801" s="20"/>
      <c r="H801" s="23"/>
      <c r="I801" s="24"/>
      <c r="J801" s="14" t="str">
        <f aca="false">IF(C801="","",-E801*H801*IF(OR(B801="Sell call",B801="Buy to close",B801="Expired",B801="Assigned"),100,1)-I801)</f>
        <v/>
      </c>
      <c r="K801" s="21"/>
      <c r="L801" s="21"/>
      <c r="M801" s="21"/>
      <c r="N801" s="8" t="str">
        <f aca="false">IF(A801="","",IF(COUNTIFS(Reconcile!$I:$I,A801,Reconcile!$H:$H,"&gt;="&amp;(J801-0.01),Reconcile!$H:$H,"&lt;="&amp;(J801+0.01))&gt;0,"Yes","Not yet"))</f>
        <v/>
      </c>
      <c r="O801" s="21"/>
    </row>
    <row r="802" customFormat="false" ht="15" hidden="false" customHeight="false" outlineLevel="0" collapsed="false">
      <c r="A802" s="20"/>
      <c r="B802" s="21"/>
      <c r="C802" s="21"/>
      <c r="D802" s="21"/>
      <c r="E802" s="21"/>
      <c r="F802" s="22"/>
      <c r="G802" s="20"/>
      <c r="H802" s="23"/>
      <c r="I802" s="24"/>
      <c r="J802" s="14" t="str">
        <f aca="false">IF(C802="","",-E802*H802*IF(OR(B802="Sell call",B802="Buy to close",B802="Expired",B802="Assigned"),100,1)-I802)</f>
        <v/>
      </c>
      <c r="K802" s="21"/>
      <c r="L802" s="21"/>
      <c r="M802" s="21"/>
      <c r="N802" s="8" t="str">
        <f aca="false">IF(A802="","",IF(COUNTIFS(Reconcile!$I:$I,A802,Reconcile!$H:$H,"&gt;="&amp;(J802-0.01),Reconcile!$H:$H,"&lt;="&amp;(J802+0.01))&gt;0,"Yes","Not yet"))</f>
        <v/>
      </c>
      <c r="O802" s="21"/>
    </row>
    <row r="803" customFormat="false" ht="15" hidden="false" customHeight="false" outlineLevel="0" collapsed="false">
      <c r="A803" s="20"/>
      <c r="B803" s="21"/>
      <c r="C803" s="21"/>
      <c r="D803" s="21"/>
      <c r="E803" s="21"/>
      <c r="F803" s="22"/>
      <c r="G803" s="20"/>
      <c r="H803" s="23"/>
      <c r="I803" s="24"/>
      <c r="J803" s="14" t="str">
        <f aca="false">IF(C803="","",-E803*H803*IF(OR(B803="Sell call",B803="Buy to close",B803="Expired",B803="Assigned"),100,1)-I803)</f>
        <v/>
      </c>
      <c r="K803" s="21"/>
      <c r="L803" s="21"/>
      <c r="M803" s="21"/>
      <c r="N803" s="8" t="str">
        <f aca="false">IF(A803="","",IF(COUNTIFS(Reconcile!$I:$I,A803,Reconcile!$H:$H,"&gt;="&amp;(J803-0.01),Reconcile!$H:$H,"&lt;="&amp;(J803+0.01))&gt;0,"Yes","Not yet"))</f>
        <v/>
      </c>
      <c r="O803" s="21"/>
    </row>
    <row r="804" customFormat="false" ht="15" hidden="false" customHeight="false" outlineLevel="0" collapsed="false">
      <c r="A804" s="20"/>
      <c r="B804" s="21"/>
      <c r="C804" s="21"/>
      <c r="D804" s="21"/>
      <c r="E804" s="21"/>
      <c r="F804" s="22"/>
      <c r="G804" s="20"/>
      <c r="H804" s="23"/>
      <c r="I804" s="24"/>
      <c r="J804" s="14" t="str">
        <f aca="false">IF(C804="","",-E804*H804*IF(OR(B804="Sell call",B804="Buy to close",B804="Expired",B804="Assigned"),100,1)-I804)</f>
        <v/>
      </c>
      <c r="K804" s="21"/>
      <c r="L804" s="21"/>
      <c r="M804" s="21"/>
      <c r="N804" s="8" t="str">
        <f aca="false">IF(A804="","",IF(COUNTIFS(Reconcile!$I:$I,A804,Reconcile!$H:$H,"&gt;="&amp;(J804-0.01),Reconcile!$H:$H,"&lt;="&amp;(J804+0.01))&gt;0,"Yes","Not yet"))</f>
        <v/>
      </c>
      <c r="O804" s="21"/>
    </row>
    <row r="805" customFormat="false" ht="15" hidden="false" customHeight="false" outlineLevel="0" collapsed="false">
      <c r="A805" s="20"/>
      <c r="B805" s="21"/>
      <c r="C805" s="21"/>
      <c r="D805" s="21"/>
      <c r="E805" s="21"/>
      <c r="F805" s="22"/>
      <c r="G805" s="20"/>
      <c r="H805" s="23"/>
      <c r="I805" s="24"/>
      <c r="J805" s="14" t="str">
        <f aca="false">IF(C805="","",-E805*H805*IF(OR(B805="Sell call",B805="Buy to close",B805="Expired",B805="Assigned"),100,1)-I805)</f>
        <v/>
      </c>
      <c r="K805" s="21"/>
      <c r="L805" s="21"/>
      <c r="M805" s="21"/>
      <c r="N805" s="8" t="str">
        <f aca="false">IF(A805="","",IF(COUNTIFS(Reconcile!$I:$I,A805,Reconcile!$H:$H,"&gt;="&amp;(J805-0.01),Reconcile!$H:$H,"&lt;="&amp;(J805+0.01))&gt;0,"Yes","Not yet"))</f>
        <v/>
      </c>
      <c r="O805" s="21"/>
    </row>
    <row r="806" customFormat="false" ht="15" hidden="false" customHeight="false" outlineLevel="0" collapsed="false">
      <c r="A806" s="20"/>
      <c r="B806" s="21"/>
      <c r="C806" s="21"/>
      <c r="D806" s="21"/>
      <c r="E806" s="21"/>
      <c r="F806" s="22"/>
      <c r="G806" s="20"/>
      <c r="H806" s="23"/>
      <c r="I806" s="24"/>
      <c r="J806" s="14" t="str">
        <f aca="false">IF(C806="","",-E806*H806*IF(OR(B806="Sell call",B806="Buy to close",B806="Expired",B806="Assigned"),100,1)-I806)</f>
        <v/>
      </c>
      <c r="K806" s="21"/>
      <c r="L806" s="21"/>
      <c r="M806" s="21"/>
      <c r="N806" s="8" t="str">
        <f aca="false">IF(A806="","",IF(COUNTIFS(Reconcile!$I:$I,A806,Reconcile!$H:$H,"&gt;="&amp;(J806-0.01),Reconcile!$H:$H,"&lt;="&amp;(J806+0.01))&gt;0,"Yes","Not yet"))</f>
        <v/>
      </c>
      <c r="O806" s="21"/>
    </row>
    <row r="807" customFormat="false" ht="15" hidden="false" customHeight="false" outlineLevel="0" collapsed="false">
      <c r="A807" s="20"/>
      <c r="B807" s="21"/>
      <c r="C807" s="21"/>
      <c r="D807" s="21"/>
      <c r="E807" s="21"/>
      <c r="F807" s="22"/>
      <c r="G807" s="20"/>
      <c r="H807" s="23"/>
      <c r="I807" s="24"/>
      <c r="J807" s="14" t="str">
        <f aca="false">IF(C807="","",-E807*H807*IF(OR(B807="Sell call",B807="Buy to close",B807="Expired",B807="Assigned"),100,1)-I807)</f>
        <v/>
      </c>
      <c r="K807" s="21"/>
      <c r="L807" s="21"/>
      <c r="M807" s="21"/>
      <c r="N807" s="8" t="str">
        <f aca="false">IF(A807="","",IF(COUNTIFS(Reconcile!$I:$I,A807,Reconcile!$H:$H,"&gt;="&amp;(J807-0.01),Reconcile!$H:$H,"&lt;="&amp;(J807+0.01))&gt;0,"Yes","Not yet"))</f>
        <v/>
      </c>
      <c r="O807" s="21"/>
    </row>
    <row r="808" customFormat="false" ht="15" hidden="false" customHeight="false" outlineLevel="0" collapsed="false">
      <c r="A808" s="20"/>
      <c r="B808" s="21"/>
      <c r="C808" s="21"/>
      <c r="D808" s="21"/>
      <c r="E808" s="21"/>
      <c r="F808" s="22"/>
      <c r="G808" s="20"/>
      <c r="H808" s="23"/>
      <c r="I808" s="24"/>
      <c r="J808" s="14" t="str">
        <f aca="false">IF(C808="","",-E808*H808*IF(OR(B808="Sell call",B808="Buy to close",B808="Expired",B808="Assigned"),100,1)-I808)</f>
        <v/>
      </c>
      <c r="K808" s="21"/>
      <c r="L808" s="21"/>
      <c r="M808" s="21"/>
      <c r="N808" s="8" t="str">
        <f aca="false">IF(A808="","",IF(COUNTIFS(Reconcile!$I:$I,A808,Reconcile!$H:$H,"&gt;="&amp;(J808-0.01),Reconcile!$H:$H,"&lt;="&amp;(J808+0.01))&gt;0,"Yes","Not yet"))</f>
        <v/>
      </c>
      <c r="O808" s="21"/>
    </row>
    <row r="809" customFormat="false" ht="15" hidden="false" customHeight="false" outlineLevel="0" collapsed="false">
      <c r="A809" s="20"/>
      <c r="B809" s="21"/>
      <c r="C809" s="21"/>
      <c r="D809" s="21"/>
      <c r="E809" s="21"/>
      <c r="F809" s="22"/>
      <c r="G809" s="20"/>
      <c r="H809" s="23"/>
      <c r="I809" s="24"/>
      <c r="J809" s="14" t="str">
        <f aca="false">IF(C809="","",-E809*H809*IF(OR(B809="Sell call",B809="Buy to close",B809="Expired",B809="Assigned"),100,1)-I809)</f>
        <v/>
      </c>
      <c r="K809" s="21"/>
      <c r="L809" s="21"/>
      <c r="M809" s="21"/>
      <c r="N809" s="8" t="str">
        <f aca="false">IF(A809="","",IF(COUNTIFS(Reconcile!$I:$I,A809,Reconcile!$H:$H,"&gt;="&amp;(J809-0.01),Reconcile!$H:$H,"&lt;="&amp;(J809+0.01))&gt;0,"Yes","Not yet"))</f>
        <v/>
      </c>
      <c r="O809" s="21"/>
    </row>
    <row r="810" customFormat="false" ht="15" hidden="false" customHeight="false" outlineLevel="0" collapsed="false">
      <c r="A810" s="20"/>
      <c r="B810" s="21"/>
      <c r="C810" s="21"/>
      <c r="D810" s="21"/>
      <c r="E810" s="21"/>
      <c r="F810" s="22"/>
      <c r="G810" s="20"/>
      <c r="H810" s="23"/>
      <c r="I810" s="24"/>
      <c r="J810" s="14" t="str">
        <f aca="false">IF(C810="","",-E810*H810*IF(OR(B810="Sell call",B810="Buy to close",B810="Expired",B810="Assigned"),100,1)-I810)</f>
        <v/>
      </c>
      <c r="K810" s="21"/>
      <c r="L810" s="21"/>
      <c r="M810" s="21"/>
      <c r="N810" s="8" t="str">
        <f aca="false">IF(A810="","",IF(COUNTIFS(Reconcile!$I:$I,A810,Reconcile!$H:$H,"&gt;="&amp;(J810-0.01),Reconcile!$H:$H,"&lt;="&amp;(J810+0.01))&gt;0,"Yes","Not yet"))</f>
        <v/>
      </c>
      <c r="O810" s="21"/>
    </row>
    <row r="811" customFormat="false" ht="15" hidden="false" customHeight="false" outlineLevel="0" collapsed="false">
      <c r="A811" s="20"/>
      <c r="B811" s="21"/>
      <c r="C811" s="21"/>
      <c r="D811" s="21"/>
      <c r="E811" s="21"/>
      <c r="F811" s="22"/>
      <c r="G811" s="20"/>
      <c r="H811" s="23"/>
      <c r="I811" s="24"/>
      <c r="J811" s="14" t="str">
        <f aca="false">IF(C811="","",-E811*H811*IF(OR(B811="Sell call",B811="Buy to close",B811="Expired",B811="Assigned"),100,1)-I811)</f>
        <v/>
      </c>
      <c r="K811" s="21"/>
      <c r="L811" s="21"/>
      <c r="M811" s="21"/>
      <c r="N811" s="8" t="str">
        <f aca="false">IF(A811="","",IF(COUNTIFS(Reconcile!$I:$I,A811,Reconcile!$H:$H,"&gt;="&amp;(J811-0.01),Reconcile!$H:$H,"&lt;="&amp;(J811+0.01))&gt;0,"Yes","Not yet"))</f>
        <v/>
      </c>
      <c r="O811" s="21"/>
    </row>
    <row r="812" customFormat="false" ht="15" hidden="false" customHeight="false" outlineLevel="0" collapsed="false">
      <c r="A812" s="20"/>
      <c r="B812" s="21"/>
      <c r="C812" s="21"/>
      <c r="D812" s="21"/>
      <c r="E812" s="21"/>
      <c r="F812" s="22"/>
      <c r="G812" s="20"/>
      <c r="H812" s="23"/>
      <c r="I812" s="24"/>
      <c r="J812" s="14" t="str">
        <f aca="false">IF(C812="","",-E812*H812*IF(OR(B812="Sell call",B812="Buy to close",B812="Expired",B812="Assigned"),100,1)-I812)</f>
        <v/>
      </c>
      <c r="K812" s="21"/>
      <c r="L812" s="21"/>
      <c r="M812" s="21"/>
      <c r="N812" s="8" t="str">
        <f aca="false">IF(A812="","",IF(COUNTIFS(Reconcile!$I:$I,A812,Reconcile!$H:$H,"&gt;="&amp;(J812-0.01),Reconcile!$H:$H,"&lt;="&amp;(J812+0.01))&gt;0,"Yes","Not yet"))</f>
        <v/>
      </c>
      <c r="O812" s="21"/>
    </row>
    <row r="813" customFormat="false" ht="15" hidden="false" customHeight="false" outlineLevel="0" collapsed="false">
      <c r="A813" s="20"/>
      <c r="B813" s="21"/>
      <c r="C813" s="21"/>
      <c r="D813" s="21"/>
      <c r="E813" s="21"/>
      <c r="F813" s="22"/>
      <c r="G813" s="20"/>
      <c r="H813" s="23"/>
      <c r="I813" s="24"/>
      <c r="J813" s="14" t="str">
        <f aca="false">IF(C813="","",-E813*H813*IF(OR(B813="Sell call",B813="Buy to close",B813="Expired",B813="Assigned"),100,1)-I813)</f>
        <v/>
      </c>
      <c r="K813" s="21"/>
      <c r="L813" s="21"/>
      <c r="M813" s="21"/>
      <c r="N813" s="8" t="str">
        <f aca="false">IF(A813="","",IF(COUNTIFS(Reconcile!$I:$I,A813,Reconcile!$H:$H,"&gt;="&amp;(J813-0.01),Reconcile!$H:$H,"&lt;="&amp;(J813+0.01))&gt;0,"Yes","Not yet"))</f>
        <v/>
      </c>
      <c r="O813" s="21"/>
    </row>
    <row r="814" customFormat="false" ht="15" hidden="false" customHeight="false" outlineLevel="0" collapsed="false">
      <c r="A814" s="20"/>
      <c r="B814" s="21"/>
      <c r="C814" s="21"/>
      <c r="D814" s="21"/>
      <c r="E814" s="21"/>
      <c r="F814" s="22"/>
      <c r="G814" s="20"/>
      <c r="H814" s="23"/>
      <c r="I814" s="24"/>
      <c r="J814" s="14" t="str">
        <f aca="false">IF(C814="","",-E814*H814*IF(OR(B814="Sell call",B814="Buy to close",B814="Expired",B814="Assigned"),100,1)-I814)</f>
        <v/>
      </c>
      <c r="K814" s="21"/>
      <c r="L814" s="21"/>
      <c r="M814" s="21"/>
      <c r="N814" s="8" t="str">
        <f aca="false">IF(A814="","",IF(COUNTIFS(Reconcile!$I:$I,A814,Reconcile!$H:$H,"&gt;="&amp;(J814-0.01),Reconcile!$H:$H,"&lt;="&amp;(J814+0.01))&gt;0,"Yes","Not yet"))</f>
        <v/>
      </c>
      <c r="O814" s="21"/>
    </row>
    <row r="815" customFormat="false" ht="15" hidden="false" customHeight="false" outlineLevel="0" collapsed="false">
      <c r="A815" s="20"/>
      <c r="B815" s="21"/>
      <c r="C815" s="21"/>
      <c r="D815" s="21"/>
      <c r="E815" s="21"/>
      <c r="F815" s="22"/>
      <c r="G815" s="20"/>
      <c r="H815" s="23"/>
      <c r="I815" s="24"/>
      <c r="J815" s="14" t="str">
        <f aca="false">IF(C815="","",-E815*H815*IF(OR(B815="Sell call",B815="Buy to close",B815="Expired",B815="Assigned"),100,1)-I815)</f>
        <v/>
      </c>
      <c r="K815" s="21"/>
      <c r="L815" s="21"/>
      <c r="M815" s="21"/>
      <c r="N815" s="8" t="str">
        <f aca="false">IF(A815="","",IF(COUNTIFS(Reconcile!$I:$I,A815,Reconcile!$H:$H,"&gt;="&amp;(J815-0.01),Reconcile!$H:$H,"&lt;="&amp;(J815+0.01))&gt;0,"Yes","Not yet"))</f>
        <v/>
      </c>
      <c r="O815" s="21"/>
    </row>
    <row r="816" customFormat="false" ht="15" hidden="false" customHeight="false" outlineLevel="0" collapsed="false">
      <c r="A816" s="20"/>
      <c r="B816" s="21"/>
      <c r="C816" s="21"/>
      <c r="D816" s="21"/>
      <c r="E816" s="21"/>
      <c r="F816" s="22"/>
      <c r="G816" s="20"/>
      <c r="H816" s="23"/>
      <c r="I816" s="24"/>
      <c r="J816" s="14" t="str">
        <f aca="false">IF(C816="","",-E816*H816*IF(OR(B816="Sell call",B816="Buy to close",B816="Expired",B816="Assigned"),100,1)-I816)</f>
        <v/>
      </c>
      <c r="K816" s="21"/>
      <c r="L816" s="21"/>
      <c r="M816" s="21"/>
      <c r="N816" s="8" t="str">
        <f aca="false">IF(A816="","",IF(COUNTIFS(Reconcile!$I:$I,A816,Reconcile!$H:$H,"&gt;="&amp;(J816-0.01),Reconcile!$H:$H,"&lt;="&amp;(J816+0.01))&gt;0,"Yes","Not yet"))</f>
        <v/>
      </c>
      <c r="O816" s="21"/>
    </row>
    <row r="817" customFormat="false" ht="15" hidden="false" customHeight="false" outlineLevel="0" collapsed="false">
      <c r="A817" s="20"/>
      <c r="B817" s="21"/>
      <c r="C817" s="21"/>
      <c r="D817" s="21"/>
      <c r="E817" s="21"/>
      <c r="F817" s="22"/>
      <c r="G817" s="20"/>
      <c r="H817" s="23"/>
      <c r="I817" s="24"/>
      <c r="J817" s="14" t="str">
        <f aca="false">IF(C817="","",-E817*H817*IF(OR(B817="Sell call",B817="Buy to close",B817="Expired",B817="Assigned"),100,1)-I817)</f>
        <v/>
      </c>
      <c r="K817" s="21"/>
      <c r="L817" s="21"/>
      <c r="M817" s="21"/>
      <c r="N817" s="8" t="str">
        <f aca="false">IF(A817="","",IF(COUNTIFS(Reconcile!$I:$I,A817,Reconcile!$H:$H,"&gt;="&amp;(J817-0.01),Reconcile!$H:$H,"&lt;="&amp;(J817+0.01))&gt;0,"Yes","Not yet"))</f>
        <v/>
      </c>
      <c r="O817" s="21"/>
    </row>
    <row r="818" customFormat="false" ht="15" hidden="false" customHeight="false" outlineLevel="0" collapsed="false">
      <c r="A818" s="20"/>
      <c r="B818" s="21"/>
      <c r="C818" s="21"/>
      <c r="D818" s="21"/>
      <c r="E818" s="21"/>
      <c r="F818" s="22"/>
      <c r="G818" s="20"/>
      <c r="H818" s="23"/>
      <c r="I818" s="24"/>
      <c r="J818" s="14" t="str">
        <f aca="false">IF(C818="","",-E818*H818*IF(OR(B818="Sell call",B818="Buy to close",B818="Expired",B818="Assigned"),100,1)-I818)</f>
        <v/>
      </c>
      <c r="K818" s="21"/>
      <c r="L818" s="21"/>
      <c r="M818" s="21"/>
      <c r="N818" s="8" t="str">
        <f aca="false">IF(A818="","",IF(COUNTIFS(Reconcile!$I:$I,A818,Reconcile!$H:$H,"&gt;="&amp;(J818-0.01),Reconcile!$H:$H,"&lt;="&amp;(J818+0.01))&gt;0,"Yes","Not yet"))</f>
        <v/>
      </c>
      <c r="O818" s="21"/>
    </row>
    <row r="819" customFormat="false" ht="15" hidden="false" customHeight="false" outlineLevel="0" collapsed="false">
      <c r="A819" s="20"/>
      <c r="B819" s="21"/>
      <c r="C819" s="21"/>
      <c r="D819" s="21"/>
      <c r="E819" s="21"/>
      <c r="F819" s="22"/>
      <c r="G819" s="20"/>
      <c r="H819" s="23"/>
      <c r="I819" s="24"/>
      <c r="J819" s="14" t="str">
        <f aca="false">IF(C819="","",-E819*H819*IF(OR(B819="Sell call",B819="Buy to close",B819="Expired",B819="Assigned"),100,1)-I819)</f>
        <v/>
      </c>
      <c r="K819" s="21"/>
      <c r="L819" s="21"/>
      <c r="M819" s="21"/>
      <c r="N819" s="8" t="str">
        <f aca="false">IF(A819="","",IF(COUNTIFS(Reconcile!$I:$I,A819,Reconcile!$H:$H,"&gt;="&amp;(J819-0.01),Reconcile!$H:$H,"&lt;="&amp;(J819+0.01))&gt;0,"Yes","Not yet"))</f>
        <v/>
      </c>
      <c r="O819" s="21"/>
    </row>
    <row r="820" customFormat="false" ht="15" hidden="false" customHeight="false" outlineLevel="0" collapsed="false">
      <c r="A820" s="20"/>
      <c r="B820" s="21"/>
      <c r="C820" s="21"/>
      <c r="D820" s="21"/>
      <c r="E820" s="21"/>
      <c r="F820" s="22"/>
      <c r="G820" s="20"/>
      <c r="H820" s="23"/>
      <c r="I820" s="24"/>
      <c r="J820" s="14" t="str">
        <f aca="false">IF(C820="","",-E820*H820*IF(OR(B820="Sell call",B820="Buy to close",B820="Expired",B820="Assigned"),100,1)-I820)</f>
        <v/>
      </c>
      <c r="K820" s="21"/>
      <c r="L820" s="21"/>
      <c r="M820" s="21"/>
      <c r="N820" s="8" t="str">
        <f aca="false">IF(A820="","",IF(COUNTIFS(Reconcile!$I:$I,A820,Reconcile!$H:$H,"&gt;="&amp;(J820-0.01),Reconcile!$H:$H,"&lt;="&amp;(J820+0.01))&gt;0,"Yes","Not yet"))</f>
        <v/>
      </c>
      <c r="O820" s="21"/>
    </row>
    <row r="821" customFormat="false" ht="15" hidden="false" customHeight="false" outlineLevel="0" collapsed="false">
      <c r="A821" s="20"/>
      <c r="B821" s="21"/>
      <c r="C821" s="21"/>
      <c r="D821" s="21"/>
      <c r="E821" s="21"/>
      <c r="F821" s="22"/>
      <c r="G821" s="20"/>
      <c r="H821" s="23"/>
      <c r="I821" s="24"/>
      <c r="J821" s="14" t="str">
        <f aca="false">IF(C821="","",-E821*H821*IF(OR(B821="Sell call",B821="Buy to close",B821="Expired",B821="Assigned"),100,1)-I821)</f>
        <v/>
      </c>
      <c r="K821" s="21"/>
      <c r="L821" s="21"/>
      <c r="M821" s="21"/>
      <c r="N821" s="8" t="str">
        <f aca="false">IF(A821="","",IF(COUNTIFS(Reconcile!$I:$I,A821,Reconcile!$H:$H,"&gt;="&amp;(J821-0.01),Reconcile!$H:$H,"&lt;="&amp;(J821+0.01))&gt;0,"Yes","Not yet"))</f>
        <v/>
      </c>
      <c r="O821" s="21"/>
    </row>
    <row r="822" customFormat="false" ht="15" hidden="false" customHeight="false" outlineLevel="0" collapsed="false">
      <c r="A822" s="20"/>
      <c r="B822" s="21"/>
      <c r="C822" s="21"/>
      <c r="D822" s="21"/>
      <c r="E822" s="21"/>
      <c r="F822" s="22"/>
      <c r="G822" s="20"/>
      <c r="H822" s="23"/>
      <c r="I822" s="24"/>
      <c r="J822" s="14" t="str">
        <f aca="false">IF(C822="","",-E822*H822*IF(OR(B822="Sell call",B822="Buy to close",B822="Expired",B822="Assigned"),100,1)-I822)</f>
        <v/>
      </c>
      <c r="K822" s="21"/>
      <c r="L822" s="21"/>
      <c r="M822" s="21"/>
      <c r="N822" s="8" t="str">
        <f aca="false">IF(A822="","",IF(COUNTIFS(Reconcile!$I:$I,A822,Reconcile!$H:$H,"&gt;="&amp;(J822-0.01),Reconcile!$H:$H,"&lt;="&amp;(J822+0.01))&gt;0,"Yes","Not yet"))</f>
        <v/>
      </c>
      <c r="O822" s="21"/>
    </row>
    <row r="823" customFormat="false" ht="15" hidden="false" customHeight="false" outlineLevel="0" collapsed="false">
      <c r="A823" s="20"/>
      <c r="B823" s="21"/>
      <c r="C823" s="21"/>
      <c r="D823" s="21"/>
      <c r="E823" s="21"/>
      <c r="F823" s="22"/>
      <c r="G823" s="20"/>
      <c r="H823" s="23"/>
      <c r="I823" s="24"/>
      <c r="J823" s="14" t="str">
        <f aca="false">IF(C823="","",-E823*H823*IF(OR(B823="Sell call",B823="Buy to close",B823="Expired",B823="Assigned"),100,1)-I823)</f>
        <v/>
      </c>
      <c r="K823" s="21"/>
      <c r="L823" s="21"/>
      <c r="M823" s="21"/>
      <c r="N823" s="8" t="str">
        <f aca="false">IF(A823="","",IF(COUNTIFS(Reconcile!$I:$I,A823,Reconcile!$H:$H,"&gt;="&amp;(J823-0.01),Reconcile!$H:$H,"&lt;="&amp;(J823+0.01))&gt;0,"Yes","Not yet"))</f>
        <v/>
      </c>
      <c r="O823" s="21"/>
    </row>
    <row r="824" customFormat="false" ht="15" hidden="false" customHeight="false" outlineLevel="0" collapsed="false">
      <c r="A824" s="20"/>
      <c r="B824" s="21"/>
      <c r="C824" s="21"/>
      <c r="D824" s="21"/>
      <c r="E824" s="21"/>
      <c r="F824" s="22"/>
      <c r="G824" s="20"/>
      <c r="H824" s="23"/>
      <c r="I824" s="24"/>
      <c r="J824" s="14" t="str">
        <f aca="false">IF(C824="","",-E824*H824*IF(OR(B824="Sell call",B824="Buy to close",B824="Expired",B824="Assigned"),100,1)-I824)</f>
        <v/>
      </c>
      <c r="K824" s="21"/>
      <c r="L824" s="21"/>
      <c r="M824" s="21"/>
      <c r="N824" s="8" t="str">
        <f aca="false">IF(A824="","",IF(COUNTIFS(Reconcile!$I:$I,A824,Reconcile!$H:$H,"&gt;="&amp;(J824-0.01),Reconcile!$H:$H,"&lt;="&amp;(J824+0.01))&gt;0,"Yes","Not yet"))</f>
        <v/>
      </c>
      <c r="O824" s="21"/>
    </row>
    <row r="825" customFormat="false" ht="15" hidden="false" customHeight="false" outlineLevel="0" collapsed="false">
      <c r="A825" s="20"/>
      <c r="B825" s="21"/>
      <c r="C825" s="21"/>
      <c r="D825" s="21"/>
      <c r="E825" s="21"/>
      <c r="F825" s="22"/>
      <c r="G825" s="20"/>
      <c r="H825" s="23"/>
      <c r="I825" s="24"/>
      <c r="J825" s="14" t="str">
        <f aca="false">IF(C825="","",-E825*H825*IF(OR(B825="Sell call",B825="Buy to close",B825="Expired",B825="Assigned"),100,1)-I825)</f>
        <v/>
      </c>
      <c r="K825" s="21"/>
      <c r="L825" s="21"/>
      <c r="M825" s="21"/>
      <c r="N825" s="8" t="str">
        <f aca="false">IF(A825="","",IF(COUNTIFS(Reconcile!$I:$I,A825,Reconcile!$H:$H,"&gt;="&amp;(J825-0.01),Reconcile!$H:$H,"&lt;="&amp;(J825+0.01))&gt;0,"Yes","Not yet"))</f>
        <v/>
      </c>
      <c r="O825" s="21"/>
    </row>
    <row r="826" customFormat="false" ht="15" hidden="false" customHeight="false" outlineLevel="0" collapsed="false">
      <c r="A826" s="20"/>
      <c r="B826" s="21"/>
      <c r="C826" s="21"/>
      <c r="D826" s="21"/>
      <c r="E826" s="21"/>
      <c r="F826" s="22"/>
      <c r="G826" s="20"/>
      <c r="H826" s="23"/>
      <c r="I826" s="24"/>
      <c r="J826" s="14" t="str">
        <f aca="false">IF(C826="","",-E826*H826*IF(OR(B826="Sell call",B826="Buy to close",B826="Expired",B826="Assigned"),100,1)-I826)</f>
        <v/>
      </c>
      <c r="K826" s="21"/>
      <c r="L826" s="21"/>
      <c r="M826" s="21"/>
      <c r="N826" s="8" t="str">
        <f aca="false">IF(A826="","",IF(COUNTIFS(Reconcile!$I:$I,A826,Reconcile!$H:$H,"&gt;="&amp;(J826-0.01),Reconcile!$H:$H,"&lt;="&amp;(J826+0.01))&gt;0,"Yes","Not yet"))</f>
        <v/>
      </c>
      <c r="O826" s="21"/>
    </row>
    <row r="827" customFormat="false" ht="15" hidden="false" customHeight="false" outlineLevel="0" collapsed="false">
      <c r="A827" s="20"/>
      <c r="B827" s="21"/>
      <c r="C827" s="21"/>
      <c r="D827" s="21"/>
      <c r="E827" s="21"/>
      <c r="F827" s="22"/>
      <c r="G827" s="20"/>
      <c r="H827" s="23"/>
      <c r="I827" s="24"/>
      <c r="J827" s="14" t="str">
        <f aca="false">IF(C827="","",-E827*H827*IF(OR(B827="Sell call",B827="Buy to close",B827="Expired",B827="Assigned"),100,1)-I827)</f>
        <v/>
      </c>
      <c r="K827" s="21"/>
      <c r="L827" s="21"/>
      <c r="M827" s="21"/>
      <c r="N827" s="8" t="str">
        <f aca="false">IF(A827="","",IF(COUNTIFS(Reconcile!$I:$I,A827,Reconcile!$H:$H,"&gt;="&amp;(J827-0.01),Reconcile!$H:$H,"&lt;="&amp;(J827+0.01))&gt;0,"Yes","Not yet"))</f>
        <v/>
      </c>
      <c r="O827" s="21"/>
    </row>
    <row r="828" customFormat="false" ht="15" hidden="false" customHeight="false" outlineLevel="0" collapsed="false">
      <c r="A828" s="20"/>
      <c r="B828" s="21"/>
      <c r="C828" s="21"/>
      <c r="D828" s="21"/>
      <c r="E828" s="21"/>
      <c r="F828" s="22"/>
      <c r="G828" s="20"/>
      <c r="H828" s="23"/>
      <c r="I828" s="24"/>
      <c r="J828" s="14" t="str">
        <f aca="false">IF(C828="","",-E828*H828*IF(OR(B828="Sell call",B828="Buy to close",B828="Expired",B828="Assigned"),100,1)-I828)</f>
        <v/>
      </c>
      <c r="K828" s="21"/>
      <c r="L828" s="21"/>
      <c r="M828" s="21"/>
      <c r="N828" s="8" t="str">
        <f aca="false">IF(A828="","",IF(COUNTIFS(Reconcile!$I:$I,A828,Reconcile!$H:$H,"&gt;="&amp;(J828-0.01),Reconcile!$H:$H,"&lt;="&amp;(J828+0.01))&gt;0,"Yes","Not yet"))</f>
        <v/>
      </c>
      <c r="O828" s="21"/>
    </row>
    <row r="829" customFormat="false" ht="15" hidden="false" customHeight="false" outlineLevel="0" collapsed="false">
      <c r="A829" s="20"/>
      <c r="B829" s="21"/>
      <c r="C829" s="21"/>
      <c r="D829" s="21"/>
      <c r="E829" s="21"/>
      <c r="F829" s="22"/>
      <c r="G829" s="20"/>
      <c r="H829" s="23"/>
      <c r="I829" s="24"/>
      <c r="J829" s="14" t="str">
        <f aca="false">IF(C829="","",-E829*H829*IF(OR(B829="Sell call",B829="Buy to close",B829="Expired",B829="Assigned"),100,1)-I829)</f>
        <v/>
      </c>
      <c r="K829" s="21"/>
      <c r="L829" s="21"/>
      <c r="M829" s="21"/>
      <c r="N829" s="8" t="str">
        <f aca="false">IF(A829="","",IF(COUNTIFS(Reconcile!$I:$I,A829,Reconcile!$H:$H,"&gt;="&amp;(J829-0.01),Reconcile!$H:$H,"&lt;="&amp;(J829+0.01))&gt;0,"Yes","Not yet"))</f>
        <v/>
      </c>
      <c r="O829" s="21"/>
    </row>
    <row r="830" customFormat="false" ht="15" hidden="false" customHeight="false" outlineLevel="0" collapsed="false">
      <c r="A830" s="20"/>
      <c r="B830" s="21"/>
      <c r="C830" s="21"/>
      <c r="D830" s="21"/>
      <c r="E830" s="21"/>
      <c r="F830" s="22"/>
      <c r="G830" s="20"/>
      <c r="H830" s="23"/>
      <c r="I830" s="24"/>
      <c r="J830" s="14" t="str">
        <f aca="false">IF(C830="","",-E830*H830*IF(OR(B830="Sell call",B830="Buy to close",B830="Expired",B830="Assigned"),100,1)-I830)</f>
        <v/>
      </c>
      <c r="K830" s="21"/>
      <c r="L830" s="21"/>
      <c r="M830" s="21"/>
      <c r="N830" s="8" t="str">
        <f aca="false">IF(A830="","",IF(COUNTIFS(Reconcile!$I:$I,A830,Reconcile!$H:$H,"&gt;="&amp;(J830-0.01),Reconcile!$H:$H,"&lt;="&amp;(J830+0.01))&gt;0,"Yes","Not yet"))</f>
        <v/>
      </c>
      <c r="O830" s="21"/>
    </row>
    <row r="831" customFormat="false" ht="15" hidden="false" customHeight="false" outlineLevel="0" collapsed="false">
      <c r="A831" s="20"/>
      <c r="B831" s="21"/>
      <c r="C831" s="21"/>
      <c r="D831" s="21"/>
      <c r="E831" s="21"/>
      <c r="F831" s="22"/>
      <c r="G831" s="20"/>
      <c r="H831" s="23"/>
      <c r="I831" s="24"/>
      <c r="J831" s="14" t="str">
        <f aca="false">IF(C831="","",-E831*H831*IF(OR(B831="Sell call",B831="Buy to close",B831="Expired",B831="Assigned"),100,1)-I831)</f>
        <v/>
      </c>
      <c r="K831" s="21"/>
      <c r="L831" s="21"/>
      <c r="M831" s="21"/>
      <c r="N831" s="8" t="str">
        <f aca="false">IF(A831="","",IF(COUNTIFS(Reconcile!$I:$I,A831,Reconcile!$H:$H,"&gt;="&amp;(J831-0.01),Reconcile!$H:$H,"&lt;="&amp;(J831+0.01))&gt;0,"Yes","Not yet"))</f>
        <v/>
      </c>
      <c r="O831" s="21"/>
    </row>
    <row r="832" customFormat="false" ht="15" hidden="false" customHeight="false" outlineLevel="0" collapsed="false">
      <c r="A832" s="20"/>
      <c r="B832" s="21"/>
      <c r="C832" s="21"/>
      <c r="D832" s="21"/>
      <c r="E832" s="21"/>
      <c r="F832" s="22"/>
      <c r="G832" s="20"/>
      <c r="H832" s="23"/>
      <c r="I832" s="24"/>
      <c r="J832" s="14" t="str">
        <f aca="false">IF(C832="","",-E832*H832*IF(OR(B832="Sell call",B832="Buy to close",B832="Expired",B832="Assigned"),100,1)-I832)</f>
        <v/>
      </c>
      <c r="K832" s="21"/>
      <c r="L832" s="21"/>
      <c r="M832" s="21"/>
      <c r="N832" s="8" t="str">
        <f aca="false">IF(A832="","",IF(COUNTIFS(Reconcile!$I:$I,A832,Reconcile!$H:$H,"&gt;="&amp;(J832-0.01),Reconcile!$H:$H,"&lt;="&amp;(J832+0.01))&gt;0,"Yes","Not yet"))</f>
        <v/>
      </c>
      <c r="O832" s="21"/>
    </row>
    <row r="833" customFormat="false" ht="15" hidden="false" customHeight="false" outlineLevel="0" collapsed="false">
      <c r="A833" s="20"/>
      <c r="B833" s="21"/>
      <c r="C833" s="21"/>
      <c r="D833" s="21"/>
      <c r="E833" s="21"/>
      <c r="F833" s="22"/>
      <c r="G833" s="20"/>
      <c r="H833" s="23"/>
      <c r="I833" s="24"/>
      <c r="J833" s="14" t="str">
        <f aca="false">IF(C833="","",-E833*H833*IF(OR(B833="Sell call",B833="Buy to close",B833="Expired",B833="Assigned"),100,1)-I833)</f>
        <v/>
      </c>
      <c r="K833" s="21"/>
      <c r="L833" s="21"/>
      <c r="M833" s="21"/>
      <c r="N833" s="8" t="str">
        <f aca="false">IF(A833="","",IF(COUNTIFS(Reconcile!$I:$I,A833,Reconcile!$H:$H,"&gt;="&amp;(J833-0.01),Reconcile!$H:$H,"&lt;="&amp;(J833+0.01))&gt;0,"Yes","Not yet"))</f>
        <v/>
      </c>
      <c r="O833" s="21"/>
    </row>
    <row r="834" customFormat="false" ht="15" hidden="false" customHeight="false" outlineLevel="0" collapsed="false">
      <c r="A834" s="20"/>
      <c r="B834" s="21"/>
      <c r="C834" s="21"/>
      <c r="D834" s="21"/>
      <c r="E834" s="21"/>
      <c r="F834" s="22"/>
      <c r="G834" s="20"/>
      <c r="H834" s="23"/>
      <c r="I834" s="24"/>
      <c r="J834" s="14" t="str">
        <f aca="false">IF(C834="","",-E834*H834*IF(OR(B834="Sell call",B834="Buy to close",B834="Expired",B834="Assigned"),100,1)-I834)</f>
        <v/>
      </c>
      <c r="K834" s="21"/>
      <c r="L834" s="21"/>
      <c r="M834" s="21"/>
      <c r="N834" s="8" t="str">
        <f aca="false">IF(A834="","",IF(COUNTIFS(Reconcile!$I:$I,A834,Reconcile!$H:$H,"&gt;="&amp;(J834-0.01),Reconcile!$H:$H,"&lt;="&amp;(J834+0.01))&gt;0,"Yes","Not yet"))</f>
        <v/>
      </c>
      <c r="O834" s="21"/>
    </row>
    <row r="835" customFormat="false" ht="15" hidden="false" customHeight="false" outlineLevel="0" collapsed="false">
      <c r="A835" s="20"/>
      <c r="B835" s="21"/>
      <c r="C835" s="21"/>
      <c r="D835" s="21"/>
      <c r="E835" s="21"/>
      <c r="F835" s="22"/>
      <c r="G835" s="20"/>
      <c r="H835" s="23"/>
      <c r="I835" s="24"/>
      <c r="J835" s="14" t="str">
        <f aca="false">IF(C835="","",-E835*H835*IF(OR(B835="Sell call",B835="Buy to close",B835="Expired",B835="Assigned"),100,1)-I835)</f>
        <v/>
      </c>
      <c r="K835" s="21"/>
      <c r="L835" s="21"/>
      <c r="M835" s="21"/>
      <c r="N835" s="8" t="str">
        <f aca="false">IF(A835="","",IF(COUNTIFS(Reconcile!$I:$I,A835,Reconcile!$H:$H,"&gt;="&amp;(J835-0.01),Reconcile!$H:$H,"&lt;="&amp;(J835+0.01))&gt;0,"Yes","Not yet"))</f>
        <v/>
      </c>
      <c r="O835" s="21"/>
    </row>
    <row r="836" customFormat="false" ht="15" hidden="false" customHeight="false" outlineLevel="0" collapsed="false">
      <c r="A836" s="20"/>
      <c r="B836" s="21"/>
      <c r="C836" s="21"/>
      <c r="D836" s="21"/>
      <c r="E836" s="21"/>
      <c r="F836" s="22"/>
      <c r="G836" s="20"/>
      <c r="H836" s="23"/>
      <c r="I836" s="24"/>
      <c r="J836" s="14" t="str">
        <f aca="false">IF(C836="","",-E836*H836*IF(OR(B836="Sell call",B836="Buy to close",B836="Expired",B836="Assigned"),100,1)-I836)</f>
        <v/>
      </c>
      <c r="K836" s="21"/>
      <c r="L836" s="21"/>
      <c r="M836" s="21"/>
      <c r="N836" s="8" t="str">
        <f aca="false">IF(A836="","",IF(COUNTIFS(Reconcile!$I:$I,A836,Reconcile!$H:$H,"&gt;="&amp;(J836-0.01),Reconcile!$H:$H,"&lt;="&amp;(J836+0.01))&gt;0,"Yes","Not yet"))</f>
        <v/>
      </c>
      <c r="O836" s="21"/>
    </row>
    <row r="837" customFormat="false" ht="15" hidden="false" customHeight="false" outlineLevel="0" collapsed="false">
      <c r="A837" s="20"/>
      <c r="B837" s="21"/>
      <c r="C837" s="21"/>
      <c r="D837" s="21"/>
      <c r="E837" s="21"/>
      <c r="F837" s="22"/>
      <c r="G837" s="20"/>
      <c r="H837" s="23"/>
      <c r="I837" s="24"/>
      <c r="J837" s="14" t="str">
        <f aca="false">IF(C837="","",-E837*H837*IF(OR(B837="Sell call",B837="Buy to close",B837="Expired",B837="Assigned"),100,1)-I837)</f>
        <v/>
      </c>
      <c r="K837" s="21"/>
      <c r="L837" s="21"/>
      <c r="M837" s="21"/>
      <c r="N837" s="8" t="str">
        <f aca="false">IF(A837="","",IF(COUNTIFS(Reconcile!$I:$I,A837,Reconcile!$H:$H,"&gt;="&amp;(J837-0.01),Reconcile!$H:$H,"&lt;="&amp;(J837+0.01))&gt;0,"Yes","Not yet"))</f>
        <v/>
      </c>
      <c r="O837" s="21"/>
    </row>
    <row r="838" customFormat="false" ht="15" hidden="false" customHeight="false" outlineLevel="0" collapsed="false">
      <c r="A838" s="20"/>
      <c r="B838" s="21"/>
      <c r="C838" s="21"/>
      <c r="D838" s="21"/>
      <c r="E838" s="21"/>
      <c r="F838" s="22"/>
      <c r="G838" s="20"/>
      <c r="H838" s="23"/>
      <c r="I838" s="24"/>
      <c r="J838" s="14" t="str">
        <f aca="false">IF(C838="","",-E838*H838*IF(OR(B838="Sell call",B838="Buy to close",B838="Expired",B838="Assigned"),100,1)-I838)</f>
        <v/>
      </c>
      <c r="K838" s="21"/>
      <c r="L838" s="21"/>
      <c r="M838" s="21"/>
      <c r="N838" s="8" t="str">
        <f aca="false">IF(A838="","",IF(COUNTIFS(Reconcile!$I:$I,A838,Reconcile!$H:$H,"&gt;="&amp;(J838-0.01),Reconcile!$H:$H,"&lt;="&amp;(J838+0.01))&gt;0,"Yes","Not yet"))</f>
        <v/>
      </c>
      <c r="O838" s="21"/>
    </row>
    <row r="839" customFormat="false" ht="15" hidden="false" customHeight="false" outlineLevel="0" collapsed="false">
      <c r="A839" s="20"/>
      <c r="B839" s="21"/>
      <c r="C839" s="21"/>
      <c r="D839" s="21"/>
      <c r="E839" s="21"/>
      <c r="F839" s="22"/>
      <c r="G839" s="20"/>
      <c r="H839" s="23"/>
      <c r="I839" s="24"/>
      <c r="J839" s="14" t="str">
        <f aca="false">IF(C839="","",-E839*H839*IF(OR(B839="Sell call",B839="Buy to close",B839="Expired",B839="Assigned"),100,1)-I839)</f>
        <v/>
      </c>
      <c r="K839" s="21"/>
      <c r="L839" s="21"/>
      <c r="M839" s="21"/>
      <c r="N839" s="8" t="str">
        <f aca="false">IF(A839="","",IF(COUNTIFS(Reconcile!$I:$I,A839,Reconcile!$H:$H,"&gt;="&amp;(J839-0.01),Reconcile!$H:$H,"&lt;="&amp;(J839+0.01))&gt;0,"Yes","Not yet"))</f>
        <v/>
      </c>
      <c r="O839" s="21"/>
    </row>
    <row r="840" customFormat="false" ht="15" hidden="false" customHeight="false" outlineLevel="0" collapsed="false">
      <c r="A840" s="20"/>
      <c r="B840" s="21"/>
      <c r="C840" s="21"/>
      <c r="D840" s="21"/>
      <c r="E840" s="21"/>
      <c r="F840" s="22"/>
      <c r="G840" s="20"/>
      <c r="H840" s="23"/>
      <c r="I840" s="24"/>
      <c r="J840" s="14" t="str">
        <f aca="false">IF(C840="","",-E840*H840*IF(OR(B840="Sell call",B840="Buy to close",B840="Expired",B840="Assigned"),100,1)-I840)</f>
        <v/>
      </c>
      <c r="K840" s="21"/>
      <c r="L840" s="21"/>
      <c r="M840" s="21"/>
      <c r="N840" s="8" t="str">
        <f aca="false">IF(A840="","",IF(COUNTIFS(Reconcile!$I:$I,A840,Reconcile!$H:$H,"&gt;="&amp;(J840-0.01),Reconcile!$H:$H,"&lt;="&amp;(J840+0.01))&gt;0,"Yes","Not yet"))</f>
        <v/>
      </c>
      <c r="O840" s="21"/>
    </row>
    <row r="841" customFormat="false" ht="15" hidden="false" customHeight="false" outlineLevel="0" collapsed="false">
      <c r="A841" s="20"/>
      <c r="B841" s="21"/>
      <c r="C841" s="21"/>
      <c r="D841" s="21"/>
      <c r="E841" s="21"/>
      <c r="F841" s="22"/>
      <c r="G841" s="20"/>
      <c r="H841" s="23"/>
      <c r="I841" s="24"/>
      <c r="J841" s="14" t="str">
        <f aca="false">IF(C841="","",-E841*H841*IF(OR(B841="Sell call",B841="Buy to close",B841="Expired",B841="Assigned"),100,1)-I841)</f>
        <v/>
      </c>
      <c r="K841" s="21"/>
      <c r="L841" s="21"/>
      <c r="M841" s="21"/>
      <c r="N841" s="8" t="str">
        <f aca="false">IF(A841="","",IF(COUNTIFS(Reconcile!$I:$I,A841,Reconcile!$H:$H,"&gt;="&amp;(J841-0.01),Reconcile!$H:$H,"&lt;="&amp;(J841+0.01))&gt;0,"Yes","Not yet"))</f>
        <v/>
      </c>
      <c r="O841" s="21"/>
    </row>
    <row r="842" customFormat="false" ht="15" hidden="false" customHeight="false" outlineLevel="0" collapsed="false">
      <c r="A842" s="20"/>
      <c r="B842" s="21"/>
      <c r="C842" s="21"/>
      <c r="D842" s="21"/>
      <c r="E842" s="21"/>
      <c r="F842" s="22"/>
      <c r="G842" s="20"/>
      <c r="H842" s="23"/>
      <c r="I842" s="24"/>
      <c r="J842" s="14" t="str">
        <f aca="false">IF(C842="","",-E842*H842*IF(OR(B842="Sell call",B842="Buy to close",B842="Expired",B842="Assigned"),100,1)-I842)</f>
        <v/>
      </c>
      <c r="K842" s="21"/>
      <c r="L842" s="21"/>
      <c r="M842" s="21"/>
      <c r="N842" s="8" t="str">
        <f aca="false">IF(A842="","",IF(COUNTIFS(Reconcile!$I:$I,A842,Reconcile!$H:$H,"&gt;="&amp;(J842-0.01),Reconcile!$H:$H,"&lt;="&amp;(J842+0.01))&gt;0,"Yes","Not yet"))</f>
        <v/>
      </c>
      <c r="O842" s="21"/>
    </row>
    <row r="843" customFormat="false" ht="15" hidden="false" customHeight="false" outlineLevel="0" collapsed="false">
      <c r="A843" s="20"/>
      <c r="B843" s="21"/>
      <c r="C843" s="21"/>
      <c r="D843" s="21"/>
      <c r="E843" s="21"/>
      <c r="F843" s="22"/>
      <c r="G843" s="20"/>
      <c r="H843" s="23"/>
      <c r="I843" s="24"/>
      <c r="J843" s="14" t="str">
        <f aca="false">IF(C843="","",-E843*H843*IF(OR(B843="Sell call",B843="Buy to close",B843="Expired",B843="Assigned"),100,1)-I843)</f>
        <v/>
      </c>
      <c r="K843" s="21"/>
      <c r="L843" s="21"/>
      <c r="M843" s="21"/>
      <c r="N843" s="8" t="str">
        <f aca="false">IF(A843="","",IF(COUNTIFS(Reconcile!$I:$I,A843,Reconcile!$H:$H,"&gt;="&amp;(J843-0.01),Reconcile!$H:$H,"&lt;="&amp;(J843+0.01))&gt;0,"Yes","Not yet"))</f>
        <v/>
      </c>
      <c r="O843" s="21"/>
    </row>
    <row r="844" customFormat="false" ht="15" hidden="false" customHeight="false" outlineLevel="0" collapsed="false">
      <c r="A844" s="20"/>
      <c r="B844" s="21"/>
      <c r="C844" s="21"/>
      <c r="D844" s="21"/>
      <c r="E844" s="21"/>
      <c r="F844" s="22"/>
      <c r="G844" s="20"/>
      <c r="H844" s="23"/>
      <c r="I844" s="24"/>
      <c r="J844" s="14" t="str">
        <f aca="false">IF(C844="","",-E844*H844*IF(OR(B844="Sell call",B844="Buy to close",B844="Expired",B844="Assigned"),100,1)-I844)</f>
        <v/>
      </c>
      <c r="K844" s="21"/>
      <c r="L844" s="21"/>
      <c r="M844" s="21"/>
      <c r="N844" s="8" t="str">
        <f aca="false">IF(A844="","",IF(COUNTIFS(Reconcile!$I:$I,A844,Reconcile!$H:$H,"&gt;="&amp;(J844-0.01),Reconcile!$H:$H,"&lt;="&amp;(J844+0.01))&gt;0,"Yes","Not yet"))</f>
        <v/>
      </c>
      <c r="O844" s="21"/>
    </row>
    <row r="845" customFormat="false" ht="15" hidden="false" customHeight="false" outlineLevel="0" collapsed="false">
      <c r="A845" s="20"/>
      <c r="B845" s="21"/>
      <c r="C845" s="21"/>
      <c r="D845" s="21"/>
      <c r="E845" s="21"/>
      <c r="F845" s="22"/>
      <c r="G845" s="20"/>
      <c r="H845" s="23"/>
      <c r="I845" s="24"/>
      <c r="J845" s="14" t="str">
        <f aca="false">IF(C845="","",-E845*H845*IF(OR(B845="Sell call",B845="Buy to close",B845="Expired",B845="Assigned"),100,1)-I845)</f>
        <v/>
      </c>
      <c r="K845" s="21"/>
      <c r="L845" s="21"/>
      <c r="M845" s="21"/>
      <c r="N845" s="8" t="str">
        <f aca="false">IF(A845="","",IF(COUNTIFS(Reconcile!$I:$I,A845,Reconcile!$H:$H,"&gt;="&amp;(J845-0.01),Reconcile!$H:$H,"&lt;="&amp;(J845+0.01))&gt;0,"Yes","Not yet"))</f>
        <v/>
      </c>
      <c r="O845" s="21"/>
    </row>
    <row r="846" customFormat="false" ht="15" hidden="false" customHeight="false" outlineLevel="0" collapsed="false">
      <c r="A846" s="20"/>
      <c r="B846" s="21"/>
      <c r="C846" s="21"/>
      <c r="D846" s="21"/>
      <c r="E846" s="21"/>
      <c r="F846" s="22"/>
      <c r="G846" s="20"/>
      <c r="H846" s="23"/>
      <c r="I846" s="24"/>
      <c r="J846" s="14" t="str">
        <f aca="false">IF(C846="","",-E846*H846*IF(OR(B846="Sell call",B846="Buy to close",B846="Expired",B846="Assigned"),100,1)-I846)</f>
        <v/>
      </c>
      <c r="K846" s="21"/>
      <c r="L846" s="21"/>
      <c r="M846" s="21"/>
      <c r="N846" s="8" t="str">
        <f aca="false">IF(A846="","",IF(COUNTIFS(Reconcile!$I:$I,A846,Reconcile!$H:$H,"&gt;="&amp;(J846-0.01),Reconcile!$H:$H,"&lt;="&amp;(J846+0.01))&gt;0,"Yes","Not yet"))</f>
        <v/>
      </c>
      <c r="O846" s="21"/>
    </row>
    <row r="847" customFormat="false" ht="15" hidden="false" customHeight="false" outlineLevel="0" collapsed="false">
      <c r="A847" s="20"/>
      <c r="B847" s="21"/>
      <c r="C847" s="21"/>
      <c r="D847" s="21"/>
      <c r="E847" s="21"/>
      <c r="F847" s="22"/>
      <c r="G847" s="20"/>
      <c r="H847" s="23"/>
      <c r="I847" s="24"/>
      <c r="J847" s="14" t="str">
        <f aca="false">IF(C847="","",-E847*H847*IF(OR(B847="Sell call",B847="Buy to close",B847="Expired",B847="Assigned"),100,1)-I847)</f>
        <v/>
      </c>
      <c r="K847" s="21"/>
      <c r="L847" s="21"/>
      <c r="M847" s="21"/>
      <c r="N847" s="8" t="str">
        <f aca="false">IF(A847="","",IF(COUNTIFS(Reconcile!$I:$I,A847,Reconcile!$H:$H,"&gt;="&amp;(J847-0.01),Reconcile!$H:$H,"&lt;="&amp;(J847+0.01))&gt;0,"Yes","Not yet"))</f>
        <v/>
      </c>
      <c r="O847" s="21"/>
    </row>
    <row r="848" customFormat="false" ht="15" hidden="false" customHeight="false" outlineLevel="0" collapsed="false">
      <c r="A848" s="20"/>
      <c r="B848" s="21"/>
      <c r="C848" s="21"/>
      <c r="D848" s="21"/>
      <c r="E848" s="21"/>
      <c r="F848" s="22"/>
      <c r="G848" s="20"/>
      <c r="H848" s="23"/>
      <c r="I848" s="24"/>
      <c r="J848" s="14" t="str">
        <f aca="false">IF(C848="","",-E848*H848*IF(OR(B848="Sell call",B848="Buy to close",B848="Expired",B848="Assigned"),100,1)-I848)</f>
        <v/>
      </c>
      <c r="K848" s="21"/>
      <c r="L848" s="21"/>
      <c r="M848" s="21"/>
      <c r="N848" s="8" t="str">
        <f aca="false">IF(A848="","",IF(COUNTIFS(Reconcile!$I:$I,A848,Reconcile!$H:$H,"&gt;="&amp;(J848-0.01),Reconcile!$H:$H,"&lt;="&amp;(J848+0.01))&gt;0,"Yes","Not yet"))</f>
        <v/>
      </c>
      <c r="O848" s="21"/>
    </row>
    <row r="849" customFormat="false" ht="15" hidden="false" customHeight="false" outlineLevel="0" collapsed="false">
      <c r="A849" s="20"/>
      <c r="B849" s="21"/>
      <c r="C849" s="21"/>
      <c r="D849" s="21"/>
      <c r="E849" s="21"/>
      <c r="F849" s="22"/>
      <c r="G849" s="20"/>
      <c r="H849" s="23"/>
      <c r="I849" s="24"/>
      <c r="J849" s="14" t="str">
        <f aca="false">IF(C849="","",-E849*H849*IF(OR(B849="Sell call",B849="Buy to close",B849="Expired",B849="Assigned"),100,1)-I849)</f>
        <v/>
      </c>
      <c r="K849" s="21"/>
      <c r="L849" s="21"/>
      <c r="M849" s="21"/>
      <c r="N849" s="8" t="str">
        <f aca="false">IF(A849="","",IF(COUNTIFS(Reconcile!$I:$I,A849,Reconcile!$H:$H,"&gt;="&amp;(J849-0.01),Reconcile!$H:$H,"&lt;="&amp;(J849+0.01))&gt;0,"Yes","Not yet"))</f>
        <v/>
      </c>
      <c r="O849" s="21"/>
    </row>
    <row r="850" customFormat="false" ht="15" hidden="false" customHeight="false" outlineLevel="0" collapsed="false">
      <c r="A850" s="20"/>
      <c r="B850" s="21"/>
      <c r="C850" s="21"/>
      <c r="D850" s="21"/>
      <c r="E850" s="21"/>
      <c r="F850" s="22"/>
      <c r="G850" s="20"/>
      <c r="H850" s="23"/>
      <c r="I850" s="24"/>
      <c r="J850" s="14" t="str">
        <f aca="false">IF(C850="","",-E850*H850*IF(OR(B850="Sell call",B850="Buy to close",B850="Expired",B850="Assigned"),100,1)-I850)</f>
        <v/>
      </c>
      <c r="K850" s="21"/>
      <c r="L850" s="21"/>
      <c r="M850" s="21"/>
      <c r="N850" s="8" t="str">
        <f aca="false">IF(A850="","",IF(COUNTIFS(Reconcile!$I:$I,A850,Reconcile!$H:$H,"&gt;="&amp;(J850-0.01),Reconcile!$H:$H,"&lt;="&amp;(J850+0.01))&gt;0,"Yes","Not yet"))</f>
        <v/>
      </c>
      <c r="O850" s="21"/>
    </row>
    <row r="851" customFormat="false" ht="15" hidden="false" customHeight="false" outlineLevel="0" collapsed="false">
      <c r="A851" s="20"/>
      <c r="B851" s="21"/>
      <c r="C851" s="21"/>
      <c r="D851" s="21"/>
      <c r="E851" s="21"/>
      <c r="F851" s="22"/>
      <c r="G851" s="20"/>
      <c r="H851" s="23"/>
      <c r="I851" s="24"/>
      <c r="J851" s="14" t="str">
        <f aca="false">IF(C851="","",-E851*H851*IF(OR(B851="Sell call",B851="Buy to close",B851="Expired",B851="Assigned"),100,1)-I851)</f>
        <v/>
      </c>
      <c r="K851" s="21"/>
      <c r="L851" s="21"/>
      <c r="M851" s="21"/>
      <c r="N851" s="8" t="str">
        <f aca="false">IF(A851="","",IF(COUNTIFS(Reconcile!$I:$I,A851,Reconcile!$H:$H,"&gt;="&amp;(J851-0.01),Reconcile!$H:$H,"&lt;="&amp;(J851+0.01))&gt;0,"Yes","Not yet"))</f>
        <v/>
      </c>
      <c r="O851" s="21"/>
    </row>
    <row r="852" customFormat="false" ht="15" hidden="false" customHeight="false" outlineLevel="0" collapsed="false">
      <c r="A852" s="20"/>
      <c r="B852" s="21"/>
      <c r="C852" s="21"/>
      <c r="D852" s="21"/>
      <c r="E852" s="21"/>
      <c r="F852" s="22"/>
      <c r="G852" s="20"/>
      <c r="H852" s="23"/>
      <c r="I852" s="24"/>
      <c r="J852" s="14" t="str">
        <f aca="false">IF(C852="","",-E852*H852*IF(OR(B852="Sell call",B852="Buy to close",B852="Expired",B852="Assigned"),100,1)-I852)</f>
        <v/>
      </c>
      <c r="K852" s="21"/>
      <c r="L852" s="21"/>
      <c r="M852" s="21"/>
      <c r="N852" s="8" t="str">
        <f aca="false">IF(A852="","",IF(COUNTIFS(Reconcile!$I:$I,A852,Reconcile!$H:$H,"&gt;="&amp;(J852-0.01),Reconcile!$H:$H,"&lt;="&amp;(J852+0.01))&gt;0,"Yes","Not yet"))</f>
        <v/>
      </c>
      <c r="O852" s="21"/>
    </row>
    <row r="853" customFormat="false" ht="15" hidden="false" customHeight="false" outlineLevel="0" collapsed="false">
      <c r="A853" s="20"/>
      <c r="B853" s="21"/>
      <c r="C853" s="21"/>
      <c r="D853" s="21"/>
      <c r="E853" s="21"/>
      <c r="F853" s="22"/>
      <c r="G853" s="20"/>
      <c r="H853" s="23"/>
      <c r="I853" s="24"/>
      <c r="J853" s="14" t="str">
        <f aca="false">IF(C853="","",-E853*H853*IF(OR(B853="Sell call",B853="Buy to close",B853="Expired",B853="Assigned"),100,1)-I853)</f>
        <v/>
      </c>
      <c r="K853" s="21"/>
      <c r="L853" s="21"/>
      <c r="M853" s="21"/>
      <c r="N853" s="8" t="str">
        <f aca="false">IF(A853="","",IF(COUNTIFS(Reconcile!$I:$I,A853,Reconcile!$H:$H,"&gt;="&amp;(J853-0.01),Reconcile!$H:$H,"&lt;="&amp;(J853+0.01))&gt;0,"Yes","Not yet"))</f>
        <v/>
      </c>
      <c r="O853" s="21"/>
    </row>
    <row r="854" customFormat="false" ht="15" hidden="false" customHeight="false" outlineLevel="0" collapsed="false">
      <c r="A854" s="20"/>
      <c r="B854" s="21"/>
      <c r="C854" s="21"/>
      <c r="D854" s="21"/>
      <c r="E854" s="21"/>
      <c r="F854" s="22"/>
      <c r="G854" s="20"/>
      <c r="H854" s="23"/>
      <c r="I854" s="24"/>
      <c r="J854" s="14" t="str">
        <f aca="false">IF(C854="","",-E854*H854*IF(OR(B854="Sell call",B854="Buy to close",B854="Expired",B854="Assigned"),100,1)-I854)</f>
        <v/>
      </c>
      <c r="K854" s="21"/>
      <c r="L854" s="21"/>
      <c r="M854" s="21"/>
      <c r="N854" s="8" t="str">
        <f aca="false">IF(A854="","",IF(COUNTIFS(Reconcile!$I:$I,A854,Reconcile!$H:$H,"&gt;="&amp;(J854-0.01),Reconcile!$H:$H,"&lt;="&amp;(J854+0.01))&gt;0,"Yes","Not yet"))</f>
        <v/>
      </c>
      <c r="O854" s="21"/>
    </row>
    <row r="855" customFormat="false" ht="15" hidden="false" customHeight="false" outlineLevel="0" collapsed="false">
      <c r="A855" s="20"/>
      <c r="B855" s="21"/>
      <c r="C855" s="21"/>
      <c r="D855" s="21"/>
      <c r="E855" s="21"/>
      <c r="F855" s="22"/>
      <c r="G855" s="20"/>
      <c r="H855" s="23"/>
      <c r="I855" s="24"/>
      <c r="J855" s="14" t="str">
        <f aca="false">IF(C855="","",-E855*H855*IF(OR(B855="Sell call",B855="Buy to close",B855="Expired",B855="Assigned"),100,1)-I855)</f>
        <v/>
      </c>
      <c r="K855" s="21"/>
      <c r="L855" s="21"/>
      <c r="M855" s="21"/>
      <c r="N855" s="8" t="str">
        <f aca="false">IF(A855="","",IF(COUNTIFS(Reconcile!$I:$I,A855,Reconcile!$H:$H,"&gt;="&amp;(J855-0.01),Reconcile!$H:$H,"&lt;="&amp;(J855+0.01))&gt;0,"Yes","Not yet"))</f>
        <v/>
      </c>
      <c r="O855" s="21"/>
    </row>
    <row r="856" customFormat="false" ht="15" hidden="false" customHeight="false" outlineLevel="0" collapsed="false">
      <c r="A856" s="20"/>
      <c r="B856" s="21"/>
      <c r="C856" s="21"/>
      <c r="D856" s="21"/>
      <c r="E856" s="21"/>
      <c r="F856" s="22"/>
      <c r="G856" s="20"/>
      <c r="H856" s="23"/>
      <c r="I856" s="24"/>
      <c r="J856" s="14" t="str">
        <f aca="false">IF(C856="","",-E856*H856*IF(OR(B856="Sell call",B856="Buy to close",B856="Expired",B856="Assigned"),100,1)-I856)</f>
        <v/>
      </c>
      <c r="K856" s="21"/>
      <c r="L856" s="21"/>
      <c r="M856" s="21"/>
      <c r="N856" s="8" t="str">
        <f aca="false">IF(A856="","",IF(COUNTIFS(Reconcile!$I:$I,A856,Reconcile!$H:$H,"&gt;="&amp;(J856-0.01),Reconcile!$H:$H,"&lt;="&amp;(J856+0.01))&gt;0,"Yes","Not yet"))</f>
        <v/>
      </c>
      <c r="O856" s="21"/>
    </row>
    <row r="857" customFormat="false" ht="15" hidden="false" customHeight="false" outlineLevel="0" collapsed="false">
      <c r="A857" s="20"/>
      <c r="B857" s="21"/>
      <c r="C857" s="21"/>
      <c r="D857" s="21"/>
      <c r="E857" s="21"/>
      <c r="F857" s="22"/>
      <c r="G857" s="20"/>
      <c r="H857" s="23"/>
      <c r="I857" s="24"/>
      <c r="J857" s="14" t="str">
        <f aca="false">IF(C857="","",-E857*H857*IF(OR(B857="Sell call",B857="Buy to close",B857="Expired",B857="Assigned"),100,1)-I857)</f>
        <v/>
      </c>
      <c r="K857" s="21"/>
      <c r="L857" s="21"/>
      <c r="M857" s="21"/>
      <c r="N857" s="8" t="str">
        <f aca="false">IF(A857="","",IF(COUNTIFS(Reconcile!$I:$I,A857,Reconcile!$H:$H,"&gt;="&amp;(J857-0.01),Reconcile!$H:$H,"&lt;="&amp;(J857+0.01))&gt;0,"Yes","Not yet"))</f>
        <v/>
      </c>
      <c r="O857" s="21"/>
    </row>
    <row r="858" customFormat="false" ht="15" hidden="false" customHeight="false" outlineLevel="0" collapsed="false">
      <c r="A858" s="20"/>
      <c r="B858" s="21"/>
      <c r="C858" s="21"/>
      <c r="D858" s="21"/>
      <c r="E858" s="21"/>
      <c r="F858" s="22"/>
      <c r="G858" s="20"/>
      <c r="H858" s="23"/>
      <c r="I858" s="24"/>
      <c r="J858" s="14" t="str">
        <f aca="false">IF(C858="","",-E858*H858*IF(OR(B858="Sell call",B858="Buy to close",B858="Expired",B858="Assigned"),100,1)-I858)</f>
        <v/>
      </c>
      <c r="K858" s="21"/>
      <c r="L858" s="21"/>
      <c r="M858" s="21"/>
      <c r="N858" s="8" t="str">
        <f aca="false">IF(A858="","",IF(COUNTIFS(Reconcile!$I:$I,A858,Reconcile!$H:$H,"&gt;="&amp;(J858-0.01),Reconcile!$H:$H,"&lt;="&amp;(J858+0.01))&gt;0,"Yes","Not yet"))</f>
        <v/>
      </c>
      <c r="O858" s="21"/>
    </row>
    <row r="859" customFormat="false" ht="15" hidden="false" customHeight="false" outlineLevel="0" collapsed="false">
      <c r="A859" s="20"/>
      <c r="B859" s="21"/>
      <c r="C859" s="21"/>
      <c r="D859" s="21"/>
      <c r="E859" s="21"/>
      <c r="F859" s="22"/>
      <c r="G859" s="20"/>
      <c r="H859" s="23"/>
      <c r="I859" s="24"/>
      <c r="J859" s="14" t="str">
        <f aca="false">IF(C859="","",-E859*H859*IF(OR(B859="Sell call",B859="Buy to close",B859="Expired",B859="Assigned"),100,1)-I859)</f>
        <v/>
      </c>
      <c r="K859" s="21"/>
      <c r="L859" s="21"/>
      <c r="M859" s="21"/>
      <c r="N859" s="8" t="str">
        <f aca="false">IF(A859="","",IF(COUNTIFS(Reconcile!$I:$I,A859,Reconcile!$H:$H,"&gt;="&amp;(J859-0.01),Reconcile!$H:$H,"&lt;="&amp;(J859+0.01))&gt;0,"Yes","Not yet"))</f>
        <v/>
      </c>
      <c r="O859" s="21"/>
    </row>
    <row r="860" customFormat="false" ht="15" hidden="false" customHeight="false" outlineLevel="0" collapsed="false">
      <c r="A860" s="20"/>
      <c r="B860" s="21"/>
      <c r="C860" s="21"/>
      <c r="D860" s="21"/>
      <c r="E860" s="21"/>
      <c r="F860" s="22"/>
      <c r="G860" s="20"/>
      <c r="H860" s="23"/>
      <c r="I860" s="24"/>
      <c r="J860" s="14" t="str">
        <f aca="false">IF(C860="","",-E860*H860*IF(OR(B860="Sell call",B860="Buy to close",B860="Expired",B860="Assigned"),100,1)-I860)</f>
        <v/>
      </c>
      <c r="K860" s="21"/>
      <c r="L860" s="21"/>
      <c r="M860" s="21"/>
      <c r="N860" s="8" t="str">
        <f aca="false">IF(A860="","",IF(COUNTIFS(Reconcile!$I:$I,A860,Reconcile!$H:$H,"&gt;="&amp;(J860-0.01),Reconcile!$H:$H,"&lt;="&amp;(J860+0.01))&gt;0,"Yes","Not yet"))</f>
        <v/>
      </c>
      <c r="O860" s="21"/>
    </row>
    <row r="861" customFormat="false" ht="15" hidden="false" customHeight="false" outlineLevel="0" collapsed="false">
      <c r="A861" s="20"/>
      <c r="B861" s="21"/>
      <c r="C861" s="21"/>
      <c r="D861" s="21"/>
      <c r="E861" s="21"/>
      <c r="F861" s="22"/>
      <c r="G861" s="20"/>
      <c r="H861" s="23"/>
      <c r="I861" s="24"/>
      <c r="J861" s="14" t="str">
        <f aca="false">IF(C861="","",-E861*H861*IF(OR(B861="Sell call",B861="Buy to close",B861="Expired",B861="Assigned"),100,1)-I861)</f>
        <v/>
      </c>
      <c r="K861" s="21"/>
      <c r="L861" s="21"/>
      <c r="M861" s="21"/>
      <c r="N861" s="8" t="str">
        <f aca="false">IF(A861="","",IF(COUNTIFS(Reconcile!$I:$I,A861,Reconcile!$H:$H,"&gt;="&amp;(J861-0.01),Reconcile!$H:$H,"&lt;="&amp;(J861+0.01))&gt;0,"Yes","Not yet"))</f>
        <v/>
      </c>
      <c r="O861" s="21"/>
    </row>
    <row r="862" customFormat="false" ht="15" hidden="false" customHeight="false" outlineLevel="0" collapsed="false">
      <c r="A862" s="20"/>
      <c r="B862" s="21"/>
      <c r="C862" s="21"/>
      <c r="D862" s="21"/>
      <c r="E862" s="21"/>
      <c r="F862" s="22"/>
      <c r="G862" s="20"/>
      <c r="H862" s="23"/>
      <c r="I862" s="24"/>
      <c r="J862" s="14" t="str">
        <f aca="false">IF(C862="","",-E862*H862*IF(OR(B862="Sell call",B862="Buy to close",B862="Expired",B862="Assigned"),100,1)-I862)</f>
        <v/>
      </c>
      <c r="K862" s="21"/>
      <c r="L862" s="21"/>
      <c r="M862" s="21"/>
      <c r="N862" s="8" t="str">
        <f aca="false">IF(A862="","",IF(COUNTIFS(Reconcile!$I:$I,A862,Reconcile!$H:$H,"&gt;="&amp;(J862-0.01),Reconcile!$H:$H,"&lt;="&amp;(J862+0.01))&gt;0,"Yes","Not yet"))</f>
        <v/>
      </c>
      <c r="O862" s="21"/>
    </row>
    <row r="863" customFormat="false" ht="15" hidden="false" customHeight="false" outlineLevel="0" collapsed="false">
      <c r="A863" s="20"/>
      <c r="B863" s="21"/>
      <c r="C863" s="21"/>
      <c r="D863" s="21"/>
      <c r="E863" s="21"/>
      <c r="F863" s="22"/>
      <c r="G863" s="20"/>
      <c r="H863" s="23"/>
      <c r="I863" s="24"/>
      <c r="J863" s="14" t="str">
        <f aca="false">IF(C863="","",-E863*H863*IF(OR(B863="Sell call",B863="Buy to close",B863="Expired",B863="Assigned"),100,1)-I863)</f>
        <v/>
      </c>
      <c r="K863" s="21"/>
      <c r="L863" s="21"/>
      <c r="M863" s="21"/>
      <c r="N863" s="8" t="str">
        <f aca="false">IF(A863="","",IF(COUNTIFS(Reconcile!$I:$I,A863,Reconcile!$H:$H,"&gt;="&amp;(J863-0.01),Reconcile!$H:$H,"&lt;="&amp;(J863+0.01))&gt;0,"Yes","Not yet"))</f>
        <v/>
      </c>
      <c r="O863" s="21"/>
    </row>
    <row r="864" customFormat="false" ht="15" hidden="false" customHeight="false" outlineLevel="0" collapsed="false">
      <c r="A864" s="20"/>
      <c r="B864" s="21"/>
      <c r="C864" s="21"/>
      <c r="D864" s="21"/>
      <c r="E864" s="21"/>
      <c r="F864" s="22"/>
      <c r="G864" s="20"/>
      <c r="H864" s="23"/>
      <c r="I864" s="24"/>
      <c r="J864" s="14" t="str">
        <f aca="false">IF(C864="","",-E864*H864*IF(OR(B864="Sell call",B864="Buy to close",B864="Expired",B864="Assigned"),100,1)-I864)</f>
        <v/>
      </c>
      <c r="K864" s="21"/>
      <c r="L864" s="21"/>
      <c r="M864" s="21"/>
      <c r="N864" s="8" t="str">
        <f aca="false">IF(A864="","",IF(COUNTIFS(Reconcile!$I:$I,A864,Reconcile!$H:$H,"&gt;="&amp;(J864-0.01),Reconcile!$H:$H,"&lt;="&amp;(J864+0.01))&gt;0,"Yes","Not yet"))</f>
        <v/>
      </c>
      <c r="O864" s="21"/>
    </row>
    <row r="865" customFormat="false" ht="15" hidden="false" customHeight="false" outlineLevel="0" collapsed="false">
      <c r="A865" s="20"/>
      <c r="B865" s="21"/>
      <c r="C865" s="21"/>
      <c r="D865" s="21"/>
      <c r="E865" s="21"/>
      <c r="F865" s="22"/>
      <c r="G865" s="20"/>
      <c r="H865" s="23"/>
      <c r="I865" s="24"/>
      <c r="J865" s="14" t="str">
        <f aca="false">IF(C865="","",-E865*H865*IF(OR(B865="Sell call",B865="Buy to close",B865="Expired",B865="Assigned"),100,1)-I865)</f>
        <v/>
      </c>
      <c r="K865" s="21"/>
      <c r="L865" s="21"/>
      <c r="M865" s="21"/>
      <c r="N865" s="8" t="str">
        <f aca="false">IF(A865="","",IF(COUNTIFS(Reconcile!$I:$I,A865,Reconcile!$H:$H,"&gt;="&amp;(J865-0.01),Reconcile!$H:$H,"&lt;="&amp;(J865+0.01))&gt;0,"Yes","Not yet"))</f>
        <v/>
      </c>
      <c r="O865" s="21"/>
    </row>
    <row r="866" customFormat="false" ht="15" hidden="false" customHeight="false" outlineLevel="0" collapsed="false">
      <c r="A866" s="20"/>
      <c r="B866" s="21"/>
      <c r="C866" s="21"/>
      <c r="D866" s="21"/>
      <c r="E866" s="21"/>
      <c r="F866" s="22"/>
      <c r="G866" s="20"/>
      <c r="H866" s="23"/>
      <c r="I866" s="24"/>
      <c r="J866" s="14" t="str">
        <f aca="false">IF(C866="","",-E866*H866*IF(OR(B866="Sell call",B866="Buy to close",B866="Expired",B866="Assigned"),100,1)-I866)</f>
        <v/>
      </c>
      <c r="K866" s="21"/>
      <c r="L866" s="21"/>
      <c r="M866" s="21"/>
      <c r="N866" s="8" t="str">
        <f aca="false">IF(A866="","",IF(COUNTIFS(Reconcile!$I:$I,A866,Reconcile!$H:$H,"&gt;="&amp;(J866-0.01),Reconcile!$H:$H,"&lt;="&amp;(J866+0.01))&gt;0,"Yes","Not yet"))</f>
        <v/>
      </c>
      <c r="O866" s="21"/>
    </row>
    <row r="867" customFormat="false" ht="15" hidden="false" customHeight="false" outlineLevel="0" collapsed="false">
      <c r="A867" s="20"/>
      <c r="B867" s="21"/>
      <c r="C867" s="21"/>
      <c r="D867" s="21"/>
      <c r="E867" s="21"/>
      <c r="F867" s="22"/>
      <c r="G867" s="20"/>
      <c r="H867" s="23"/>
      <c r="I867" s="24"/>
      <c r="J867" s="14" t="str">
        <f aca="false">IF(C867="","",-E867*H867*IF(OR(B867="Sell call",B867="Buy to close",B867="Expired",B867="Assigned"),100,1)-I867)</f>
        <v/>
      </c>
      <c r="K867" s="21"/>
      <c r="L867" s="21"/>
      <c r="M867" s="21"/>
      <c r="N867" s="8" t="str">
        <f aca="false">IF(A867="","",IF(COUNTIFS(Reconcile!$I:$I,A867,Reconcile!$H:$H,"&gt;="&amp;(J867-0.01),Reconcile!$H:$H,"&lt;="&amp;(J867+0.01))&gt;0,"Yes","Not yet"))</f>
        <v/>
      </c>
      <c r="O867" s="21"/>
    </row>
    <row r="868" customFormat="false" ht="15" hidden="false" customHeight="false" outlineLevel="0" collapsed="false">
      <c r="A868" s="20"/>
      <c r="B868" s="21"/>
      <c r="C868" s="21"/>
      <c r="D868" s="21"/>
      <c r="E868" s="21"/>
      <c r="F868" s="22"/>
      <c r="G868" s="20"/>
      <c r="H868" s="23"/>
      <c r="I868" s="24"/>
      <c r="J868" s="14" t="str">
        <f aca="false">IF(C868="","",-E868*H868*IF(OR(B868="Sell call",B868="Buy to close",B868="Expired",B868="Assigned"),100,1)-I868)</f>
        <v/>
      </c>
      <c r="K868" s="21"/>
      <c r="L868" s="21"/>
      <c r="M868" s="21"/>
      <c r="N868" s="8" t="str">
        <f aca="false">IF(A868="","",IF(COUNTIFS(Reconcile!$I:$I,A868,Reconcile!$H:$H,"&gt;="&amp;(J868-0.01),Reconcile!$H:$H,"&lt;="&amp;(J868+0.01))&gt;0,"Yes","Not yet"))</f>
        <v/>
      </c>
      <c r="O868" s="21"/>
    </row>
    <row r="869" customFormat="false" ht="15" hidden="false" customHeight="false" outlineLevel="0" collapsed="false">
      <c r="A869" s="20"/>
      <c r="B869" s="21"/>
      <c r="C869" s="21"/>
      <c r="D869" s="21"/>
      <c r="E869" s="21"/>
      <c r="F869" s="22"/>
      <c r="G869" s="20"/>
      <c r="H869" s="23"/>
      <c r="I869" s="24"/>
      <c r="J869" s="14" t="str">
        <f aca="false">IF(C869="","",-E869*H869*IF(OR(B869="Sell call",B869="Buy to close",B869="Expired",B869="Assigned"),100,1)-I869)</f>
        <v/>
      </c>
      <c r="K869" s="21"/>
      <c r="L869" s="21"/>
      <c r="M869" s="21"/>
      <c r="N869" s="8" t="str">
        <f aca="false">IF(A869="","",IF(COUNTIFS(Reconcile!$I:$I,A869,Reconcile!$H:$H,"&gt;="&amp;(J869-0.01),Reconcile!$H:$H,"&lt;="&amp;(J869+0.01))&gt;0,"Yes","Not yet"))</f>
        <v/>
      </c>
      <c r="O869" s="21"/>
    </row>
    <row r="870" customFormat="false" ht="15" hidden="false" customHeight="false" outlineLevel="0" collapsed="false">
      <c r="A870" s="20"/>
      <c r="B870" s="21"/>
      <c r="C870" s="21"/>
      <c r="D870" s="21"/>
      <c r="E870" s="21"/>
      <c r="F870" s="22"/>
      <c r="G870" s="20"/>
      <c r="H870" s="23"/>
      <c r="I870" s="24"/>
      <c r="J870" s="14" t="str">
        <f aca="false">IF(C870="","",-E870*H870*IF(OR(B870="Sell call",B870="Buy to close",B870="Expired",B870="Assigned"),100,1)-I870)</f>
        <v/>
      </c>
      <c r="K870" s="21"/>
      <c r="L870" s="21"/>
      <c r="M870" s="21"/>
      <c r="N870" s="8" t="str">
        <f aca="false">IF(A870="","",IF(COUNTIFS(Reconcile!$I:$I,A870,Reconcile!$H:$H,"&gt;="&amp;(J870-0.01),Reconcile!$H:$H,"&lt;="&amp;(J870+0.01))&gt;0,"Yes","Not yet"))</f>
        <v/>
      </c>
      <c r="O870" s="21"/>
    </row>
    <row r="871" customFormat="false" ht="15" hidden="false" customHeight="false" outlineLevel="0" collapsed="false">
      <c r="A871" s="20"/>
      <c r="B871" s="21"/>
      <c r="C871" s="21"/>
      <c r="D871" s="21"/>
      <c r="E871" s="21"/>
      <c r="F871" s="22"/>
      <c r="G871" s="20"/>
      <c r="H871" s="23"/>
      <c r="I871" s="24"/>
      <c r="J871" s="14" t="str">
        <f aca="false">IF(C871="","",-E871*H871*IF(OR(B871="Sell call",B871="Buy to close",B871="Expired",B871="Assigned"),100,1)-I871)</f>
        <v/>
      </c>
      <c r="K871" s="21"/>
      <c r="L871" s="21"/>
      <c r="M871" s="21"/>
      <c r="N871" s="8" t="str">
        <f aca="false">IF(A871="","",IF(COUNTIFS(Reconcile!$I:$I,A871,Reconcile!$H:$H,"&gt;="&amp;(J871-0.01),Reconcile!$H:$H,"&lt;="&amp;(J871+0.01))&gt;0,"Yes","Not yet"))</f>
        <v/>
      </c>
      <c r="O871" s="21"/>
    </row>
    <row r="872" customFormat="false" ht="15" hidden="false" customHeight="false" outlineLevel="0" collapsed="false">
      <c r="A872" s="20"/>
      <c r="B872" s="21"/>
      <c r="C872" s="21"/>
      <c r="D872" s="21"/>
      <c r="E872" s="21"/>
      <c r="F872" s="22"/>
      <c r="G872" s="20"/>
      <c r="H872" s="23"/>
      <c r="I872" s="24"/>
      <c r="J872" s="14" t="str">
        <f aca="false">IF(C872="","",-E872*H872*IF(OR(B872="Sell call",B872="Buy to close",B872="Expired",B872="Assigned"),100,1)-I872)</f>
        <v/>
      </c>
      <c r="K872" s="21"/>
      <c r="L872" s="21"/>
      <c r="M872" s="21"/>
      <c r="N872" s="8" t="str">
        <f aca="false">IF(A872="","",IF(COUNTIFS(Reconcile!$I:$I,A872,Reconcile!$H:$H,"&gt;="&amp;(J872-0.01),Reconcile!$H:$H,"&lt;="&amp;(J872+0.01))&gt;0,"Yes","Not yet"))</f>
        <v/>
      </c>
      <c r="O872" s="21"/>
    </row>
    <row r="873" customFormat="false" ht="15" hidden="false" customHeight="false" outlineLevel="0" collapsed="false">
      <c r="A873" s="20"/>
      <c r="B873" s="21"/>
      <c r="C873" s="21"/>
      <c r="D873" s="21"/>
      <c r="E873" s="21"/>
      <c r="F873" s="22"/>
      <c r="G873" s="20"/>
      <c r="H873" s="23"/>
      <c r="I873" s="24"/>
      <c r="J873" s="14" t="str">
        <f aca="false">IF(C873="","",-E873*H873*IF(OR(B873="Sell call",B873="Buy to close",B873="Expired",B873="Assigned"),100,1)-I873)</f>
        <v/>
      </c>
      <c r="K873" s="21"/>
      <c r="L873" s="21"/>
      <c r="M873" s="21"/>
      <c r="N873" s="8" t="str">
        <f aca="false">IF(A873="","",IF(COUNTIFS(Reconcile!$I:$I,A873,Reconcile!$H:$H,"&gt;="&amp;(J873-0.01),Reconcile!$H:$H,"&lt;="&amp;(J873+0.01))&gt;0,"Yes","Not yet"))</f>
        <v/>
      </c>
      <c r="O873" s="21"/>
    </row>
    <row r="874" customFormat="false" ht="15" hidden="false" customHeight="false" outlineLevel="0" collapsed="false">
      <c r="A874" s="20"/>
      <c r="B874" s="21"/>
      <c r="C874" s="21"/>
      <c r="D874" s="21"/>
      <c r="E874" s="21"/>
      <c r="F874" s="22"/>
      <c r="G874" s="20"/>
      <c r="H874" s="23"/>
      <c r="I874" s="24"/>
      <c r="J874" s="14" t="str">
        <f aca="false">IF(C874="","",-E874*H874*IF(OR(B874="Sell call",B874="Buy to close",B874="Expired",B874="Assigned"),100,1)-I874)</f>
        <v/>
      </c>
      <c r="K874" s="21"/>
      <c r="L874" s="21"/>
      <c r="M874" s="21"/>
      <c r="N874" s="8" t="str">
        <f aca="false">IF(A874="","",IF(COUNTIFS(Reconcile!$I:$I,A874,Reconcile!$H:$H,"&gt;="&amp;(J874-0.01),Reconcile!$H:$H,"&lt;="&amp;(J874+0.01))&gt;0,"Yes","Not yet"))</f>
        <v/>
      </c>
      <c r="O874" s="21"/>
    </row>
    <row r="875" customFormat="false" ht="15" hidden="false" customHeight="false" outlineLevel="0" collapsed="false">
      <c r="A875" s="20"/>
      <c r="B875" s="21"/>
      <c r="C875" s="21"/>
      <c r="D875" s="21"/>
      <c r="E875" s="21"/>
      <c r="F875" s="22"/>
      <c r="G875" s="20"/>
      <c r="H875" s="23"/>
      <c r="I875" s="24"/>
      <c r="J875" s="14" t="str">
        <f aca="false">IF(C875="","",-E875*H875*IF(OR(B875="Sell call",B875="Buy to close",B875="Expired",B875="Assigned"),100,1)-I875)</f>
        <v/>
      </c>
      <c r="K875" s="21"/>
      <c r="L875" s="21"/>
      <c r="M875" s="21"/>
      <c r="N875" s="8" t="str">
        <f aca="false">IF(A875="","",IF(COUNTIFS(Reconcile!$I:$I,A875,Reconcile!$H:$H,"&gt;="&amp;(J875-0.01),Reconcile!$H:$H,"&lt;="&amp;(J875+0.01))&gt;0,"Yes","Not yet"))</f>
        <v/>
      </c>
      <c r="O875" s="21"/>
    </row>
    <row r="876" customFormat="false" ht="15" hidden="false" customHeight="false" outlineLevel="0" collapsed="false">
      <c r="A876" s="20"/>
      <c r="B876" s="21"/>
      <c r="C876" s="21"/>
      <c r="D876" s="21"/>
      <c r="E876" s="21"/>
      <c r="F876" s="22"/>
      <c r="G876" s="20"/>
      <c r="H876" s="23"/>
      <c r="I876" s="24"/>
      <c r="J876" s="14" t="str">
        <f aca="false">IF(C876="","",-E876*H876*IF(OR(B876="Sell call",B876="Buy to close",B876="Expired",B876="Assigned"),100,1)-I876)</f>
        <v/>
      </c>
      <c r="K876" s="21"/>
      <c r="L876" s="21"/>
      <c r="M876" s="21"/>
      <c r="N876" s="8" t="str">
        <f aca="false">IF(A876="","",IF(COUNTIFS(Reconcile!$I:$I,A876,Reconcile!$H:$H,"&gt;="&amp;(J876-0.01),Reconcile!$H:$H,"&lt;="&amp;(J876+0.01))&gt;0,"Yes","Not yet"))</f>
        <v/>
      </c>
      <c r="O876" s="21"/>
    </row>
    <row r="877" customFormat="false" ht="15" hidden="false" customHeight="false" outlineLevel="0" collapsed="false">
      <c r="A877" s="20"/>
      <c r="B877" s="21"/>
      <c r="C877" s="21"/>
      <c r="D877" s="21"/>
      <c r="E877" s="21"/>
      <c r="F877" s="22"/>
      <c r="G877" s="20"/>
      <c r="H877" s="23"/>
      <c r="I877" s="24"/>
      <c r="J877" s="14" t="str">
        <f aca="false">IF(C877="","",-E877*H877*IF(OR(B877="Sell call",B877="Buy to close",B877="Expired",B877="Assigned"),100,1)-I877)</f>
        <v/>
      </c>
      <c r="K877" s="21"/>
      <c r="L877" s="21"/>
      <c r="M877" s="21"/>
      <c r="N877" s="8" t="str">
        <f aca="false">IF(A877="","",IF(COUNTIFS(Reconcile!$I:$I,A877,Reconcile!$H:$H,"&gt;="&amp;(J877-0.01),Reconcile!$H:$H,"&lt;="&amp;(J877+0.01))&gt;0,"Yes","Not yet"))</f>
        <v/>
      </c>
      <c r="O877" s="21"/>
    </row>
    <row r="878" customFormat="false" ht="15" hidden="false" customHeight="false" outlineLevel="0" collapsed="false">
      <c r="A878" s="20"/>
      <c r="B878" s="21"/>
      <c r="C878" s="21"/>
      <c r="D878" s="21"/>
      <c r="E878" s="21"/>
      <c r="F878" s="22"/>
      <c r="G878" s="20"/>
      <c r="H878" s="23"/>
      <c r="I878" s="24"/>
      <c r="J878" s="14" t="str">
        <f aca="false">IF(C878="","",-E878*H878*IF(OR(B878="Sell call",B878="Buy to close",B878="Expired",B878="Assigned"),100,1)-I878)</f>
        <v/>
      </c>
      <c r="K878" s="21"/>
      <c r="L878" s="21"/>
      <c r="M878" s="21"/>
      <c r="N878" s="8" t="str">
        <f aca="false">IF(A878="","",IF(COUNTIFS(Reconcile!$I:$I,A878,Reconcile!$H:$H,"&gt;="&amp;(J878-0.01),Reconcile!$H:$H,"&lt;="&amp;(J878+0.01))&gt;0,"Yes","Not yet"))</f>
        <v/>
      </c>
      <c r="O878" s="21"/>
    </row>
    <row r="879" customFormat="false" ht="15" hidden="false" customHeight="false" outlineLevel="0" collapsed="false">
      <c r="A879" s="20"/>
      <c r="B879" s="21"/>
      <c r="C879" s="21"/>
      <c r="D879" s="21"/>
      <c r="E879" s="21"/>
      <c r="F879" s="22"/>
      <c r="G879" s="20"/>
      <c r="H879" s="23"/>
      <c r="I879" s="24"/>
      <c r="J879" s="14" t="str">
        <f aca="false">IF(C879="","",-E879*H879*IF(OR(B879="Sell call",B879="Buy to close",B879="Expired",B879="Assigned"),100,1)-I879)</f>
        <v/>
      </c>
      <c r="K879" s="21"/>
      <c r="L879" s="21"/>
      <c r="M879" s="21"/>
      <c r="N879" s="8" t="str">
        <f aca="false">IF(A879="","",IF(COUNTIFS(Reconcile!$I:$I,A879,Reconcile!$H:$H,"&gt;="&amp;(J879-0.01),Reconcile!$H:$H,"&lt;="&amp;(J879+0.01))&gt;0,"Yes","Not yet"))</f>
        <v/>
      </c>
      <c r="O879" s="21"/>
    </row>
    <row r="880" customFormat="false" ht="15" hidden="false" customHeight="false" outlineLevel="0" collapsed="false">
      <c r="A880" s="20"/>
      <c r="B880" s="21"/>
      <c r="C880" s="21"/>
      <c r="D880" s="21"/>
      <c r="E880" s="21"/>
      <c r="F880" s="22"/>
      <c r="G880" s="20"/>
      <c r="H880" s="23"/>
      <c r="I880" s="24"/>
      <c r="J880" s="14" t="str">
        <f aca="false">IF(C880="","",-E880*H880*IF(OR(B880="Sell call",B880="Buy to close",B880="Expired",B880="Assigned"),100,1)-I880)</f>
        <v/>
      </c>
      <c r="K880" s="21"/>
      <c r="L880" s="21"/>
      <c r="M880" s="21"/>
      <c r="N880" s="8" t="str">
        <f aca="false">IF(A880="","",IF(COUNTIFS(Reconcile!$I:$I,A880,Reconcile!$H:$H,"&gt;="&amp;(J880-0.01),Reconcile!$H:$H,"&lt;="&amp;(J880+0.01))&gt;0,"Yes","Not yet"))</f>
        <v/>
      </c>
      <c r="O880" s="21"/>
    </row>
    <row r="881" customFormat="false" ht="15" hidden="false" customHeight="false" outlineLevel="0" collapsed="false">
      <c r="A881" s="20"/>
      <c r="B881" s="21"/>
      <c r="C881" s="21"/>
      <c r="D881" s="21"/>
      <c r="E881" s="21"/>
      <c r="F881" s="22"/>
      <c r="G881" s="20"/>
      <c r="H881" s="23"/>
      <c r="I881" s="24"/>
      <c r="J881" s="14" t="str">
        <f aca="false">IF(C881="","",-E881*H881*IF(OR(B881="Sell call",B881="Buy to close",B881="Expired",B881="Assigned"),100,1)-I881)</f>
        <v/>
      </c>
      <c r="K881" s="21"/>
      <c r="L881" s="21"/>
      <c r="M881" s="21"/>
      <c r="N881" s="8" t="str">
        <f aca="false">IF(A881="","",IF(COUNTIFS(Reconcile!$I:$I,A881,Reconcile!$H:$H,"&gt;="&amp;(J881-0.01),Reconcile!$H:$H,"&lt;="&amp;(J881+0.01))&gt;0,"Yes","Not yet"))</f>
        <v/>
      </c>
      <c r="O881" s="21"/>
    </row>
    <row r="882" customFormat="false" ht="15" hidden="false" customHeight="false" outlineLevel="0" collapsed="false">
      <c r="A882" s="20"/>
      <c r="B882" s="21"/>
      <c r="C882" s="21"/>
      <c r="D882" s="21"/>
      <c r="E882" s="21"/>
      <c r="F882" s="22"/>
      <c r="G882" s="20"/>
      <c r="H882" s="23"/>
      <c r="I882" s="24"/>
      <c r="J882" s="14" t="str">
        <f aca="false">IF(C882="","",-E882*H882*IF(OR(B882="Sell call",B882="Buy to close",B882="Expired",B882="Assigned"),100,1)-I882)</f>
        <v/>
      </c>
      <c r="K882" s="21"/>
      <c r="L882" s="21"/>
      <c r="M882" s="21"/>
      <c r="N882" s="8" t="str">
        <f aca="false">IF(A882="","",IF(COUNTIFS(Reconcile!$I:$I,A882,Reconcile!$H:$H,"&gt;="&amp;(J882-0.01),Reconcile!$H:$H,"&lt;="&amp;(J882+0.01))&gt;0,"Yes","Not yet"))</f>
        <v/>
      </c>
      <c r="O882" s="21"/>
    </row>
    <row r="883" customFormat="false" ht="15" hidden="false" customHeight="false" outlineLevel="0" collapsed="false">
      <c r="A883" s="20"/>
      <c r="B883" s="21"/>
      <c r="C883" s="21"/>
      <c r="D883" s="21"/>
      <c r="E883" s="21"/>
      <c r="F883" s="22"/>
      <c r="G883" s="20"/>
      <c r="H883" s="23"/>
      <c r="I883" s="24"/>
      <c r="J883" s="14" t="str">
        <f aca="false">IF(C883="","",-E883*H883*IF(OR(B883="Sell call",B883="Buy to close",B883="Expired",B883="Assigned"),100,1)-I883)</f>
        <v/>
      </c>
      <c r="K883" s="21"/>
      <c r="L883" s="21"/>
      <c r="M883" s="21"/>
      <c r="N883" s="8" t="str">
        <f aca="false">IF(A883="","",IF(COUNTIFS(Reconcile!$I:$I,A883,Reconcile!$H:$H,"&gt;="&amp;(J883-0.01),Reconcile!$H:$H,"&lt;="&amp;(J883+0.01))&gt;0,"Yes","Not yet"))</f>
        <v/>
      </c>
      <c r="O883" s="21"/>
    </row>
    <row r="884" customFormat="false" ht="15" hidden="false" customHeight="false" outlineLevel="0" collapsed="false">
      <c r="A884" s="20"/>
      <c r="B884" s="21"/>
      <c r="C884" s="21"/>
      <c r="D884" s="21"/>
      <c r="E884" s="21"/>
      <c r="F884" s="22"/>
      <c r="G884" s="20"/>
      <c r="H884" s="23"/>
      <c r="I884" s="24"/>
      <c r="J884" s="14" t="str">
        <f aca="false">IF(C884="","",-E884*H884*IF(OR(B884="Sell call",B884="Buy to close",B884="Expired",B884="Assigned"),100,1)-I884)</f>
        <v/>
      </c>
      <c r="K884" s="21"/>
      <c r="L884" s="21"/>
      <c r="M884" s="21"/>
      <c r="N884" s="8" t="str">
        <f aca="false">IF(A884="","",IF(COUNTIFS(Reconcile!$I:$I,A884,Reconcile!$H:$H,"&gt;="&amp;(J884-0.01),Reconcile!$H:$H,"&lt;="&amp;(J884+0.01))&gt;0,"Yes","Not yet"))</f>
        <v/>
      </c>
      <c r="O884" s="21"/>
    </row>
    <row r="885" customFormat="false" ht="15" hidden="false" customHeight="false" outlineLevel="0" collapsed="false">
      <c r="A885" s="20"/>
      <c r="B885" s="21"/>
      <c r="C885" s="21"/>
      <c r="D885" s="21"/>
      <c r="E885" s="21"/>
      <c r="F885" s="22"/>
      <c r="G885" s="20"/>
      <c r="H885" s="23"/>
      <c r="I885" s="24"/>
      <c r="J885" s="14" t="str">
        <f aca="false">IF(C885="","",-E885*H885*IF(OR(B885="Sell call",B885="Buy to close",B885="Expired",B885="Assigned"),100,1)-I885)</f>
        <v/>
      </c>
      <c r="K885" s="21"/>
      <c r="L885" s="21"/>
      <c r="M885" s="21"/>
      <c r="N885" s="8" t="str">
        <f aca="false">IF(A885="","",IF(COUNTIFS(Reconcile!$I:$I,A885,Reconcile!$H:$H,"&gt;="&amp;(J885-0.01),Reconcile!$H:$H,"&lt;="&amp;(J885+0.01))&gt;0,"Yes","Not yet"))</f>
        <v/>
      </c>
      <c r="O885" s="21"/>
    </row>
    <row r="886" customFormat="false" ht="15" hidden="false" customHeight="false" outlineLevel="0" collapsed="false">
      <c r="A886" s="20"/>
      <c r="B886" s="21"/>
      <c r="C886" s="21"/>
      <c r="D886" s="21"/>
      <c r="E886" s="21"/>
      <c r="F886" s="22"/>
      <c r="G886" s="20"/>
      <c r="H886" s="23"/>
      <c r="I886" s="24"/>
      <c r="J886" s="14" t="str">
        <f aca="false">IF(C886="","",-E886*H886*IF(OR(B886="Sell call",B886="Buy to close",B886="Expired",B886="Assigned"),100,1)-I886)</f>
        <v/>
      </c>
      <c r="K886" s="21"/>
      <c r="L886" s="21"/>
      <c r="M886" s="21"/>
      <c r="N886" s="8" t="str">
        <f aca="false">IF(A886="","",IF(COUNTIFS(Reconcile!$I:$I,A886,Reconcile!$H:$H,"&gt;="&amp;(J886-0.01),Reconcile!$H:$H,"&lt;="&amp;(J886+0.01))&gt;0,"Yes","Not yet"))</f>
        <v/>
      </c>
      <c r="O886" s="21"/>
    </row>
    <row r="887" customFormat="false" ht="15" hidden="false" customHeight="false" outlineLevel="0" collapsed="false">
      <c r="A887" s="20"/>
      <c r="B887" s="21"/>
      <c r="C887" s="21"/>
      <c r="D887" s="21"/>
      <c r="E887" s="21"/>
      <c r="F887" s="22"/>
      <c r="G887" s="20"/>
      <c r="H887" s="23"/>
      <c r="I887" s="24"/>
      <c r="J887" s="14" t="str">
        <f aca="false">IF(C887="","",-E887*H887*IF(OR(B887="Sell call",B887="Buy to close",B887="Expired",B887="Assigned"),100,1)-I887)</f>
        <v/>
      </c>
      <c r="K887" s="21"/>
      <c r="L887" s="21"/>
      <c r="M887" s="21"/>
      <c r="N887" s="8" t="str">
        <f aca="false">IF(A887="","",IF(COUNTIFS(Reconcile!$I:$I,A887,Reconcile!$H:$H,"&gt;="&amp;(J887-0.01),Reconcile!$H:$H,"&lt;="&amp;(J887+0.01))&gt;0,"Yes","Not yet"))</f>
        <v/>
      </c>
      <c r="O887" s="21"/>
    </row>
    <row r="888" customFormat="false" ht="15" hidden="false" customHeight="false" outlineLevel="0" collapsed="false">
      <c r="A888" s="20"/>
      <c r="B888" s="21"/>
      <c r="C888" s="21"/>
      <c r="D888" s="21"/>
      <c r="E888" s="21"/>
      <c r="F888" s="22"/>
      <c r="G888" s="20"/>
      <c r="H888" s="23"/>
      <c r="I888" s="24"/>
      <c r="J888" s="14" t="str">
        <f aca="false">IF(C888="","",-E888*H888*IF(OR(B888="Sell call",B888="Buy to close",B888="Expired",B888="Assigned"),100,1)-I888)</f>
        <v/>
      </c>
      <c r="K888" s="21"/>
      <c r="L888" s="21"/>
      <c r="M888" s="21"/>
      <c r="N888" s="8" t="str">
        <f aca="false">IF(A888="","",IF(COUNTIFS(Reconcile!$I:$I,A888,Reconcile!$H:$H,"&gt;="&amp;(J888-0.01),Reconcile!$H:$H,"&lt;="&amp;(J888+0.01))&gt;0,"Yes","Not yet"))</f>
        <v/>
      </c>
      <c r="O888" s="21"/>
    </row>
    <row r="889" customFormat="false" ht="15" hidden="false" customHeight="false" outlineLevel="0" collapsed="false">
      <c r="A889" s="20"/>
      <c r="B889" s="21"/>
      <c r="C889" s="21"/>
      <c r="D889" s="21"/>
      <c r="E889" s="21"/>
      <c r="F889" s="22"/>
      <c r="G889" s="20"/>
      <c r="H889" s="23"/>
      <c r="I889" s="24"/>
      <c r="J889" s="14" t="str">
        <f aca="false">IF(C889="","",-E889*H889*IF(OR(B889="Sell call",B889="Buy to close",B889="Expired",B889="Assigned"),100,1)-I889)</f>
        <v/>
      </c>
      <c r="K889" s="21"/>
      <c r="L889" s="21"/>
      <c r="M889" s="21"/>
      <c r="N889" s="8" t="str">
        <f aca="false">IF(A889="","",IF(COUNTIFS(Reconcile!$I:$I,A889,Reconcile!$H:$H,"&gt;="&amp;(J889-0.01),Reconcile!$H:$H,"&lt;="&amp;(J889+0.01))&gt;0,"Yes","Not yet"))</f>
        <v/>
      </c>
      <c r="O889" s="21"/>
    </row>
    <row r="890" customFormat="false" ht="15" hidden="false" customHeight="false" outlineLevel="0" collapsed="false">
      <c r="A890" s="20"/>
      <c r="B890" s="21"/>
      <c r="C890" s="21"/>
      <c r="D890" s="21"/>
      <c r="E890" s="21"/>
      <c r="F890" s="22"/>
      <c r="G890" s="20"/>
      <c r="H890" s="23"/>
      <c r="I890" s="24"/>
      <c r="J890" s="14" t="str">
        <f aca="false">IF(C890="","",-E890*H890*IF(OR(B890="Sell call",B890="Buy to close",B890="Expired",B890="Assigned"),100,1)-I890)</f>
        <v/>
      </c>
      <c r="K890" s="21"/>
      <c r="L890" s="21"/>
      <c r="M890" s="21"/>
      <c r="N890" s="8" t="str">
        <f aca="false">IF(A890="","",IF(COUNTIFS(Reconcile!$I:$I,A890,Reconcile!$H:$H,"&gt;="&amp;(J890-0.01),Reconcile!$H:$H,"&lt;="&amp;(J890+0.01))&gt;0,"Yes","Not yet"))</f>
        <v/>
      </c>
      <c r="O890" s="21"/>
    </row>
    <row r="891" customFormat="false" ht="15" hidden="false" customHeight="false" outlineLevel="0" collapsed="false">
      <c r="A891" s="20"/>
      <c r="B891" s="21"/>
      <c r="C891" s="21"/>
      <c r="D891" s="21"/>
      <c r="E891" s="21"/>
      <c r="F891" s="22"/>
      <c r="G891" s="20"/>
      <c r="H891" s="23"/>
      <c r="I891" s="24"/>
      <c r="J891" s="14" t="str">
        <f aca="false">IF(C891="","",-E891*H891*IF(OR(B891="Sell call",B891="Buy to close",B891="Expired",B891="Assigned"),100,1)-I891)</f>
        <v/>
      </c>
      <c r="K891" s="21"/>
      <c r="L891" s="21"/>
      <c r="M891" s="21"/>
      <c r="N891" s="8" t="str">
        <f aca="false">IF(A891="","",IF(COUNTIFS(Reconcile!$I:$I,A891,Reconcile!$H:$H,"&gt;="&amp;(J891-0.01),Reconcile!$H:$H,"&lt;="&amp;(J891+0.01))&gt;0,"Yes","Not yet"))</f>
        <v/>
      </c>
      <c r="O891" s="21"/>
    </row>
    <row r="892" customFormat="false" ht="15" hidden="false" customHeight="false" outlineLevel="0" collapsed="false">
      <c r="A892" s="20"/>
      <c r="B892" s="21"/>
      <c r="C892" s="21"/>
      <c r="D892" s="21"/>
      <c r="E892" s="21"/>
      <c r="F892" s="22"/>
      <c r="G892" s="20"/>
      <c r="H892" s="23"/>
      <c r="I892" s="24"/>
      <c r="J892" s="14" t="str">
        <f aca="false">IF(C892="","",-E892*H892*IF(OR(B892="Sell call",B892="Buy to close",B892="Expired",B892="Assigned"),100,1)-I892)</f>
        <v/>
      </c>
      <c r="K892" s="21"/>
      <c r="L892" s="21"/>
      <c r="M892" s="21"/>
      <c r="N892" s="8" t="str">
        <f aca="false">IF(A892="","",IF(COUNTIFS(Reconcile!$I:$I,A892,Reconcile!$H:$H,"&gt;="&amp;(J892-0.01),Reconcile!$H:$H,"&lt;="&amp;(J892+0.01))&gt;0,"Yes","Not yet"))</f>
        <v/>
      </c>
      <c r="O892" s="21"/>
    </row>
    <row r="893" customFormat="false" ht="15" hidden="false" customHeight="false" outlineLevel="0" collapsed="false">
      <c r="A893" s="20"/>
      <c r="B893" s="21"/>
      <c r="C893" s="21"/>
      <c r="D893" s="21"/>
      <c r="E893" s="21"/>
      <c r="F893" s="22"/>
      <c r="G893" s="20"/>
      <c r="H893" s="23"/>
      <c r="I893" s="24"/>
      <c r="J893" s="14" t="str">
        <f aca="false">IF(C893="","",-E893*H893*IF(OR(B893="Sell call",B893="Buy to close",B893="Expired",B893="Assigned"),100,1)-I893)</f>
        <v/>
      </c>
      <c r="K893" s="21"/>
      <c r="L893" s="21"/>
      <c r="M893" s="21"/>
      <c r="N893" s="8" t="str">
        <f aca="false">IF(A893="","",IF(COUNTIFS(Reconcile!$I:$I,A893,Reconcile!$H:$H,"&gt;="&amp;(J893-0.01),Reconcile!$H:$H,"&lt;="&amp;(J893+0.01))&gt;0,"Yes","Not yet"))</f>
        <v/>
      </c>
      <c r="O893" s="21"/>
    </row>
    <row r="894" customFormat="false" ht="15" hidden="false" customHeight="false" outlineLevel="0" collapsed="false">
      <c r="A894" s="20"/>
      <c r="B894" s="21"/>
      <c r="C894" s="21"/>
      <c r="D894" s="21"/>
      <c r="E894" s="21"/>
      <c r="F894" s="22"/>
      <c r="G894" s="20"/>
      <c r="H894" s="23"/>
      <c r="I894" s="24"/>
      <c r="J894" s="14" t="str">
        <f aca="false">IF(C894="","",-E894*H894*IF(OR(B894="Sell call",B894="Buy to close",B894="Expired",B894="Assigned"),100,1)-I894)</f>
        <v/>
      </c>
      <c r="K894" s="21"/>
      <c r="L894" s="21"/>
      <c r="M894" s="21"/>
      <c r="N894" s="8" t="str">
        <f aca="false">IF(A894="","",IF(COUNTIFS(Reconcile!$I:$I,A894,Reconcile!$H:$H,"&gt;="&amp;(J894-0.01),Reconcile!$H:$H,"&lt;="&amp;(J894+0.01))&gt;0,"Yes","Not yet"))</f>
        <v/>
      </c>
      <c r="O894" s="21"/>
    </row>
    <row r="895" customFormat="false" ht="15" hidden="false" customHeight="false" outlineLevel="0" collapsed="false">
      <c r="A895" s="20"/>
      <c r="B895" s="21"/>
      <c r="C895" s="21"/>
      <c r="D895" s="21"/>
      <c r="E895" s="21"/>
      <c r="F895" s="22"/>
      <c r="G895" s="20"/>
      <c r="H895" s="23"/>
      <c r="I895" s="24"/>
      <c r="J895" s="14" t="str">
        <f aca="false">IF(C895="","",-E895*H895*IF(OR(B895="Sell call",B895="Buy to close",B895="Expired",B895="Assigned"),100,1)-I895)</f>
        <v/>
      </c>
      <c r="K895" s="21"/>
      <c r="L895" s="21"/>
      <c r="M895" s="21"/>
      <c r="N895" s="8" t="str">
        <f aca="false">IF(A895="","",IF(COUNTIFS(Reconcile!$I:$I,A895,Reconcile!$H:$H,"&gt;="&amp;(J895-0.01),Reconcile!$H:$H,"&lt;="&amp;(J895+0.01))&gt;0,"Yes","Not yet"))</f>
        <v/>
      </c>
      <c r="O895" s="21"/>
    </row>
    <row r="896" customFormat="false" ht="15" hidden="false" customHeight="false" outlineLevel="0" collapsed="false">
      <c r="A896" s="20"/>
      <c r="B896" s="21"/>
      <c r="C896" s="21"/>
      <c r="D896" s="21"/>
      <c r="E896" s="21"/>
      <c r="F896" s="22"/>
      <c r="G896" s="20"/>
      <c r="H896" s="23"/>
      <c r="I896" s="24"/>
      <c r="J896" s="14" t="str">
        <f aca="false">IF(C896="","",-E896*H896*IF(OR(B896="Sell call",B896="Buy to close",B896="Expired",B896="Assigned"),100,1)-I896)</f>
        <v/>
      </c>
      <c r="K896" s="21"/>
      <c r="L896" s="21"/>
      <c r="M896" s="21"/>
      <c r="N896" s="8" t="str">
        <f aca="false">IF(A896="","",IF(COUNTIFS(Reconcile!$I:$I,A896,Reconcile!$H:$H,"&gt;="&amp;(J896-0.01),Reconcile!$H:$H,"&lt;="&amp;(J896+0.01))&gt;0,"Yes","Not yet"))</f>
        <v/>
      </c>
      <c r="O896" s="21"/>
    </row>
    <row r="897" customFormat="false" ht="15" hidden="false" customHeight="false" outlineLevel="0" collapsed="false">
      <c r="A897" s="20"/>
      <c r="B897" s="21"/>
      <c r="C897" s="21"/>
      <c r="D897" s="21"/>
      <c r="E897" s="21"/>
      <c r="F897" s="22"/>
      <c r="G897" s="20"/>
      <c r="H897" s="23"/>
      <c r="I897" s="24"/>
      <c r="J897" s="14" t="str">
        <f aca="false">IF(C897="","",-E897*H897*IF(OR(B897="Sell call",B897="Buy to close",B897="Expired",B897="Assigned"),100,1)-I897)</f>
        <v/>
      </c>
      <c r="K897" s="21"/>
      <c r="L897" s="21"/>
      <c r="M897" s="21"/>
      <c r="N897" s="8" t="str">
        <f aca="false">IF(A897="","",IF(COUNTIFS(Reconcile!$I:$I,A897,Reconcile!$H:$H,"&gt;="&amp;(J897-0.01),Reconcile!$H:$H,"&lt;="&amp;(J897+0.01))&gt;0,"Yes","Not yet"))</f>
        <v/>
      </c>
      <c r="O897" s="21"/>
    </row>
    <row r="898" customFormat="false" ht="15" hidden="false" customHeight="false" outlineLevel="0" collapsed="false">
      <c r="A898" s="20"/>
      <c r="B898" s="21"/>
      <c r="C898" s="21"/>
      <c r="D898" s="21"/>
      <c r="E898" s="21"/>
      <c r="F898" s="22"/>
      <c r="G898" s="20"/>
      <c r="H898" s="23"/>
      <c r="I898" s="24"/>
      <c r="J898" s="14" t="str">
        <f aca="false">IF(C898="","",-E898*H898*IF(OR(B898="Sell call",B898="Buy to close",B898="Expired",B898="Assigned"),100,1)-I898)</f>
        <v/>
      </c>
      <c r="K898" s="21"/>
      <c r="L898" s="21"/>
      <c r="M898" s="21"/>
      <c r="N898" s="8" t="str">
        <f aca="false">IF(A898="","",IF(COUNTIFS(Reconcile!$I:$I,A898,Reconcile!$H:$H,"&gt;="&amp;(J898-0.01),Reconcile!$H:$H,"&lt;="&amp;(J898+0.01))&gt;0,"Yes","Not yet"))</f>
        <v/>
      </c>
      <c r="O898" s="21"/>
    </row>
    <row r="899" customFormat="false" ht="15" hidden="false" customHeight="false" outlineLevel="0" collapsed="false">
      <c r="A899" s="20"/>
      <c r="B899" s="21"/>
      <c r="C899" s="21"/>
      <c r="D899" s="21"/>
      <c r="E899" s="21"/>
      <c r="F899" s="22"/>
      <c r="G899" s="20"/>
      <c r="H899" s="23"/>
      <c r="I899" s="24"/>
      <c r="J899" s="14" t="str">
        <f aca="false">IF(C899="","",-E899*H899*IF(OR(B899="Sell call",B899="Buy to close",B899="Expired",B899="Assigned"),100,1)-I899)</f>
        <v/>
      </c>
      <c r="K899" s="21"/>
      <c r="L899" s="21"/>
      <c r="M899" s="21"/>
      <c r="N899" s="8" t="str">
        <f aca="false">IF(A899="","",IF(COUNTIFS(Reconcile!$I:$I,A899,Reconcile!$H:$H,"&gt;="&amp;(J899-0.01),Reconcile!$H:$H,"&lt;="&amp;(J899+0.01))&gt;0,"Yes","Not yet"))</f>
        <v/>
      </c>
      <c r="O899" s="21"/>
    </row>
    <row r="900" customFormat="false" ht="15" hidden="false" customHeight="false" outlineLevel="0" collapsed="false">
      <c r="A900" s="20"/>
      <c r="B900" s="21"/>
      <c r="C900" s="21"/>
      <c r="D900" s="21"/>
      <c r="E900" s="21"/>
      <c r="F900" s="22"/>
      <c r="G900" s="20"/>
      <c r="H900" s="23"/>
      <c r="I900" s="24"/>
      <c r="J900" s="14" t="str">
        <f aca="false">IF(C900="","",-E900*H900*IF(OR(B900="Sell call",B900="Buy to close",B900="Expired",B900="Assigned"),100,1)-I900)</f>
        <v/>
      </c>
      <c r="K900" s="21"/>
      <c r="L900" s="21"/>
      <c r="M900" s="21"/>
      <c r="N900" s="8" t="str">
        <f aca="false">IF(A900="","",IF(COUNTIFS(Reconcile!$I:$I,A900,Reconcile!$H:$H,"&gt;="&amp;(J900-0.01),Reconcile!$H:$H,"&lt;="&amp;(J900+0.01))&gt;0,"Yes","Not yet"))</f>
        <v/>
      </c>
      <c r="O900" s="21"/>
    </row>
    <row r="901" customFormat="false" ht="15" hidden="false" customHeight="false" outlineLevel="0" collapsed="false">
      <c r="A901" s="20"/>
      <c r="B901" s="21"/>
      <c r="C901" s="21"/>
      <c r="D901" s="21"/>
      <c r="E901" s="21"/>
      <c r="F901" s="22"/>
      <c r="G901" s="20"/>
      <c r="H901" s="23"/>
      <c r="I901" s="24"/>
      <c r="J901" s="14" t="str">
        <f aca="false">IF(C901="","",-E901*H901*IF(OR(B901="Sell call",B901="Buy to close",B901="Expired",B901="Assigned"),100,1)-I901)</f>
        <v/>
      </c>
      <c r="K901" s="21"/>
      <c r="L901" s="21"/>
      <c r="M901" s="21"/>
      <c r="N901" s="8" t="str">
        <f aca="false">IF(A901="","",IF(COUNTIFS(Reconcile!$I:$I,A901,Reconcile!$H:$H,"&gt;="&amp;(J901-0.01),Reconcile!$H:$H,"&lt;="&amp;(J901+0.01))&gt;0,"Yes","Not yet"))</f>
        <v/>
      </c>
      <c r="O901" s="21"/>
    </row>
    <row r="902" customFormat="false" ht="15" hidden="false" customHeight="false" outlineLevel="0" collapsed="false">
      <c r="A902" s="20"/>
      <c r="B902" s="21"/>
      <c r="C902" s="21"/>
      <c r="D902" s="21"/>
      <c r="E902" s="21"/>
      <c r="F902" s="22"/>
      <c r="G902" s="20"/>
      <c r="H902" s="23"/>
      <c r="I902" s="24"/>
      <c r="J902" s="14" t="str">
        <f aca="false">IF(C902="","",-E902*H902*IF(OR(B902="Sell call",B902="Buy to close",B902="Expired",B902="Assigned"),100,1)-I902)</f>
        <v/>
      </c>
      <c r="K902" s="21"/>
      <c r="L902" s="21"/>
      <c r="M902" s="21"/>
      <c r="N902" s="8" t="str">
        <f aca="false">IF(A902="","",IF(COUNTIFS(Reconcile!$I:$I,A902,Reconcile!$H:$H,"&gt;="&amp;(J902-0.01),Reconcile!$H:$H,"&lt;="&amp;(J902+0.01))&gt;0,"Yes","Not yet"))</f>
        <v/>
      </c>
      <c r="O902" s="21"/>
    </row>
    <row r="903" customFormat="false" ht="15" hidden="false" customHeight="false" outlineLevel="0" collapsed="false">
      <c r="A903" s="20"/>
      <c r="B903" s="21"/>
      <c r="C903" s="21"/>
      <c r="D903" s="21"/>
      <c r="E903" s="21"/>
      <c r="F903" s="22"/>
      <c r="G903" s="20"/>
      <c r="H903" s="23"/>
      <c r="I903" s="24"/>
      <c r="J903" s="14" t="str">
        <f aca="false">IF(C903="","",-E903*H903*IF(OR(B903="Sell call",B903="Buy to close",B903="Expired",B903="Assigned"),100,1)-I903)</f>
        <v/>
      </c>
      <c r="K903" s="21"/>
      <c r="L903" s="21"/>
      <c r="M903" s="21"/>
      <c r="N903" s="8" t="str">
        <f aca="false">IF(A903="","",IF(COUNTIFS(Reconcile!$I:$I,A903,Reconcile!$H:$H,"&gt;="&amp;(J903-0.01),Reconcile!$H:$H,"&lt;="&amp;(J903+0.01))&gt;0,"Yes","Not yet"))</f>
        <v/>
      </c>
      <c r="O903" s="21"/>
    </row>
    <row r="904" customFormat="false" ht="15" hidden="false" customHeight="false" outlineLevel="0" collapsed="false">
      <c r="A904" s="20"/>
      <c r="B904" s="21"/>
      <c r="C904" s="21"/>
      <c r="D904" s="21"/>
      <c r="E904" s="21"/>
      <c r="F904" s="22"/>
      <c r="G904" s="20"/>
      <c r="H904" s="23"/>
      <c r="I904" s="24"/>
      <c r="J904" s="14" t="str">
        <f aca="false">IF(C904="","",-E904*H904*IF(OR(B904="Sell call",B904="Buy to close",B904="Expired",B904="Assigned"),100,1)-I904)</f>
        <v/>
      </c>
      <c r="K904" s="21"/>
      <c r="L904" s="21"/>
      <c r="M904" s="21"/>
      <c r="N904" s="8" t="str">
        <f aca="false">IF(A904="","",IF(COUNTIFS(Reconcile!$I:$I,A904,Reconcile!$H:$H,"&gt;="&amp;(J904-0.01),Reconcile!$H:$H,"&lt;="&amp;(J904+0.01))&gt;0,"Yes","Not yet"))</f>
        <v/>
      </c>
      <c r="O904" s="21"/>
    </row>
    <row r="905" customFormat="false" ht="15" hidden="false" customHeight="false" outlineLevel="0" collapsed="false">
      <c r="A905" s="20"/>
      <c r="B905" s="21"/>
      <c r="C905" s="21"/>
      <c r="D905" s="21"/>
      <c r="E905" s="21"/>
      <c r="F905" s="22"/>
      <c r="G905" s="20"/>
      <c r="H905" s="23"/>
      <c r="I905" s="24"/>
      <c r="J905" s="14" t="str">
        <f aca="false">IF(C905="","",-E905*H905*IF(OR(B905="Sell call",B905="Buy to close",B905="Expired",B905="Assigned"),100,1)-I905)</f>
        <v/>
      </c>
      <c r="K905" s="21"/>
      <c r="L905" s="21"/>
      <c r="M905" s="21"/>
      <c r="N905" s="8" t="str">
        <f aca="false">IF(A905="","",IF(COUNTIFS(Reconcile!$I:$I,A905,Reconcile!$H:$H,"&gt;="&amp;(J905-0.01),Reconcile!$H:$H,"&lt;="&amp;(J905+0.01))&gt;0,"Yes","Not yet"))</f>
        <v/>
      </c>
      <c r="O905" s="21"/>
    </row>
    <row r="906" customFormat="false" ht="15" hidden="false" customHeight="false" outlineLevel="0" collapsed="false">
      <c r="A906" s="20"/>
      <c r="B906" s="21"/>
      <c r="C906" s="21"/>
      <c r="D906" s="21"/>
      <c r="E906" s="21"/>
      <c r="F906" s="22"/>
      <c r="G906" s="20"/>
      <c r="H906" s="23"/>
      <c r="I906" s="24"/>
      <c r="J906" s="14" t="str">
        <f aca="false">IF(C906="","",-E906*H906*IF(OR(B906="Sell call",B906="Buy to close",B906="Expired",B906="Assigned"),100,1)-I906)</f>
        <v/>
      </c>
      <c r="K906" s="21"/>
      <c r="L906" s="21"/>
      <c r="M906" s="21"/>
      <c r="N906" s="8" t="str">
        <f aca="false">IF(A906="","",IF(COUNTIFS(Reconcile!$I:$I,A906,Reconcile!$H:$H,"&gt;="&amp;(J906-0.01),Reconcile!$H:$H,"&lt;="&amp;(J906+0.01))&gt;0,"Yes","Not yet"))</f>
        <v/>
      </c>
      <c r="O906" s="21"/>
    </row>
    <row r="907" customFormat="false" ht="15" hidden="false" customHeight="false" outlineLevel="0" collapsed="false">
      <c r="A907" s="20"/>
      <c r="B907" s="21"/>
      <c r="C907" s="21"/>
      <c r="D907" s="21"/>
      <c r="E907" s="21"/>
      <c r="F907" s="22"/>
      <c r="G907" s="20"/>
      <c r="H907" s="23"/>
      <c r="I907" s="24"/>
      <c r="J907" s="14" t="str">
        <f aca="false">IF(C907="","",-E907*H907*IF(OR(B907="Sell call",B907="Buy to close",B907="Expired",B907="Assigned"),100,1)-I907)</f>
        <v/>
      </c>
      <c r="K907" s="21"/>
      <c r="L907" s="21"/>
      <c r="M907" s="21"/>
      <c r="N907" s="8" t="str">
        <f aca="false">IF(A907="","",IF(COUNTIFS(Reconcile!$I:$I,A907,Reconcile!$H:$H,"&gt;="&amp;(J907-0.01),Reconcile!$H:$H,"&lt;="&amp;(J907+0.01))&gt;0,"Yes","Not yet"))</f>
        <v/>
      </c>
      <c r="O907" s="21"/>
    </row>
    <row r="908" customFormat="false" ht="15" hidden="false" customHeight="false" outlineLevel="0" collapsed="false">
      <c r="A908" s="20"/>
      <c r="B908" s="21"/>
      <c r="C908" s="21"/>
      <c r="D908" s="21"/>
      <c r="E908" s="21"/>
      <c r="F908" s="22"/>
      <c r="G908" s="20"/>
      <c r="H908" s="23"/>
      <c r="I908" s="24"/>
      <c r="J908" s="14" t="str">
        <f aca="false">IF(C908="","",-E908*H908*IF(OR(B908="Sell call",B908="Buy to close",B908="Expired",B908="Assigned"),100,1)-I908)</f>
        <v/>
      </c>
      <c r="K908" s="21"/>
      <c r="L908" s="21"/>
      <c r="M908" s="21"/>
      <c r="N908" s="8" t="str">
        <f aca="false">IF(A908="","",IF(COUNTIFS(Reconcile!$I:$I,A908,Reconcile!$H:$H,"&gt;="&amp;(J908-0.01),Reconcile!$H:$H,"&lt;="&amp;(J908+0.01))&gt;0,"Yes","Not yet"))</f>
        <v/>
      </c>
      <c r="O908" s="21"/>
    </row>
    <row r="909" customFormat="false" ht="15" hidden="false" customHeight="false" outlineLevel="0" collapsed="false">
      <c r="A909" s="20"/>
      <c r="B909" s="21"/>
      <c r="C909" s="21"/>
      <c r="D909" s="21"/>
      <c r="E909" s="21"/>
      <c r="F909" s="22"/>
      <c r="G909" s="20"/>
      <c r="H909" s="23"/>
      <c r="I909" s="24"/>
      <c r="J909" s="14" t="str">
        <f aca="false">IF(C909="","",-E909*H909*IF(OR(B909="Sell call",B909="Buy to close",B909="Expired",B909="Assigned"),100,1)-I909)</f>
        <v/>
      </c>
      <c r="K909" s="21"/>
      <c r="L909" s="21"/>
      <c r="M909" s="21"/>
      <c r="N909" s="8" t="str">
        <f aca="false">IF(A909="","",IF(COUNTIFS(Reconcile!$I:$I,A909,Reconcile!$H:$H,"&gt;="&amp;(J909-0.01),Reconcile!$H:$H,"&lt;="&amp;(J909+0.01))&gt;0,"Yes","Not yet"))</f>
        <v/>
      </c>
      <c r="O909" s="21"/>
    </row>
    <row r="910" customFormat="false" ht="15" hidden="false" customHeight="false" outlineLevel="0" collapsed="false">
      <c r="A910" s="20"/>
      <c r="B910" s="21"/>
      <c r="C910" s="21"/>
      <c r="D910" s="21"/>
      <c r="E910" s="21"/>
      <c r="F910" s="22"/>
      <c r="G910" s="20"/>
      <c r="H910" s="23"/>
      <c r="I910" s="24"/>
      <c r="J910" s="14" t="str">
        <f aca="false">IF(C910="","",-E910*H910*IF(OR(B910="Sell call",B910="Buy to close",B910="Expired",B910="Assigned"),100,1)-I910)</f>
        <v/>
      </c>
      <c r="K910" s="21"/>
      <c r="L910" s="21"/>
      <c r="M910" s="21"/>
      <c r="N910" s="8" t="str">
        <f aca="false">IF(A910="","",IF(COUNTIFS(Reconcile!$I:$I,A910,Reconcile!$H:$H,"&gt;="&amp;(J910-0.01),Reconcile!$H:$H,"&lt;="&amp;(J910+0.01))&gt;0,"Yes","Not yet"))</f>
        <v/>
      </c>
      <c r="O910" s="21"/>
    </row>
    <row r="911" customFormat="false" ht="15" hidden="false" customHeight="false" outlineLevel="0" collapsed="false">
      <c r="A911" s="20"/>
      <c r="B911" s="21"/>
      <c r="C911" s="21"/>
      <c r="D911" s="21"/>
      <c r="E911" s="21"/>
      <c r="F911" s="22"/>
      <c r="G911" s="20"/>
      <c r="H911" s="23"/>
      <c r="I911" s="24"/>
      <c r="J911" s="14" t="str">
        <f aca="false">IF(C911="","",-E911*H911*IF(OR(B911="Sell call",B911="Buy to close",B911="Expired",B911="Assigned"),100,1)-I911)</f>
        <v/>
      </c>
      <c r="K911" s="21"/>
      <c r="L911" s="21"/>
      <c r="M911" s="21"/>
      <c r="N911" s="8" t="str">
        <f aca="false">IF(A911="","",IF(COUNTIFS(Reconcile!$I:$I,A911,Reconcile!$H:$H,"&gt;="&amp;(J911-0.01),Reconcile!$H:$H,"&lt;="&amp;(J911+0.01))&gt;0,"Yes","Not yet"))</f>
        <v/>
      </c>
      <c r="O911" s="21"/>
    </row>
    <row r="912" customFormat="false" ht="15" hidden="false" customHeight="false" outlineLevel="0" collapsed="false">
      <c r="A912" s="20"/>
      <c r="B912" s="21"/>
      <c r="C912" s="21"/>
      <c r="D912" s="21"/>
      <c r="E912" s="21"/>
      <c r="F912" s="22"/>
      <c r="G912" s="20"/>
      <c r="H912" s="23"/>
      <c r="I912" s="24"/>
      <c r="J912" s="14" t="str">
        <f aca="false">IF(C912="","",-E912*H912*IF(OR(B912="Sell call",B912="Buy to close",B912="Expired",B912="Assigned"),100,1)-I912)</f>
        <v/>
      </c>
      <c r="K912" s="21"/>
      <c r="L912" s="21"/>
      <c r="M912" s="21"/>
      <c r="N912" s="8" t="str">
        <f aca="false">IF(A912="","",IF(COUNTIFS(Reconcile!$I:$I,A912,Reconcile!$H:$H,"&gt;="&amp;(J912-0.01),Reconcile!$H:$H,"&lt;="&amp;(J912+0.01))&gt;0,"Yes","Not yet"))</f>
        <v/>
      </c>
      <c r="O912" s="21"/>
    </row>
    <row r="913" customFormat="false" ht="15" hidden="false" customHeight="false" outlineLevel="0" collapsed="false">
      <c r="A913" s="20"/>
      <c r="B913" s="21"/>
      <c r="C913" s="21"/>
      <c r="D913" s="21"/>
      <c r="E913" s="21"/>
      <c r="F913" s="22"/>
      <c r="G913" s="20"/>
      <c r="H913" s="23"/>
      <c r="I913" s="24"/>
      <c r="J913" s="14" t="str">
        <f aca="false">IF(C913="","",-E913*H913*IF(OR(B913="Sell call",B913="Buy to close",B913="Expired",B913="Assigned"),100,1)-I913)</f>
        <v/>
      </c>
      <c r="K913" s="21"/>
      <c r="L913" s="21"/>
      <c r="M913" s="21"/>
      <c r="N913" s="8" t="str">
        <f aca="false">IF(A913="","",IF(COUNTIFS(Reconcile!$I:$I,A913,Reconcile!$H:$H,"&gt;="&amp;(J913-0.01),Reconcile!$H:$H,"&lt;="&amp;(J913+0.01))&gt;0,"Yes","Not yet"))</f>
        <v/>
      </c>
      <c r="O913" s="21"/>
    </row>
    <row r="914" customFormat="false" ht="15" hidden="false" customHeight="false" outlineLevel="0" collapsed="false">
      <c r="A914" s="20"/>
      <c r="B914" s="21"/>
      <c r="C914" s="21"/>
      <c r="D914" s="21"/>
      <c r="E914" s="21"/>
      <c r="F914" s="22"/>
      <c r="G914" s="20"/>
      <c r="H914" s="23"/>
      <c r="I914" s="24"/>
      <c r="J914" s="14" t="str">
        <f aca="false">IF(C914="","",-E914*H914*IF(OR(B914="Sell call",B914="Buy to close",B914="Expired",B914="Assigned"),100,1)-I914)</f>
        <v/>
      </c>
      <c r="K914" s="21"/>
      <c r="L914" s="21"/>
      <c r="M914" s="21"/>
      <c r="N914" s="8" t="str">
        <f aca="false">IF(A914="","",IF(COUNTIFS(Reconcile!$I:$I,A914,Reconcile!$H:$H,"&gt;="&amp;(J914-0.01),Reconcile!$H:$H,"&lt;="&amp;(J914+0.01))&gt;0,"Yes","Not yet"))</f>
        <v/>
      </c>
      <c r="O914" s="21"/>
    </row>
    <row r="915" customFormat="false" ht="15" hidden="false" customHeight="false" outlineLevel="0" collapsed="false">
      <c r="A915" s="20"/>
      <c r="B915" s="21"/>
      <c r="C915" s="21"/>
      <c r="D915" s="21"/>
      <c r="E915" s="21"/>
      <c r="F915" s="22"/>
      <c r="G915" s="20"/>
      <c r="H915" s="23"/>
      <c r="I915" s="24"/>
      <c r="J915" s="14" t="str">
        <f aca="false">IF(C915="","",-E915*H915*IF(OR(B915="Sell call",B915="Buy to close",B915="Expired",B915="Assigned"),100,1)-I915)</f>
        <v/>
      </c>
      <c r="K915" s="21"/>
      <c r="L915" s="21"/>
      <c r="M915" s="21"/>
      <c r="N915" s="8" t="str">
        <f aca="false">IF(A915="","",IF(COUNTIFS(Reconcile!$I:$I,A915,Reconcile!$H:$H,"&gt;="&amp;(J915-0.01),Reconcile!$H:$H,"&lt;="&amp;(J915+0.01))&gt;0,"Yes","Not yet"))</f>
        <v/>
      </c>
      <c r="O915" s="21"/>
    </row>
    <row r="916" customFormat="false" ht="15" hidden="false" customHeight="false" outlineLevel="0" collapsed="false">
      <c r="A916" s="20"/>
      <c r="B916" s="21"/>
      <c r="C916" s="21"/>
      <c r="D916" s="21"/>
      <c r="E916" s="21"/>
      <c r="F916" s="22"/>
      <c r="G916" s="20"/>
      <c r="H916" s="23"/>
      <c r="I916" s="24"/>
      <c r="J916" s="14" t="str">
        <f aca="false">IF(C916="","",-E916*H916*IF(OR(B916="Sell call",B916="Buy to close",B916="Expired",B916="Assigned"),100,1)-I916)</f>
        <v/>
      </c>
      <c r="K916" s="21"/>
      <c r="L916" s="21"/>
      <c r="M916" s="21"/>
      <c r="N916" s="8" t="str">
        <f aca="false">IF(A916="","",IF(COUNTIFS(Reconcile!$I:$I,A916,Reconcile!$H:$H,"&gt;="&amp;(J916-0.01),Reconcile!$H:$H,"&lt;="&amp;(J916+0.01))&gt;0,"Yes","Not yet"))</f>
        <v/>
      </c>
      <c r="O916" s="21"/>
    </row>
    <row r="917" customFormat="false" ht="15" hidden="false" customHeight="false" outlineLevel="0" collapsed="false">
      <c r="A917" s="20"/>
      <c r="B917" s="21"/>
      <c r="C917" s="21"/>
      <c r="D917" s="21"/>
      <c r="E917" s="21"/>
      <c r="F917" s="22"/>
      <c r="G917" s="20"/>
      <c r="H917" s="23"/>
      <c r="I917" s="24"/>
      <c r="J917" s="14" t="str">
        <f aca="false">IF(C917="","",-E917*H917*IF(OR(B917="Sell call",B917="Buy to close",B917="Expired",B917="Assigned"),100,1)-I917)</f>
        <v/>
      </c>
      <c r="K917" s="21"/>
      <c r="L917" s="21"/>
      <c r="M917" s="21"/>
      <c r="N917" s="8" t="str">
        <f aca="false">IF(A917="","",IF(COUNTIFS(Reconcile!$I:$I,A917,Reconcile!$H:$H,"&gt;="&amp;(J917-0.01),Reconcile!$H:$H,"&lt;="&amp;(J917+0.01))&gt;0,"Yes","Not yet"))</f>
        <v/>
      </c>
      <c r="O917" s="21"/>
    </row>
    <row r="918" customFormat="false" ht="15" hidden="false" customHeight="false" outlineLevel="0" collapsed="false">
      <c r="A918" s="20"/>
      <c r="B918" s="21"/>
      <c r="C918" s="21"/>
      <c r="D918" s="21"/>
      <c r="E918" s="21"/>
      <c r="F918" s="22"/>
      <c r="G918" s="20"/>
      <c r="H918" s="23"/>
      <c r="I918" s="24"/>
      <c r="J918" s="14" t="str">
        <f aca="false">IF(C918="","",-E918*H918*IF(OR(B918="Sell call",B918="Buy to close",B918="Expired",B918="Assigned"),100,1)-I918)</f>
        <v/>
      </c>
      <c r="K918" s="21"/>
      <c r="L918" s="21"/>
      <c r="M918" s="21"/>
      <c r="N918" s="8" t="str">
        <f aca="false">IF(A918="","",IF(COUNTIFS(Reconcile!$I:$I,A918,Reconcile!$H:$H,"&gt;="&amp;(J918-0.01),Reconcile!$H:$H,"&lt;="&amp;(J918+0.01))&gt;0,"Yes","Not yet"))</f>
        <v/>
      </c>
      <c r="O918" s="21"/>
    </row>
    <row r="919" customFormat="false" ht="15" hidden="false" customHeight="false" outlineLevel="0" collapsed="false">
      <c r="A919" s="20"/>
      <c r="B919" s="21"/>
      <c r="C919" s="21"/>
      <c r="D919" s="21"/>
      <c r="E919" s="21"/>
      <c r="F919" s="22"/>
      <c r="G919" s="20"/>
      <c r="H919" s="23"/>
      <c r="I919" s="24"/>
      <c r="J919" s="14" t="str">
        <f aca="false">IF(C919="","",-E919*H919*IF(OR(B919="Sell call",B919="Buy to close",B919="Expired",B919="Assigned"),100,1)-I919)</f>
        <v/>
      </c>
      <c r="K919" s="21"/>
      <c r="L919" s="21"/>
      <c r="M919" s="21"/>
      <c r="N919" s="8" t="str">
        <f aca="false">IF(A919="","",IF(COUNTIFS(Reconcile!$I:$I,A919,Reconcile!$H:$H,"&gt;="&amp;(J919-0.01),Reconcile!$H:$H,"&lt;="&amp;(J919+0.01))&gt;0,"Yes","Not yet"))</f>
        <v/>
      </c>
      <c r="O919" s="21"/>
    </row>
    <row r="920" customFormat="false" ht="15" hidden="false" customHeight="false" outlineLevel="0" collapsed="false">
      <c r="A920" s="20"/>
      <c r="B920" s="21"/>
      <c r="C920" s="21"/>
      <c r="D920" s="21"/>
      <c r="E920" s="21"/>
      <c r="F920" s="22"/>
      <c r="G920" s="20"/>
      <c r="H920" s="23"/>
      <c r="I920" s="24"/>
      <c r="J920" s="14" t="str">
        <f aca="false">IF(C920="","",-E920*H920*IF(OR(B920="Sell call",B920="Buy to close",B920="Expired",B920="Assigned"),100,1)-I920)</f>
        <v/>
      </c>
      <c r="K920" s="21"/>
      <c r="L920" s="21"/>
      <c r="M920" s="21"/>
      <c r="N920" s="8" t="str">
        <f aca="false">IF(A920="","",IF(COUNTIFS(Reconcile!$I:$I,A920,Reconcile!$H:$H,"&gt;="&amp;(J920-0.01),Reconcile!$H:$H,"&lt;="&amp;(J920+0.01))&gt;0,"Yes","Not yet"))</f>
        <v/>
      </c>
      <c r="O920" s="21"/>
    </row>
    <row r="921" customFormat="false" ht="15" hidden="false" customHeight="false" outlineLevel="0" collapsed="false">
      <c r="A921" s="20"/>
      <c r="B921" s="21"/>
      <c r="C921" s="21"/>
      <c r="D921" s="21"/>
      <c r="E921" s="21"/>
      <c r="F921" s="22"/>
      <c r="G921" s="20"/>
      <c r="H921" s="23"/>
      <c r="I921" s="24"/>
      <c r="J921" s="14" t="str">
        <f aca="false">IF(C921="","",-E921*H921*IF(OR(B921="Sell call",B921="Buy to close",B921="Expired",B921="Assigned"),100,1)-I921)</f>
        <v/>
      </c>
      <c r="K921" s="21"/>
      <c r="L921" s="21"/>
      <c r="M921" s="21"/>
      <c r="N921" s="8" t="str">
        <f aca="false">IF(A921="","",IF(COUNTIFS(Reconcile!$I:$I,A921,Reconcile!$H:$H,"&gt;="&amp;(J921-0.01),Reconcile!$H:$H,"&lt;="&amp;(J921+0.01))&gt;0,"Yes","Not yet"))</f>
        <v/>
      </c>
      <c r="O921" s="21"/>
    </row>
    <row r="922" customFormat="false" ht="15" hidden="false" customHeight="false" outlineLevel="0" collapsed="false">
      <c r="A922" s="20"/>
      <c r="B922" s="21"/>
      <c r="C922" s="21"/>
      <c r="D922" s="21"/>
      <c r="E922" s="21"/>
      <c r="F922" s="22"/>
      <c r="G922" s="20"/>
      <c r="H922" s="23"/>
      <c r="I922" s="24"/>
      <c r="J922" s="14" t="str">
        <f aca="false">IF(C922="","",-E922*H922*IF(OR(B922="Sell call",B922="Buy to close",B922="Expired",B922="Assigned"),100,1)-I922)</f>
        <v/>
      </c>
      <c r="K922" s="21"/>
      <c r="L922" s="21"/>
      <c r="M922" s="21"/>
      <c r="N922" s="8" t="str">
        <f aca="false">IF(A922="","",IF(COUNTIFS(Reconcile!$I:$I,A922,Reconcile!$H:$H,"&gt;="&amp;(J922-0.01),Reconcile!$H:$H,"&lt;="&amp;(J922+0.01))&gt;0,"Yes","Not yet"))</f>
        <v/>
      </c>
      <c r="O922" s="21"/>
    </row>
    <row r="923" customFormat="false" ht="15" hidden="false" customHeight="false" outlineLevel="0" collapsed="false">
      <c r="A923" s="20"/>
      <c r="B923" s="21"/>
      <c r="C923" s="21"/>
      <c r="D923" s="21"/>
      <c r="E923" s="21"/>
      <c r="F923" s="22"/>
      <c r="G923" s="20"/>
      <c r="H923" s="23"/>
      <c r="I923" s="24"/>
      <c r="J923" s="14" t="str">
        <f aca="false">IF(C923="","",-E923*H923*IF(OR(B923="Sell call",B923="Buy to close",B923="Expired",B923="Assigned"),100,1)-I923)</f>
        <v/>
      </c>
      <c r="K923" s="21"/>
      <c r="L923" s="21"/>
      <c r="M923" s="21"/>
      <c r="N923" s="8" t="str">
        <f aca="false">IF(A923="","",IF(COUNTIFS(Reconcile!$I:$I,A923,Reconcile!$H:$H,"&gt;="&amp;(J923-0.01),Reconcile!$H:$H,"&lt;="&amp;(J923+0.01))&gt;0,"Yes","Not yet"))</f>
        <v/>
      </c>
      <c r="O923" s="21"/>
    </row>
    <row r="924" customFormat="false" ht="15" hidden="false" customHeight="false" outlineLevel="0" collapsed="false">
      <c r="A924" s="20"/>
      <c r="B924" s="21"/>
      <c r="C924" s="21"/>
      <c r="D924" s="21"/>
      <c r="E924" s="21"/>
      <c r="F924" s="22"/>
      <c r="G924" s="20"/>
      <c r="H924" s="23"/>
      <c r="I924" s="24"/>
      <c r="J924" s="14" t="str">
        <f aca="false">IF(C924="","",-E924*H924*IF(OR(B924="Sell call",B924="Buy to close",B924="Expired",B924="Assigned"),100,1)-I924)</f>
        <v/>
      </c>
      <c r="K924" s="21"/>
      <c r="L924" s="21"/>
      <c r="M924" s="21"/>
      <c r="N924" s="8" t="str">
        <f aca="false">IF(A924="","",IF(COUNTIFS(Reconcile!$I:$I,A924,Reconcile!$H:$H,"&gt;="&amp;(J924-0.01),Reconcile!$H:$H,"&lt;="&amp;(J924+0.01))&gt;0,"Yes","Not yet"))</f>
        <v/>
      </c>
      <c r="O924" s="21"/>
    </row>
    <row r="925" customFormat="false" ht="15" hidden="false" customHeight="false" outlineLevel="0" collapsed="false">
      <c r="A925" s="20"/>
      <c r="B925" s="21"/>
      <c r="C925" s="21"/>
      <c r="D925" s="21"/>
      <c r="E925" s="21"/>
      <c r="F925" s="22"/>
      <c r="G925" s="20"/>
      <c r="H925" s="23"/>
      <c r="I925" s="24"/>
      <c r="J925" s="14" t="str">
        <f aca="false">IF(C925="","",-E925*H925*IF(OR(B925="Sell call",B925="Buy to close",B925="Expired",B925="Assigned"),100,1)-I925)</f>
        <v/>
      </c>
      <c r="K925" s="21"/>
      <c r="L925" s="21"/>
      <c r="M925" s="21"/>
      <c r="N925" s="8" t="str">
        <f aca="false">IF(A925="","",IF(COUNTIFS(Reconcile!$I:$I,A925,Reconcile!$H:$H,"&gt;="&amp;(J925-0.01),Reconcile!$H:$H,"&lt;="&amp;(J925+0.01))&gt;0,"Yes","Not yet"))</f>
        <v/>
      </c>
      <c r="O925" s="21"/>
    </row>
    <row r="926" customFormat="false" ht="15" hidden="false" customHeight="false" outlineLevel="0" collapsed="false">
      <c r="A926" s="20"/>
      <c r="B926" s="21"/>
      <c r="C926" s="21"/>
      <c r="D926" s="21"/>
      <c r="E926" s="21"/>
      <c r="F926" s="22"/>
      <c r="G926" s="20"/>
      <c r="H926" s="23"/>
      <c r="I926" s="24"/>
      <c r="J926" s="14" t="str">
        <f aca="false">IF(C926="","",-E926*H926*IF(OR(B926="Sell call",B926="Buy to close",B926="Expired",B926="Assigned"),100,1)-I926)</f>
        <v/>
      </c>
      <c r="K926" s="21"/>
      <c r="L926" s="21"/>
      <c r="M926" s="21"/>
      <c r="N926" s="8" t="str">
        <f aca="false">IF(A926="","",IF(COUNTIFS(Reconcile!$I:$I,A926,Reconcile!$H:$H,"&gt;="&amp;(J926-0.01),Reconcile!$H:$H,"&lt;="&amp;(J926+0.01))&gt;0,"Yes","Not yet"))</f>
        <v/>
      </c>
      <c r="O926" s="21"/>
    </row>
    <row r="927" customFormat="false" ht="15" hidden="false" customHeight="false" outlineLevel="0" collapsed="false">
      <c r="A927" s="20"/>
      <c r="B927" s="21"/>
      <c r="C927" s="21"/>
      <c r="D927" s="21"/>
      <c r="E927" s="21"/>
      <c r="F927" s="22"/>
      <c r="G927" s="20"/>
      <c r="H927" s="23"/>
      <c r="I927" s="24"/>
      <c r="J927" s="14" t="str">
        <f aca="false">IF(C927="","",-E927*H927*IF(OR(B927="Sell call",B927="Buy to close",B927="Expired",B927="Assigned"),100,1)-I927)</f>
        <v/>
      </c>
      <c r="K927" s="21"/>
      <c r="L927" s="21"/>
      <c r="M927" s="21"/>
      <c r="N927" s="8" t="str">
        <f aca="false">IF(A927="","",IF(COUNTIFS(Reconcile!$I:$I,A927,Reconcile!$H:$H,"&gt;="&amp;(J927-0.01),Reconcile!$H:$H,"&lt;="&amp;(J927+0.01))&gt;0,"Yes","Not yet"))</f>
        <v/>
      </c>
      <c r="O927" s="21"/>
    </row>
    <row r="928" customFormat="false" ht="15" hidden="false" customHeight="false" outlineLevel="0" collapsed="false">
      <c r="A928" s="20"/>
      <c r="B928" s="21"/>
      <c r="C928" s="21"/>
      <c r="D928" s="21"/>
      <c r="E928" s="21"/>
      <c r="F928" s="22"/>
      <c r="G928" s="20"/>
      <c r="H928" s="23"/>
      <c r="I928" s="24"/>
      <c r="J928" s="14" t="str">
        <f aca="false">IF(C928="","",-E928*H928*IF(OR(B928="Sell call",B928="Buy to close",B928="Expired",B928="Assigned"),100,1)-I928)</f>
        <v/>
      </c>
      <c r="K928" s="21"/>
      <c r="L928" s="21"/>
      <c r="M928" s="21"/>
      <c r="N928" s="8" t="str">
        <f aca="false">IF(A928="","",IF(COUNTIFS(Reconcile!$I:$I,A928,Reconcile!$H:$H,"&gt;="&amp;(J928-0.01),Reconcile!$H:$H,"&lt;="&amp;(J928+0.01))&gt;0,"Yes","Not yet"))</f>
        <v/>
      </c>
      <c r="O928" s="21"/>
    </row>
    <row r="929" customFormat="false" ht="15" hidden="false" customHeight="false" outlineLevel="0" collapsed="false">
      <c r="A929" s="20"/>
      <c r="B929" s="21"/>
      <c r="C929" s="21"/>
      <c r="D929" s="21"/>
      <c r="E929" s="21"/>
      <c r="F929" s="22"/>
      <c r="G929" s="20"/>
      <c r="H929" s="23"/>
      <c r="I929" s="24"/>
      <c r="J929" s="14" t="str">
        <f aca="false">IF(C929="","",-E929*H929*IF(OR(B929="Sell call",B929="Buy to close",B929="Expired",B929="Assigned"),100,1)-I929)</f>
        <v/>
      </c>
      <c r="K929" s="21"/>
      <c r="L929" s="21"/>
      <c r="M929" s="21"/>
      <c r="N929" s="8" t="str">
        <f aca="false">IF(A929="","",IF(COUNTIFS(Reconcile!$I:$I,A929,Reconcile!$H:$H,"&gt;="&amp;(J929-0.01),Reconcile!$H:$H,"&lt;="&amp;(J929+0.01))&gt;0,"Yes","Not yet"))</f>
        <v/>
      </c>
      <c r="O929" s="21"/>
    </row>
    <row r="930" customFormat="false" ht="15" hidden="false" customHeight="false" outlineLevel="0" collapsed="false">
      <c r="A930" s="20"/>
      <c r="B930" s="21"/>
      <c r="C930" s="21"/>
      <c r="D930" s="21"/>
      <c r="E930" s="21"/>
      <c r="F930" s="22"/>
      <c r="G930" s="20"/>
      <c r="H930" s="23"/>
      <c r="I930" s="24"/>
      <c r="J930" s="14" t="str">
        <f aca="false">IF(C930="","",-E930*H930*IF(OR(B930="Sell call",B930="Buy to close",B930="Expired",B930="Assigned"),100,1)-I930)</f>
        <v/>
      </c>
      <c r="K930" s="21"/>
      <c r="L930" s="21"/>
      <c r="M930" s="21"/>
      <c r="N930" s="8" t="str">
        <f aca="false">IF(A930="","",IF(COUNTIFS(Reconcile!$I:$I,A930,Reconcile!$H:$H,"&gt;="&amp;(J930-0.01),Reconcile!$H:$H,"&lt;="&amp;(J930+0.01))&gt;0,"Yes","Not yet"))</f>
        <v/>
      </c>
      <c r="O930" s="21"/>
    </row>
    <row r="931" customFormat="false" ht="15" hidden="false" customHeight="false" outlineLevel="0" collapsed="false">
      <c r="A931" s="20"/>
      <c r="B931" s="21"/>
      <c r="C931" s="21"/>
      <c r="D931" s="21"/>
      <c r="E931" s="21"/>
      <c r="F931" s="22"/>
      <c r="G931" s="20"/>
      <c r="H931" s="23"/>
      <c r="I931" s="24"/>
      <c r="J931" s="14" t="str">
        <f aca="false">IF(C931="","",-E931*H931*IF(OR(B931="Sell call",B931="Buy to close",B931="Expired",B931="Assigned"),100,1)-I931)</f>
        <v/>
      </c>
      <c r="K931" s="21"/>
      <c r="L931" s="21"/>
      <c r="M931" s="21"/>
      <c r="N931" s="8" t="str">
        <f aca="false">IF(A931="","",IF(COUNTIFS(Reconcile!$I:$I,A931,Reconcile!$H:$H,"&gt;="&amp;(J931-0.01),Reconcile!$H:$H,"&lt;="&amp;(J931+0.01))&gt;0,"Yes","Not yet"))</f>
        <v/>
      </c>
      <c r="O931" s="21"/>
    </row>
    <row r="932" customFormat="false" ht="15" hidden="false" customHeight="false" outlineLevel="0" collapsed="false">
      <c r="A932" s="20"/>
      <c r="B932" s="21"/>
      <c r="C932" s="21"/>
      <c r="D932" s="21"/>
      <c r="E932" s="21"/>
      <c r="F932" s="22"/>
      <c r="G932" s="20"/>
      <c r="H932" s="23"/>
      <c r="I932" s="24"/>
      <c r="J932" s="14" t="str">
        <f aca="false">IF(C932="","",-E932*H932*IF(OR(B932="Sell call",B932="Buy to close",B932="Expired",B932="Assigned"),100,1)-I932)</f>
        <v/>
      </c>
      <c r="K932" s="21"/>
      <c r="L932" s="21"/>
      <c r="M932" s="21"/>
      <c r="N932" s="8" t="str">
        <f aca="false">IF(A932="","",IF(COUNTIFS(Reconcile!$I:$I,A932,Reconcile!$H:$H,"&gt;="&amp;(J932-0.01),Reconcile!$H:$H,"&lt;="&amp;(J932+0.01))&gt;0,"Yes","Not yet"))</f>
        <v/>
      </c>
      <c r="O932" s="21"/>
    </row>
    <row r="933" customFormat="false" ht="15" hidden="false" customHeight="false" outlineLevel="0" collapsed="false">
      <c r="A933" s="20"/>
      <c r="B933" s="21"/>
      <c r="C933" s="21"/>
      <c r="D933" s="21"/>
      <c r="E933" s="21"/>
      <c r="F933" s="22"/>
      <c r="G933" s="20"/>
      <c r="H933" s="23"/>
      <c r="I933" s="24"/>
      <c r="J933" s="14" t="str">
        <f aca="false">IF(C933="","",-E933*H933*IF(OR(B933="Sell call",B933="Buy to close",B933="Expired",B933="Assigned"),100,1)-I933)</f>
        <v/>
      </c>
      <c r="K933" s="21"/>
      <c r="L933" s="21"/>
      <c r="M933" s="21"/>
      <c r="N933" s="8" t="str">
        <f aca="false">IF(A933="","",IF(COUNTIFS(Reconcile!$I:$I,A933,Reconcile!$H:$H,"&gt;="&amp;(J933-0.01),Reconcile!$H:$H,"&lt;="&amp;(J933+0.01))&gt;0,"Yes","Not yet"))</f>
        <v/>
      </c>
      <c r="O933" s="21"/>
    </row>
    <row r="934" customFormat="false" ht="15" hidden="false" customHeight="false" outlineLevel="0" collapsed="false">
      <c r="A934" s="20"/>
      <c r="B934" s="21"/>
      <c r="C934" s="21"/>
      <c r="D934" s="21"/>
      <c r="E934" s="21"/>
      <c r="F934" s="22"/>
      <c r="G934" s="20"/>
      <c r="H934" s="23"/>
      <c r="I934" s="24"/>
      <c r="J934" s="14" t="str">
        <f aca="false">IF(C934="","",-E934*H934*IF(OR(B934="Sell call",B934="Buy to close",B934="Expired",B934="Assigned"),100,1)-I934)</f>
        <v/>
      </c>
      <c r="K934" s="21"/>
      <c r="L934" s="21"/>
      <c r="M934" s="21"/>
      <c r="N934" s="8" t="str">
        <f aca="false">IF(A934="","",IF(COUNTIFS(Reconcile!$I:$I,A934,Reconcile!$H:$H,"&gt;="&amp;(J934-0.01),Reconcile!$H:$H,"&lt;="&amp;(J934+0.01))&gt;0,"Yes","Not yet"))</f>
        <v/>
      </c>
      <c r="O934" s="21"/>
    </row>
    <row r="935" customFormat="false" ht="15" hidden="false" customHeight="false" outlineLevel="0" collapsed="false">
      <c r="A935" s="20"/>
      <c r="B935" s="21"/>
      <c r="C935" s="21"/>
      <c r="D935" s="21"/>
      <c r="E935" s="21"/>
      <c r="F935" s="22"/>
      <c r="G935" s="20"/>
      <c r="H935" s="23"/>
      <c r="I935" s="24"/>
      <c r="J935" s="14" t="str">
        <f aca="false">IF(C935="","",-E935*H935*IF(OR(B935="Sell call",B935="Buy to close",B935="Expired",B935="Assigned"),100,1)-I935)</f>
        <v/>
      </c>
      <c r="K935" s="21"/>
      <c r="L935" s="21"/>
      <c r="M935" s="21"/>
      <c r="N935" s="8" t="str">
        <f aca="false">IF(A935="","",IF(COUNTIFS(Reconcile!$I:$I,A935,Reconcile!$H:$H,"&gt;="&amp;(J935-0.01),Reconcile!$H:$H,"&lt;="&amp;(J935+0.01))&gt;0,"Yes","Not yet"))</f>
        <v/>
      </c>
      <c r="O935" s="21"/>
    </row>
    <row r="936" customFormat="false" ht="15" hidden="false" customHeight="false" outlineLevel="0" collapsed="false">
      <c r="A936" s="20"/>
      <c r="B936" s="21"/>
      <c r="C936" s="21"/>
      <c r="D936" s="21"/>
      <c r="E936" s="21"/>
      <c r="F936" s="22"/>
      <c r="G936" s="20"/>
      <c r="H936" s="23"/>
      <c r="I936" s="24"/>
      <c r="J936" s="14" t="str">
        <f aca="false">IF(C936="","",-E936*H936*IF(OR(B936="Sell call",B936="Buy to close",B936="Expired",B936="Assigned"),100,1)-I936)</f>
        <v/>
      </c>
      <c r="K936" s="21"/>
      <c r="L936" s="21"/>
      <c r="M936" s="21"/>
      <c r="N936" s="8" t="str">
        <f aca="false">IF(A936="","",IF(COUNTIFS(Reconcile!$I:$I,A936,Reconcile!$H:$H,"&gt;="&amp;(J936-0.01),Reconcile!$H:$H,"&lt;="&amp;(J936+0.01))&gt;0,"Yes","Not yet"))</f>
        <v/>
      </c>
      <c r="O936" s="21"/>
    </row>
    <row r="937" customFormat="false" ht="15" hidden="false" customHeight="false" outlineLevel="0" collapsed="false">
      <c r="A937" s="20"/>
      <c r="B937" s="21"/>
      <c r="C937" s="21"/>
      <c r="D937" s="21"/>
      <c r="E937" s="21"/>
      <c r="F937" s="22"/>
      <c r="G937" s="20"/>
      <c r="H937" s="23"/>
      <c r="I937" s="24"/>
      <c r="J937" s="14" t="str">
        <f aca="false">IF(C937="","",-E937*H937*IF(OR(B937="Sell call",B937="Buy to close",B937="Expired",B937="Assigned"),100,1)-I937)</f>
        <v/>
      </c>
      <c r="K937" s="21"/>
      <c r="L937" s="21"/>
      <c r="M937" s="21"/>
      <c r="N937" s="8" t="str">
        <f aca="false">IF(A937="","",IF(COUNTIFS(Reconcile!$I:$I,A937,Reconcile!$H:$H,"&gt;="&amp;(J937-0.01),Reconcile!$H:$H,"&lt;="&amp;(J937+0.01))&gt;0,"Yes","Not yet"))</f>
        <v/>
      </c>
      <c r="O937" s="21"/>
    </row>
    <row r="938" customFormat="false" ht="15" hidden="false" customHeight="false" outlineLevel="0" collapsed="false">
      <c r="A938" s="20"/>
      <c r="B938" s="21"/>
      <c r="C938" s="21"/>
      <c r="D938" s="21"/>
      <c r="E938" s="21"/>
      <c r="F938" s="22"/>
      <c r="G938" s="20"/>
      <c r="H938" s="23"/>
      <c r="I938" s="24"/>
      <c r="J938" s="14" t="str">
        <f aca="false">IF(C938="","",-E938*H938*IF(OR(B938="Sell call",B938="Buy to close",B938="Expired",B938="Assigned"),100,1)-I938)</f>
        <v/>
      </c>
      <c r="K938" s="21"/>
      <c r="L938" s="21"/>
      <c r="M938" s="21"/>
      <c r="N938" s="8" t="str">
        <f aca="false">IF(A938="","",IF(COUNTIFS(Reconcile!$I:$I,A938,Reconcile!$H:$H,"&gt;="&amp;(J938-0.01),Reconcile!$H:$H,"&lt;="&amp;(J938+0.01))&gt;0,"Yes","Not yet"))</f>
        <v/>
      </c>
      <c r="O938" s="21"/>
    </row>
    <row r="939" customFormat="false" ht="15" hidden="false" customHeight="false" outlineLevel="0" collapsed="false">
      <c r="A939" s="20"/>
      <c r="B939" s="21"/>
      <c r="C939" s="21"/>
      <c r="D939" s="21"/>
      <c r="E939" s="21"/>
      <c r="F939" s="22"/>
      <c r="G939" s="20"/>
      <c r="H939" s="23"/>
      <c r="I939" s="24"/>
      <c r="J939" s="14" t="str">
        <f aca="false">IF(C939="","",-E939*H939*IF(OR(B939="Sell call",B939="Buy to close",B939="Expired",B939="Assigned"),100,1)-I939)</f>
        <v/>
      </c>
      <c r="K939" s="21"/>
      <c r="L939" s="21"/>
      <c r="M939" s="21"/>
      <c r="N939" s="8" t="str">
        <f aca="false">IF(A939="","",IF(COUNTIFS(Reconcile!$I:$I,A939,Reconcile!$H:$H,"&gt;="&amp;(J939-0.01),Reconcile!$H:$H,"&lt;="&amp;(J939+0.01))&gt;0,"Yes","Not yet"))</f>
        <v/>
      </c>
      <c r="O939" s="21"/>
    </row>
    <row r="940" customFormat="false" ht="15" hidden="false" customHeight="false" outlineLevel="0" collapsed="false">
      <c r="A940" s="20"/>
      <c r="B940" s="21"/>
      <c r="C940" s="21"/>
      <c r="D940" s="21"/>
      <c r="E940" s="21"/>
      <c r="F940" s="22"/>
      <c r="G940" s="20"/>
      <c r="H940" s="23"/>
      <c r="I940" s="24"/>
      <c r="J940" s="14" t="str">
        <f aca="false">IF(C940="","",-E940*H940*IF(OR(B940="Sell call",B940="Buy to close",B940="Expired",B940="Assigned"),100,1)-I940)</f>
        <v/>
      </c>
      <c r="K940" s="21"/>
      <c r="L940" s="21"/>
      <c r="M940" s="21"/>
      <c r="N940" s="8" t="str">
        <f aca="false">IF(A940="","",IF(COUNTIFS(Reconcile!$I:$I,A940,Reconcile!$H:$H,"&gt;="&amp;(J940-0.01),Reconcile!$H:$H,"&lt;="&amp;(J940+0.01))&gt;0,"Yes","Not yet"))</f>
        <v/>
      </c>
      <c r="O940" s="21"/>
    </row>
    <row r="941" customFormat="false" ht="15" hidden="false" customHeight="false" outlineLevel="0" collapsed="false">
      <c r="A941" s="20"/>
      <c r="B941" s="21"/>
      <c r="C941" s="21"/>
      <c r="D941" s="21"/>
      <c r="E941" s="21"/>
      <c r="F941" s="22"/>
      <c r="G941" s="20"/>
      <c r="H941" s="23"/>
      <c r="I941" s="24"/>
      <c r="J941" s="14" t="str">
        <f aca="false">IF(C941="","",-E941*H941*IF(OR(B941="Sell call",B941="Buy to close",B941="Expired",B941="Assigned"),100,1)-I941)</f>
        <v/>
      </c>
      <c r="K941" s="21"/>
      <c r="L941" s="21"/>
      <c r="M941" s="21"/>
      <c r="N941" s="8" t="str">
        <f aca="false">IF(A941="","",IF(COUNTIFS(Reconcile!$I:$I,A941,Reconcile!$H:$H,"&gt;="&amp;(J941-0.01),Reconcile!$H:$H,"&lt;="&amp;(J941+0.01))&gt;0,"Yes","Not yet"))</f>
        <v/>
      </c>
      <c r="O941" s="21"/>
    </row>
    <row r="942" customFormat="false" ht="15" hidden="false" customHeight="false" outlineLevel="0" collapsed="false">
      <c r="A942" s="20"/>
      <c r="B942" s="21"/>
      <c r="C942" s="21"/>
      <c r="D942" s="21"/>
      <c r="E942" s="21"/>
      <c r="F942" s="22"/>
      <c r="G942" s="20"/>
      <c r="H942" s="23"/>
      <c r="I942" s="24"/>
      <c r="J942" s="14" t="str">
        <f aca="false">IF(C942="","",-E942*H942*IF(OR(B942="Sell call",B942="Buy to close",B942="Expired",B942="Assigned"),100,1)-I942)</f>
        <v/>
      </c>
      <c r="K942" s="21"/>
      <c r="L942" s="21"/>
      <c r="M942" s="21"/>
      <c r="N942" s="8" t="str">
        <f aca="false">IF(A942="","",IF(COUNTIFS(Reconcile!$I:$I,A942,Reconcile!$H:$H,"&gt;="&amp;(J942-0.01),Reconcile!$H:$H,"&lt;="&amp;(J942+0.01))&gt;0,"Yes","Not yet"))</f>
        <v/>
      </c>
      <c r="O942" s="21"/>
    </row>
    <row r="943" customFormat="false" ht="15" hidden="false" customHeight="false" outlineLevel="0" collapsed="false">
      <c r="A943" s="20"/>
      <c r="B943" s="21"/>
      <c r="C943" s="21"/>
      <c r="D943" s="21"/>
      <c r="E943" s="21"/>
      <c r="F943" s="22"/>
      <c r="G943" s="20"/>
      <c r="H943" s="23"/>
      <c r="I943" s="24"/>
      <c r="J943" s="14" t="str">
        <f aca="false">IF(C943="","",-E943*H943*IF(OR(B943="Sell call",B943="Buy to close",B943="Expired",B943="Assigned"),100,1)-I943)</f>
        <v/>
      </c>
      <c r="K943" s="21"/>
      <c r="L943" s="21"/>
      <c r="M943" s="21"/>
      <c r="N943" s="8" t="str">
        <f aca="false">IF(A943="","",IF(COUNTIFS(Reconcile!$I:$I,A943,Reconcile!$H:$H,"&gt;="&amp;(J943-0.01),Reconcile!$H:$H,"&lt;="&amp;(J943+0.01))&gt;0,"Yes","Not yet"))</f>
        <v/>
      </c>
      <c r="O943" s="21"/>
    </row>
    <row r="944" customFormat="false" ht="15" hidden="false" customHeight="false" outlineLevel="0" collapsed="false">
      <c r="A944" s="20"/>
      <c r="B944" s="21"/>
      <c r="C944" s="21"/>
      <c r="D944" s="21"/>
      <c r="E944" s="21"/>
      <c r="F944" s="22"/>
      <c r="G944" s="20"/>
      <c r="H944" s="23"/>
      <c r="I944" s="24"/>
      <c r="J944" s="14" t="str">
        <f aca="false">IF(C944="","",-E944*H944*IF(OR(B944="Sell call",B944="Buy to close",B944="Expired",B944="Assigned"),100,1)-I944)</f>
        <v/>
      </c>
      <c r="K944" s="21"/>
      <c r="L944" s="21"/>
      <c r="M944" s="21"/>
      <c r="N944" s="8" t="str">
        <f aca="false">IF(A944="","",IF(COUNTIFS(Reconcile!$I:$I,A944,Reconcile!$H:$H,"&gt;="&amp;(J944-0.01),Reconcile!$H:$H,"&lt;="&amp;(J944+0.01))&gt;0,"Yes","Not yet"))</f>
        <v/>
      </c>
      <c r="O944" s="21"/>
    </row>
    <row r="945" customFormat="false" ht="15" hidden="false" customHeight="false" outlineLevel="0" collapsed="false">
      <c r="A945" s="20"/>
      <c r="B945" s="21"/>
      <c r="C945" s="21"/>
      <c r="D945" s="21"/>
      <c r="E945" s="21"/>
      <c r="F945" s="22"/>
      <c r="G945" s="20"/>
      <c r="H945" s="23"/>
      <c r="I945" s="24"/>
      <c r="J945" s="14" t="str">
        <f aca="false">IF(C945="","",-E945*H945*IF(OR(B945="Sell call",B945="Buy to close",B945="Expired",B945="Assigned"),100,1)-I945)</f>
        <v/>
      </c>
      <c r="K945" s="21"/>
      <c r="L945" s="21"/>
      <c r="M945" s="21"/>
      <c r="N945" s="8" t="str">
        <f aca="false">IF(A945="","",IF(COUNTIFS(Reconcile!$I:$I,A945,Reconcile!$H:$H,"&gt;="&amp;(J945-0.01),Reconcile!$H:$H,"&lt;="&amp;(J945+0.01))&gt;0,"Yes","Not yet"))</f>
        <v/>
      </c>
      <c r="O945" s="21"/>
    </row>
    <row r="946" customFormat="false" ht="15" hidden="false" customHeight="false" outlineLevel="0" collapsed="false">
      <c r="A946" s="20"/>
      <c r="B946" s="21"/>
      <c r="C946" s="21"/>
      <c r="D946" s="21"/>
      <c r="E946" s="21"/>
      <c r="F946" s="22"/>
      <c r="G946" s="20"/>
      <c r="H946" s="23"/>
      <c r="I946" s="24"/>
      <c r="J946" s="14" t="str">
        <f aca="false">IF(C946="","",-E946*H946*IF(OR(B946="Sell call",B946="Buy to close",B946="Expired",B946="Assigned"),100,1)-I946)</f>
        <v/>
      </c>
      <c r="K946" s="21"/>
      <c r="L946" s="21"/>
      <c r="M946" s="21"/>
      <c r="N946" s="8" t="str">
        <f aca="false">IF(A946="","",IF(COUNTIFS(Reconcile!$I:$I,A946,Reconcile!$H:$H,"&gt;="&amp;(J946-0.01),Reconcile!$H:$H,"&lt;="&amp;(J946+0.01))&gt;0,"Yes","Not yet"))</f>
        <v/>
      </c>
      <c r="O946" s="21"/>
    </row>
    <row r="947" customFormat="false" ht="15" hidden="false" customHeight="false" outlineLevel="0" collapsed="false">
      <c r="A947" s="20"/>
      <c r="B947" s="21"/>
      <c r="C947" s="21"/>
      <c r="D947" s="21"/>
      <c r="E947" s="21"/>
      <c r="F947" s="22"/>
      <c r="G947" s="20"/>
      <c r="H947" s="23"/>
      <c r="I947" s="24"/>
      <c r="J947" s="14" t="str">
        <f aca="false">IF(C947="","",-E947*H947*IF(OR(B947="Sell call",B947="Buy to close",B947="Expired",B947="Assigned"),100,1)-I947)</f>
        <v/>
      </c>
      <c r="K947" s="21"/>
      <c r="L947" s="21"/>
      <c r="M947" s="21"/>
      <c r="N947" s="8" t="str">
        <f aca="false">IF(A947="","",IF(COUNTIFS(Reconcile!$I:$I,A947,Reconcile!$H:$H,"&gt;="&amp;(J947-0.01),Reconcile!$H:$H,"&lt;="&amp;(J947+0.01))&gt;0,"Yes","Not yet"))</f>
        <v/>
      </c>
      <c r="O947" s="21"/>
    </row>
    <row r="948" customFormat="false" ht="15" hidden="false" customHeight="false" outlineLevel="0" collapsed="false">
      <c r="A948" s="20"/>
      <c r="B948" s="21"/>
      <c r="C948" s="21"/>
      <c r="D948" s="21"/>
      <c r="E948" s="21"/>
      <c r="F948" s="22"/>
      <c r="G948" s="20"/>
      <c r="H948" s="23"/>
      <c r="I948" s="24"/>
      <c r="J948" s="14" t="str">
        <f aca="false">IF(C948="","",-E948*H948*IF(OR(B948="Sell call",B948="Buy to close",B948="Expired",B948="Assigned"),100,1)-I948)</f>
        <v/>
      </c>
      <c r="K948" s="21"/>
      <c r="L948" s="21"/>
      <c r="M948" s="21"/>
      <c r="N948" s="8" t="str">
        <f aca="false">IF(A948="","",IF(COUNTIFS(Reconcile!$I:$I,A948,Reconcile!$H:$H,"&gt;="&amp;(J948-0.01),Reconcile!$H:$H,"&lt;="&amp;(J948+0.01))&gt;0,"Yes","Not yet"))</f>
        <v/>
      </c>
      <c r="O948" s="21"/>
    </row>
    <row r="949" customFormat="false" ht="15" hidden="false" customHeight="false" outlineLevel="0" collapsed="false">
      <c r="A949" s="20"/>
      <c r="B949" s="21"/>
      <c r="C949" s="21"/>
      <c r="D949" s="21"/>
      <c r="E949" s="21"/>
      <c r="F949" s="22"/>
      <c r="G949" s="20"/>
      <c r="H949" s="23"/>
      <c r="I949" s="24"/>
      <c r="J949" s="14" t="str">
        <f aca="false">IF(C949="","",-E949*H949*IF(OR(B949="Sell call",B949="Buy to close",B949="Expired",B949="Assigned"),100,1)-I949)</f>
        <v/>
      </c>
      <c r="K949" s="21"/>
      <c r="L949" s="21"/>
      <c r="M949" s="21"/>
      <c r="N949" s="8" t="str">
        <f aca="false">IF(A949="","",IF(COUNTIFS(Reconcile!$I:$I,A949,Reconcile!$H:$H,"&gt;="&amp;(J949-0.01),Reconcile!$H:$H,"&lt;="&amp;(J949+0.01))&gt;0,"Yes","Not yet"))</f>
        <v/>
      </c>
      <c r="O949" s="21"/>
    </row>
    <row r="950" customFormat="false" ht="15" hidden="false" customHeight="false" outlineLevel="0" collapsed="false">
      <c r="A950" s="20"/>
      <c r="B950" s="21"/>
      <c r="C950" s="21"/>
      <c r="D950" s="21"/>
      <c r="E950" s="21"/>
      <c r="F950" s="22"/>
      <c r="G950" s="20"/>
      <c r="H950" s="23"/>
      <c r="I950" s="24"/>
      <c r="J950" s="14" t="str">
        <f aca="false">IF(C950="","",-E950*H950*IF(OR(B950="Sell call",B950="Buy to close",B950="Expired",B950="Assigned"),100,1)-I950)</f>
        <v/>
      </c>
      <c r="K950" s="21"/>
      <c r="L950" s="21"/>
      <c r="M950" s="21"/>
      <c r="N950" s="8" t="str">
        <f aca="false">IF(A950="","",IF(COUNTIFS(Reconcile!$I:$I,A950,Reconcile!$H:$H,"&gt;="&amp;(J950-0.01),Reconcile!$H:$H,"&lt;="&amp;(J950+0.01))&gt;0,"Yes","Not yet"))</f>
        <v/>
      </c>
      <c r="O950" s="21"/>
    </row>
    <row r="951" customFormat="false" ht="15" hidden="false" customHeight="false" outlineLevel="0" collapsed="false">
      <c r="A951" s="20"/>
      <c r="B951" s="21"/>
      <c r="C951" s="21"/>
      <c r="D951" s="21"/>
      <c r="E951" s="21"/>
      <c r="F951" s="22"/>
      <c r="G951" s="20"/>
      <c r="H951" s="23"/>
      <c r="I951" s="24"/>
      <c r="J951" s="14" t="str">
        <f aca="false">IF(C951="","",-E951*H951*IF(OR(B951="Sell call",B951="Buy to close",B951="Expired",B951="Assigned"),100,1)-I951)</f>
        <v/>
      </c>
      <c r="K951" s="21"/>
      <c r="L951" s="21"/>
      <c r="M951" s="21"/>
      <c r="N951" s="8" t="str">
        <f aca="false">IF(A951="","",IF(COUNTIFS(Reconcile!$I:$I,A951,Reconcile!$H:$H,"&gt;="&amp;(J951-0.01),Reconcile!$H:$H,"&lt;="&amp;(J951+0.01))&gt;0,"Yes","Not yet"))</f>
        <v/>
      </c>
      <c r="O951" s="21"/>
    </row>
    <row r="952" customFormat="false" ht="15" hidden="false" customHeight="false" outlineLevel="0" collapsed="false">
      <c r="A952" s="20"/>
      <c r="B952" s="21"/>
      <c r="C952" s="21"/>
      <c r="D952" s="21"/>
      <c r="E952" s="21"/>
      <c r="F952" s="22"/>
      <c r="G952" s="20"/>
      <c r="H952" s="23"/>
      <c r="I952" s="24"/>
      <c r="J952" s="14" t="str">
        <f aca="false">IF(C952="","",-E952*H952*IF(OR(B952="Sell call",B952="Buy to close",B952="Expired",B952="Assigned"),100,1)-I952)</f>
        <v/>
      </c>
      <c r="K952" s="21"/>
      <c r="L952" s="21"/>
      <c r="M952" s="21"/>
      <c r="N952" s="8" t="str">
        <f aca="false">IF(A952="","",IF(COUNTIFS(Reconcile!$I:$I,A952,Reconcile!$H:$H,"&gt;="&amp;(J952-0.01),Reconcile!$H:$H,"&lt;="&amp;(J952+0.01))&gt;0,"Yes","Not yet"))</f>
        <v/>
      </c>
      <c r="O952" s="21"/>
    </row>
    <row r="953" customFormat="false" ht="15" hidden="false" customHeight="false" outlineLevel="0" collapsed="false">
      <c r="A953" s="20"/>
      <c r="B953" s="21"/>
      <c r="C953" s="21"/>
      <c r="D953" s="21"/>
      <c r="E953" s="21"/>
      <c r="F953" s="22"/>
      <c r="G953" s="20"/>
      <c r="H953" s="23"/>
      <c r="I953" s="24"/>
      <c r="J953" s="14" t="str">
        <f aca="false">IF(C953="","",-E953*H953*IF(OR(B953="Sell call",B953="Buy to close",B953="Expired",B953="Assigned"),100,1)-I953)</f>
        <v/>
      </c>
      <c r="K953" s="21"/>
      <c r="L953" s="21"/>
      <c r="M953" s="21"/>
      <c r="N953" s="8" t="str">
        <f aca="false">IF(A953="","",IF(COUNTIFS(Reconcile!$I:$I,A953,Reconcile!$H:$H,"&gt;="&amp;(J953-0.01),Reconcile!$H:$H,"&lt;="&amp;(J953+0.01))&gt;0,"Yes","Not yet"))</f>
        <v/>
      </c>
      <c r="O953" s="21"/>
    </row>
    <row r="954" customFormat="false" ht="15" hidden="false" customHeight="false" outlineLevel="0" collapsed="false">
      <c r="A954" s="20"/>
      <c r="B954" s="21"/>
      <c r="C954" s="21"/>
      <c r="D954" s="21"/>
      <c r="E954" s="21"/>
      <c r="F954" s="22"/>
      <c r="G954" s="20"/>
      <c r="H954" s="23"/>
      <c r="I954" s="24"/>
      <c r="J954" s="14" t="str">
        <f aca="false">IF(C954="","",-E954*H954*IF(OR(B954="Sell call",B954="Buy to close",B954="Expired",B954="Assigned"),100,1)-I954)</f>
        <v/>
      </c>
      <c r="K954" s="21"/>
      <c r="L954" s="21"/>
      <c r="M954" s="21"/>
      <c r="N954" s="8" t="str">
        <f aca="false">IF(A954="","",IF(COUNTIFS(Reconcile!$I:$I,A954,Reconcile!$H:$H,"&gt;="&amp;(J954-0.01),Reconcile!$H:$H,"&lt;="&amp;(J954+0.01))&gt;0,"Yes","Not yet"))</f>
        <v/>
      </c>
      <c r="O954" s="21"/>
    </row>
    <row r="955" customFormat="false" ht="15" hidden="false" customHeight="false" outlineLevel="0" collapsed="false">
      <c r="A955" s="20"/>
      <c r="B955" s="21"/>
      <c r="C955" s="21"/>
      <c r="D955" s="21"/>
      <c r="E955" s="21"/>
      <c r="F955" s="22"/>
      <c r="G955" s="20"/>
      <c r="H955" s="23"/>
      <c r="I955" s="24"/>
      <c r="J955" s="14" t="str">
        <f aca="false">IF(C955="","",-E955*H955*IF(OR(B955="Sell call",B955="Buy to close",B955="Expired",B955="Assigned"),100,1)-I955)</f>
        <v/>
      </c>
      <c r="K955" s="21"/>
      <c r="L955" s="21"/>
      <c r="M955" s="21"/>
      <c r="N955" s="8" t="str">
        <f aca="false">IF(A955="","",IF(COUNTIFS(Reconcile!$I:$I,A955,Reconcile!$H:$H,"&gt;="&amp;(J955-0.01),Reconcile!$H:$H,"&lt;="&amp;(J955+0.01))&gt;0,"Yes","Not yet"))</f>
        <v/>
      </c>
      <c r="O955" s="21"/>
    </row>
    <row r="956" customFormat="false" ht="15" hidden="false" customHeight="false" outlineLevel="0" collapsed="false">
      <c r="A956" s="20"/>
      <c r="B956" s="21"/>
      <c r="C956" s="21"/>
      <c r="D956" s="21"/>
      <c r="E956" s="21"/>
      <c r="F956" s="22"/>
      <c r="G956" s="20"/>
      <c r="H956" s="23"/>
      <c r="I956" s="24"/>
      <c r="J956" s="14" t="str">
        <f aca="false">IF(C956="","",-E956*H956*IF(OR(B956="Sell call",B956="Buy to close",B956="Expired",B956="Assigned"),100,1)-I956)</f>
        <v/>
      </c>
      <c r="K956" s="21"/>
      <c r="L956" s="21"/>
      <c r="M956" s="21"/>
      <c r="N956" s="8" t="str">
        <f aca="false">IF(A956="","",IF(COUNTIFS(Reconcile!$I:$I,A956,Reconcile!$H:$H,"&gt;="&amp;(J956-0.01),Reconcile!$H:$H,"&lt;="&amp;(J956+0.01))&gt;0,"Yes","Not yet"))</f>
        <v/>
      </c>
      <c r="O956" s="21"/>
    </row>
    <row r="957" customFormat="false" ht="15" hidden="false" customHeight="false" outlineLevel="0" collapsed="false">
      <c r="A957" s="20"/>
      <c r="B957" s="21"/>
      <c r="C957" s="21"/>
      <c r="D957" s="21"/>
      <c r="E957" s="21"/>
      <c r="F957" s="22"/>
      <c r="G957" s="20"/>
      <c r="H957" s="23"/>
      <c r="I957" s="24"/>
      <c r="J957" s="14" t="str">
        <f aca="false">IF(C957="","",-E957*H957*IF(OR(B957="Sell call",B957="Buy to close",B957="Expired",B957="Assigned"),100,1)-I957)</f>
        <v/>
      </c>
      <c r="K957" s="21"/>
      <c r="L957" s="21"/>
      <c r="M957" s="21"/>
      <c r="N957" s="8" t="str">
        <f aca="false">IF(A957="","",IF(COUNTIFS(Reconcile!$I:$I,A957,Reconcile!$H:$H,"&gt;="&amp;(J957-0.01),Reconcile!$H:$H,"&lt;="&amp;(J957+0.01))&gt;0,"Yes","Not yet"))</f>
        <v/>
      </c>
      <c r="O957" s="21"/>
    </row>
    <row r="958" customFormat="false" ht="15" hidden="false" customHeight="false" outlineLevel="0" collapsed="false">
      <c r="A958" s="20"/>
      <c r="B958" s="21"/>
      <c r="C958" s="21"/>
      <c r="D958" s="21"/>
      <c r="E958" s="21"/>
      <c r="F958" s="22"/>
      <c r="G958" s="20"/>
      <c r="H958" s="23"/>
      <c r="I958" s="24"/>
      <c r="J958" s="14" t="str">
        <f aca="false">IF(C958="","",-E958*H958*IF(OR(B958="Sell call",B958="Buy to close",B958="Expired",B958="Assigned"),100,1)-I958)</f>
        <v/>
      </c>
      <c r="K958" s="21"/>
      <c r="L958" s="21"/>
      <c r="M958" s="21"/>
      <c r="N958" s="8" t="str">
        <f aca="false">IF(A958="","",IF(COUNTIFS(Reconcile!$I:$I,A958,Reconcile!$H:$H,"&gt;="&amp;(J958-0.01),Reconcile!$H:$H,"&lt;="&amp;(J958+0.01))&gt;0,"Yes","Not yet"))</f>
        <v/>
      </c>
      <c r="O958" s="21"/>
    </row>
    <row r="959" customFormat="false" ht="15" hidden="false" customHeight="false" outlineLevel="0" collapsed="false">
      <c r="A959" s="20"/>
      <c r="B959" s="21"/>
      <c r="C959" s="21"/>
      <c r="D959" s="21"/>
      <c r="E959" s="21"/>
      <c r="F959" s="22"/>
      <c r="G959" s="20"/>
      <c r="H959" s="23"/>
      <c r="I959" s="24"/>
      <c r="J959" s="14" t="str">
        <f aca="false">IF(C959="","",-E959*H959*IF(OR(B959="Sell call",B959="Buy to close",B959="Expired",B959="Assigned"),100,1)-I959)</f>
        <v/>
      </c>
      <c r="K959" s="21"/>
      <c r="L959" s="21"/>
      <c r="M959" s="21"/>
      <c r="N959" s="8" t="str">
        <f aca="false">IF(A959="","",IF(COUNTIFS(Reconcile!$I:$I,A959,Reconcile!$H:$H,"&gt;="&amp;(J959-0.01),Reconcile!$H:$H,"&lt;="&amp;(J959+0.01))&gt;0,"Yes","Not yet"))</f>
        <v/>
      </c>
      <c r="O959" s="21"/>
    </row>
    <row r="960" customFormat="false" ht="15" hidden="false" customHeight="false" outlineLevel="0" collapsed="false">
      <c r="A960" s="20"/>
      <c r="B960" s="21"/>
      <c r="C960" s="21"/>
      <c r="D960" s="21"/>
      <c r="E960" s="21"/>
      <c r="F960" s="22"/>
      <c r="G960" s="20"/>
      <c r="H960" s="23"/>
      <c r="I960" s="24"/>
      <c r="J960" s="14" t="str">
        <f aca="false">IF(C960="","",-E960*H960*IF(OR(B960="Sell call",B960="Buy to close",B960="Expired",B960="Assigned"),100,1)-I960)</f>
        <v/>
      </c>
      <c r="K960" s="21"/>
      <c r="L960" s="21"/>
      <c r="M960" s="21"/>
      <c r="N960" s="8" t="str">
        <f aca="false">IF(A960="","",IF(COUNTIFS(Reconcile!$I:$I,A960,Reconcile!$H:$H,"&gt;="&amp;(J960-0.01),Reconcile!$H:$H,"&lt;="&amp;(J960+0.01))&gt;0,"Yes","Not yet"))</f>
        <v/>
      </c>
      <c r="O960" s="21"/>
    </row>
    <row r="961" customFormat="false" ht="15" hidden="false" customHeight="false" outlineLevel="0" collapsed="false">
      <c r="A961" s="20"/>
      <c r="B961" s="21"/>
      <c r="C961" s="21"/>
      <c r="D961" s="21"/>
      <c r="E961" s="21"/>
      <c r="F961" s="22"/>
      <c r="G961" s="20"/>
      <c r="H961" s="23"/>
      <c r="I961" s="24"/>
      <c r="J961" s="14" t="str">
        <f aca="false">IF(C961="","",-E961*H961*IF(OR(B961="Sell call",B961="Buy to close",B961="Expired",B961="Assigned"),100,1)-I961)</f>
        <v/>
      </c>
      <c r="K961" s="21"/>
      <c r="L961" s="21"/>
      <c r="M961" s="21"/>
      <c r="N961" s="8" t="str">
        <f aca="false">IF(A961="","",IF(COUNTIFS(Reconcile!$I:$I,A961,Reconcile!$H:$H,"&gt;="&amp;(J961-0.01),Reconcile!$H:$H,"&lt;="&amp;(J961+0.01))&gt;0,"Yes","Not yet"))</f>
        <v/>
      </c>
      <c r="O961" s="21"/>
    </row>
    <row r="962" customFormat="false" ht="15" hidden="false" customHeight="false" outlineLevel="0" collapsed="false">
      <c r="A962" s="20"/>
      <c r="B962" s="21"/>
      <c r="C962" s="21"/>
      <c r="D962" s="21"/>
      <c r="E962" s="21"/>
      <c r="F962" s="22"/>
      <c r="G962" s="20"/>
      <c r="H962" s="23"/>
      <c r="I962" s="24"/>
      <c r="J962" s="14" t="str">
        <f aca="false">IF(C962="","",-E962*H962*IF(OR(B962="Sell call",B962="Buy to close",B962="Expired",B962="Assigned"),100,1)-I962)</f>
        <v/>
      </c>
      <c r="K962" s="21"/>
      <c r="L962" s="21"/>
      <c r="M962" s="21"/>
      <c r="N962" s="8" t="str">
        <f aca="false">IF(A962="","",IF(COUNTIFS(Reconcile!$I:$I,A962,Reconcile!$H:$H,"&gt;="&amp;(J962-0.01),Reconcile!$H:$H,"&lt;="&amp;(J962+0.01))&gt;0,"Yes","Not yet"))</f>
        <v/>
      </c>
      <c r="O962" s="21"/>
    </row>
    <row r="963" customFormat="false" ht="15" hidden="false" customHeight="false" outlineLevel="0" collapsed="false">
      <c r="A963" s="20"/>
      <c r="B963" s="21"/>
      <c r="C963" s="21"/>
      <c r="D963" s="21"/>
      <c r="E963" s="21"/>
      <c r="F963" s="22"/>
      <c r="G963" s="20"/>
      <c r="H963" s="23"/>
      <c r="I963" s="24"/>
      <c r="J963" s="14" t="str">
        <f aca="false">IF(C963="","",-E963*H963*IF(OR(B963="Sell call",B963="Buy to close",B963="Expired",B963="Assigned"),100,1)-I963)</f>
        <v/>
      </c>
      <c r="K963" s="21"/>
      <c r="L963" s="21"/>
      <c r="M963" s="21"/>
      <c r="N963" s="8" t="str">
        <f aca="false">IF(A963="","",IF(COUNTIFS(Reconcile!$I:$I,A963,Reconcile!$H:$H,"&gt;="&amp;(J963-0.01),Reconcile!$H:$H,"&lt;="&amp;(J963+0.01))&gt;0,"Yes","Not yet"))</f>
        <v/>
      </c>
      <c r="O963" s="21"/>
    </row>
    <row r="964" customFormat="false" ht="15" hidden="false" customHeight="false" outlineLevel="0" collapsed="false">
      <c r="A964" s="20"/>
      <c r="B964" s="21"/>
      <c r="C964" s="21"/>
      <c r="D964" s="21"/>
      <c r="E964" s="21"/>
      <c r="F964" s="22"/>
      <c r="G964" s="20"/>
      <c r="H964" s="23"/>
      <c r="I964" s="24"/>
      <c r="J964" s="14" t="str">
        <f aca="false">IF(C964="","",-E964*H964*IF(OR(B964="Sell call",B964="Buy to close",B964="Expired",B964="Assigned"),100,1)-I964)</f>
        <v/>
      </c>
      <c r="K964" s="21"/>
      <c r="L964" s="21"/>
      <c r="M964" s="21"/>
      <c r="N964" s="8" t="str">
        <f aca="false">IF(A964="","",IF(COUNTIFS(Reconcile!$I:$I,A964,Reconcile!$H:$H,"&gt;="&amp;(J964-0.01),Reconcile!$H:$H,"&lt;="&amp;(J964+0.01))&gt;0,"Yes","Not yet"))</f>
        <v/>
      </c>
      <c r="O964" s="21"/>
    </row>
    <row r="965" customFormat="false" ht="15" hidden="false" customHeight="false" outlineLevel="0" collapsed="false">
      <c r="A965" s="20"/>
      <c r="B965" s="21"/>
      <c r="C965" s="21"/>
      <c r="D965" s="21"/>
      <c r="E965" s="21"/>
      <c r="F965" s="22"/>
      <c r="G965" s="20"/>
      <c r="H965" s="23"/>
      <c r="I965" s="24"/>
      <c r="J965" s="14" t="str">
        <f aca="false">IF(C965="","",-E965*H965*IF(OR(B965="Sell call",B965="Buy to close",B965="Expired",B965="Assigned"),100,1)-I965)</f>
        <v/>
      </c>
      <c r="K965" s="21"/>
      <c r="L965" s="21"/>
      <c r="M965" s="21"/>
      <c r="N965" s="8" t="str">
        <f aca="false">IF(A965="","",IF(COUNTIFS(Reconcile!$I:$I,A965,Reconcile!$H:$H,"&gt;="&amp;(J965-0.01),Reconcile!$H:$H,"&lt;="&amp;(J965+0.01))&gt;0,"Yes","Not yet"))</f>
        <v/>
      </c>
      <c r="O965" s="21"/>
    </row>
    <row r="966" customFormat="false" ht="15" hidden="false" customHeight="false" outlineLevel="0" collapsed="false">
      <c r="A966" s="20"/>
      <c r="B966" s="21"/>
      <c r="C966" s="21"/>
      <c r="D966" s="21"/>
      <c r="E966" s="21"/>
      <c r="F966" s="22"/>
      <c r="G966" s="20"/>
      <c r="H966" s="23"/>
      <c r="I966" s="24"/>
      <c r="J966" s="14" t="str">
        <f aca="false">IF(C966="","",-E966*H966*IF(OR(B966="Sell call",B966="Buy to close",B966="Expired",B966="Assigned"),100,1)-I966)</f>
        <v/>
      </c>
      <c r="K966" s="21"/>
      <c r="L966" s="21"/>
      <c r="M966" s="21"/>
      <c r="N966" s="8" t="str">
        <f aca="false">IF(A966="","",IF(COUNTIFS(Reconcile!$I:$I,A966,Reconcile!$H:$H,"&gt;="&amp;(J966-0.01),Reconcile!$H:$H,"&lt;="&amp;(J966+0.01))&gt;0,"Yes","Not yet"))</f>
        <v/>
      </c>
      <c r="O966" s="21"/>
    </row>
    <row r="967" customFormat="false" ht="15" hidden="false" customHeight="false" outlineLevel="0" collapsed="false">
      <c r="A967" s="20"/>
      <c r="B967" s="21"/>
      <c r="C967" s="21"/>
      <c r="D967" s="21"/>
      <c r="E967" s="21"/>
      <c r="F967" s="22"/>
      <c r="G967" s="20"/>
      <c r="H967" s="23"/>
      <c r="I967" s="24"/>
      <c r="J967" s="14" t="str">
        <f aca="false">IF(C967="","",-E967*H967*IF(OR(B967="Sell call",B967="Buy to close",B967="Expired",B967="Assigned"),100,1)-I967)</f>
        <v/>
      </c>
      <c r="K967" s="21"/>
      <c r="L967" s="21"/>
      <c r="M967" s="21"/>
      <c r="N967" s="8" t="str">
        <f aca="false">IF(A967="","",IF(COUNTIFS(Reconcile!$I:$I,A967,Reconcile!$H:$H,"&gt;="&amp;(J967-0.01),Reconcile!$H:$H,"&lt;="&amp;(J967+0.01))&gt;0,"Yes","Not yet"))</f>
        <v/>
      </c>
      <c r="O967" s="21"/>
    </row>
    <row r="968" customFormat="false" ht="15" hidden="false" customHeight="false" outlineLevel="0" collapsed="false">
      <c r="A968" s="20"/>
      <c r="B968" s="21"/>
      <c r="C968" s="21"/>
      <c r="D968" s="21"/>
      <c r="E968" s="21"/>
      <c r="F968" s="22"/>
      <c r="G968" s="20"/>
      <c r="H968" s="23"/>
      <c r="I968" s="24"/>
      <c r="J968" s="14" t="str">
        <f aca="false">IF(C968="","",-E968*H968*IF(OR(B968="Sell call",B968="Buy to close",B968="Expired",B968="Assigned"),100,1)-I968)</f>
        <v/>
      </c>
      <c r="K968" s="21"/>
      <c r="L968" s="21"/>
      <c r="M968" s="21"/>
      <c r="N968" s="8" t="str">
        <f aca="false">IF(A968="","",IF(COUNTIFS(Reconcile!$I:$I,A968,Reconcile!$H:$H,"&gt;="&amp;(J968-0.01),Reconcile!$H:$H,"&lt;="&amp;(J968+0.01))&gt;0,"Yes","Not yet"))</f>
        <v/>
      </c>
      <c r="O968" s="21"/>
    </row>
    <row r="969" customFormat="false" ht="15" hidden="false" customHeight="false" outlineLevel="0" collapsed="false">
      <c r="A969" s="20"/>
      <c r="B969" s="21"/>
      <c r="C969" s="21"/>
      <c r="D969" s="21"/>
      <c r="E969" s="21"/>
      <c r="F969" s="22"/>
      <c r="G969" s="20"/>
      <c r="H969" s="23"/>
      <c r="I969" s="24"/>
      <c r="J969" s="14" t="str">
        <f aca="false">IF(C969="","",-E969*H969*IF(OR(B969="Sell call",B969="Buy to close",B969="Expired",B969="Assigned"),100,1)-I969)</f>
        <v/>
      </c>
      <c r="K969" s="21"/>
      <c r="L969" s="21"/>
      <c r="M969" s="21"/>
      <c r="N969" s="8" t="str">
        <f aca="false">IF(A969="","",IF(COUNTIFS(Reconcile!$I:$I,A969,Reconcile!$H:$H,"&gt;="&amp;(J969-0.01),Reconcile!$H:$H,"&lt;="&amp;(J969+0.01))&gt;0,"Yes","Not yet"))</f>
        <v/>
      </c>
      <c r="O969" s="21"/>
    </row>
    <row r="970" customFormat="false" ht="15" hidden="false" customHeight="false" outlineLevel="0" collapsed="false">
      <c r="A970" s="20"/>
      <c r="B970" s="21"/>
      <c r="C970" s="21"/>
      <c r="D970" s="21"/>
      <c r="E970" s="21"/>
      <c r="F970" s="22"/>
      <c r="G970" s="20"/>
      <c r="H970" s="23"/>
      <c r="I970" s="24"/>
      <c r="J970" s="14" t="str">
        <f aca="false">IF(C970="","",-E970*H970*IF(OR(B970="Sell call",B970="Buy to close",B970="Expired",B970="Assigned"),100,1)-I970)</f>
        <v/>
      </c>
      <c r="K970" s="21"/>
      <c r="L970" s="21"/>
      <c r="M970" s="21"/>
      <c r="N970" s="8" t="str">
        <f aca="false">IF(A970="","",IF(COUNTIFS(Reconcile!$I:$I,A970,Reconcile!$H:$H,"&gt;="&amp;(J970-0.01),Reconcile!$H:$H,"&lt;="&amp;(J970+0.01))&gt;0,"Yes","Not yet"))</f>
        <v/>
      </c>
      <c r="O970" s="21"/>
    </row>
    <row r="971" customFormat="false" ht="15" hidden="false" customHeight="false" outlineLevel="0" collapsed="false">
      <c r="A971" s="20"/>
      <c r="B971" s="21"/>
      <c r="C971" s="21"/>
      <c r="D971" s="21"/>
      <c r="E971" s="21"/>
      <c r="F971" s="22"/>
      <c r="G971" s="20"/>
      <c r="H971" s="23"/>
      <c r="I971" s="24"/>
      <c r="J971" s="14" t="str">
        <f aca="false">IF(C971="","",-E971*H971*IF(OR(B971="Sell call",B971="Buy to close",B971="Expired",B971="Assigned"),100,1)-I971)</f>
        <v/>
      </c>
      <c r="K971" s="21"/>
      <c r="L971" s="21"/>
      <c r="M971" s="21"/>
      <c r="N971" s="8" t="str">
        <f aca="false">IF(A971="","",IF(COUNTIFS(Reconcile!$I:$I,A971,Reconcile!$H:$H,"&gt;="&amp;(J971-0.01),Reconcile!$H:$H,"&lt;="&amp;(J971+0.01))&gt;0,"Yes","Not yet"))</f>
        <v/>
      </c>
      <c r="O971" s="21"/>
    </row>
    <row r="972" customFormat="false" ht="15" hidden="false" customHeight="false" outlineLevel="0" collapsed="false">
      <c r="A972" s="20"/>
      <c r="B972" s="21"/>
      <c r="C972" s="21"/>
      <c r="D972" s="21"/>
      <c r="E972" s="21"/>
      <c r="F972" s="22"/>
      <c r="G972" s="20"/>
      <c r="H972" s="23"/>
      <c r="I972" s="24"/>
      <c r="J972" s="14" t="str">
        <f aca="false">IF(C972="","",-E972*H972*IF(OR(B972="Sell call",B972="Buy to close",B972="Expired",B972="Assigned"),100,1)-I972)</f>
        <v/>
      </c>
      <c r="K972" s="21"/>
      <c r="L972" s="21"/>
      <c r="M972" s="21"/>
      <c r="N972" s="8" t="str">
        <f aca="false">IF(A972="","",IF(COUNTIFS(Reconcile!$I:$I,A972,Reconcile!$H:$H,"&gt;="&amp;(J972-0.01),Reconcile!$H:$H,"&lt;="&amp;(J972+0.01))&gt;0,"Yes","Not yet"))</f>
        <v/>
      </c>
      <c r="O972" s="21"/>
    </row>
    <row r="973" customFormat="false" ht="15" hidden="false" customHeight="false" outlineLevel="0" collapsed="false">
      <c r="A973" s="20"/>
      <c r="B973" s="21"/>
      <c r="C973" s="21"/>
      <c r="D973" s="21"/>
      <c r="E973" s="21"/>
      <c r="F973" s="22"/>
      <c r="G973" s="20"/>
      <c r="H973" s="23"/>
      <c r="I973" s="24"/>
      <c r="J973" s="14" t="str">
        <f aca="false">IF(C973="","",-E973*H973*IF(OR(B973="Sell call",B973="Buy to close",B973="Expired",B973="Assigned"),100,1)-I973)</f>
        <v/>
      </c>
      <c r="K973" s="21"/>
      <c r="L973" s="21"/>
      <c r="M973" s="21"/>
      <c r="N973" s="8" t="str">
        <f aca="false">IF(A973="","",IF(COUNTIFS(Reconcile!$I:$I,A973,Reconcile!$H:$H,"&gt;="&amp;(J973-0.01),Reconcile!$H:$H,"&lt;="&amp;(J973+0.01))&gt;0,"Yes","Not yet"))</f>
        <v/>
      </c>
      <c r="O973" s="21"/>
    </row>
    <row r="974" customFormat="false" ht="15" hidden="false" customHeight="false" outlineLevel="0" collapsed="false">
      <c r="A974" s="20"/>
      <c r="B974" s="21"/>
      <c r="C974" s="21"/>
      <c r="D974" s="21"/>
      <c r="E974" s="21"/>
      <c r="F974" s="22"/>
      <c r="G974" s="20"/>
      <c r="H974" s="23"/>
      <c r="I974" s="24"/>
      <c r="J974" s="14" t="str">
        <f aca="false">IF(C974="","",-E974*H974*IF(OR(B974="Sell call",B974="Buy to close",B974="Expired",B974="Assigned"),100,1)-I974)</f>
        <v/>
      </c>
      <c r="K974" s="21"/>
      <c r="L974" s="21"/>
      <c r="M974" s="21"/>
      <c r="N974" s="8" t="str">
        <f aca="false">IF(A974="","",IF(COUNTIFS(Reconcile!$I:$I,A974,Reconcile!$H:$H,"&gt;="&amp;(J974-0.01),Reconcile!$H:$H,"&lt;="&amp;(J974+0.01))&gt;0,"Yes","Not yet"))</f>
        <v/>
      </c>
      <c r="O974" s="21"/>
    </row>
    <row r="975" customFormat="false" ht="15" hidden="false" customHeight="false" outlineLevel="0" collapsed="false">
      <c r="A975" s="20"/>
      <c r="B975" s="21"/>
      <c r="C975" s="21"/>
      <c r="D975" s="21"/>
      <c r="E975" s="21"/>
      <c r="F975" s="22"/>
      <c r="G975" s="20"/>
      <c r="H975" s="23"/>
      <c r="I975" s="24"/>
      <c r="J975" s="14" t="str">
        <f aca="false">IF(C975="","",-E975*H975*IF(OR(B975="Sell call",B975="Buy to close",B975="Expired",B975="Assigned"),100,1)-I975)</f>
        <v/>
      </c>
      <c r="K975" s="21"/>
      <c r="L975" s="21"/>
      <c r="M975" s="21"/>
      <c r="N975" s="8" t="str">
        <f aca="false">IF(A975="","",IF(COUNTIFS(Reconcile!$I:$I,A975,Reconcile!$H:$H,"&gt;="&amp;(J975-0.01),Reconcile!$H:$H,"&lt;="&amp;(J975+0.01))&gt;0,"Yes","Not yet"))</f>
        <v/>
      </c>
      <c r="O975" s="21"/>
    </row>
    <row r="976" customFormat="false" ht="15" hidden="false" customHeight="false" outlineLevel="0" collapsed="false">
      <c r="A976" s="20"/>
      <c r="B976" s="21"/>
      <c r="C976" s="21"/>
      <c r="D976" s="21"/>
      <c r="E976" s="21"/>
      <c r="F976" s="22"/>
      <c r="G976" s="20"/>
      <c r="H976" s="23"/>
      <c r="I976" s="24"/>
      <c r="J976" s="14" t="str">
        <f aca="false">IF(C976="","",-E976*H976*IF(OR(B976="Sell call",B976="Buy to close",B976="Expired",B976="Assigned"),100,1)-I976)</f>
        <v/>
      </c>
      <c r="K976" s="21"/>
      <c r="L976" s="21"/>
      <c r="M976" s="21"/>
      <c r="N976" s="8" t="str">
        <f aca="false">IF(A976="","",IF(COUNTIFS(Reconcile!$I:$I,A976,Reconcile!$H:$H,"&gt;="&amp;(J976-0.01),Reconcile!$H:$H,"&lt;="&amp;(J976+0.01))&gt;0,"Yes","Not yet"))</f>
        <v/>
      </c>
      <c r="O976" s="21"/>
    </row>
    <row r="977" customFormat="false" ht="15" hidden="false" customHeight="false" outlineLevel="0" collapsed="false">
      <c r="A977" s="20"/>
      <c r="B977" s="21"/>
      <c r="C977" s="21"/>
      <c r="D977" s="21"/>
      <c r="E977" s="21"/>
      <c r="F977" s="22"/>
      <c r="G977" s="20"/>
      <c r="H977" s="23"/>
      <c r="I977" s="24"/>
      <c r="J977" s="14" t="str">
        <f aca="false">IF(C977="","",-E977*H977*IF(OR(B977="Sell call",B977="Buy to close",B977="Expired",B977="Assigned"),100,1)-I977)</f>
        <v/>
      </c>
      <c r="K977" s="21"/>
      <c r="L977" s="21"/>
      <c r="M977" s="21"/>
      <c r="N977" s="8" t="str">
        <f aca="false">IF(A977="","",IF(COUNTIFS(Reconcile!$I:$I,A977,Reconcile!$H:$H,"&gt;="&amp;(J977-0.01),Reconcile!$H:$H,"&lt;="&amp;(J977+0.01))&gt;0,"Yes","Not yet"))</f>
        <v/>
      </c>
      <c r="O977" s="21"/>
    </row>
    <row r="978" customFormat="false" ht="15" hidden="false" customHeight="false" outlineLevel="0" collapsed="false">
      <c r="A978" s="20"/>
      <c r="B978" s="21"/>
      <c r="C978" s="21"/>
      <c r="D978" s="21"/>
      <c r="E978" s="21"/>
      <c r="F978" s="22"/>
      <c r="G978" s="20"/>
      <c r="H978" s="23"/>
      <c r="I978" s="24"/>
      <c r="J978" s="14" t="str">
        <f aca="false">IF(C978="","",-E978*H978*IF(OR(B978="Sell call",B978="Buy to close",B978="Expired",B978="Assigned"),100,1)-I978)</f>
        <v/>
      </c>
      <c r="K978" s="21"/>
      <c r="L978" s="21"/>
      <c r="M978" s="21"/>
      <c r="N978" s="8" t="str">
        <f aca="false">IF(A978="","",IF(COUNTIFS(Reconcile!$I:$I,A978,Reconcile!$H:$H,"&gt;="&amp;(J978-0.01),Reconcile!$H:$H,"&lt;="&amp;(J978+0.01))&gt;0,"Yes","Not yet"))</f>
        <v/>
      </c>
      <c r="O978" s="21"/>
    </row>
    <row r="979" customFormat="false" ht="15" hidden="false" customHeight="false" outlineLevel="0" collapsed="false">
      <c r="A979" s="20"/>
      <c r="B979" s="21"/>
      <c r="C979" s="21"/>
      <c r="D979" s="21"/>
      <c r="E979" s="21"/>
      <c r="F979" s="22"/>
      <c r="G979" s="20"/>
      <c r="H979" s="23"/>
      <c r="I979" s="24"/>
      <c r="J979" s="14" t="str">
        <f aca="false">IF(C979="","",-E979*H979*IF(OR(B979="Sell call",B979="Buy to close",B979="Expired",B979="Assigned"),100,1)-I979)</f>
        <v/>
      </c>
      <c r="K979" s="21"/>
      <c r="L979" s="21"/>
      <c r="M979" s="21"/>
      <c r="N979" s="8" t="str">
        <f aca="false">IF(A979="","",IF(COUNTIFS(Reconcile!$I:$I,A979,Reconcile!$H:$H,"&gt;="&amp;(J979-0.01),Reconcile!$H:$H,"&lt;="&amp;(J979+0.01))&gt;0,"Yes","Not yet"))</f>
        <v/>
      </c>
      <c r="O979" s="21"/>
    </row>
    <row r="980" customFormat="false" ht="15" hidden="false" customHeight="false" outlineLevel="0" collapsed="false">
      <c r="A980" s="20"/>
      <c r="B980" s="21"/>
      <c r="C980" s="21"/>
      <c r="D980" s="21"/>
      <c r="E980" s="21"/>
      <c r="F980" s="22"/>
      <c r="G980" s="20"/>
      <c r="H980" s="23"/>
      <c r="I980" s="24"/>
      <c r="J980" s="14" t="str">
        <f aca="false">IF(C980="","",-E980*H980*IF(OR(B980="Sell call",B980="Buy to close",B980="Expired",B980="Assigned"),100,1)-I980)</f>
        <v/>
      </c>
      <c r="K980" s="21"/>
      <c r="L980" s="21"/>
      <c r="M980" s="21"/>
      <c r="N980" s="8" t="str">
        <f aca="false">IF(A980="","",IF(COUNTIFS(Reconcile!$I:$I,A980,Reconcile!$H:$H,"&gt;="&amp;(J980-0.01),Reconcile!$H:$H,"&lt;="&amp;(J980+0.01))&gt;0,"Yes","Not yet"))</f>
        <v/>
      </c>
      <c r="O980" s="21"/>
    </row>
    <row r="981" customFormat="false" ht="15" hidden="false" customHeight="false" outlineLevel="0" collapsed="false">
      <c r="A981" s="20"/>
      <c r="B981" s="21"/>
      <c r="C981" s="21"/>
      <c r="D981" s="21"/>
      <c r="E981" s="21"/>
      <c r="F981" s="22"/>
      <c r="G981" s="20"/>
      <c r="H981" s="23"/>
      <c r="I981" s="24"/>
      <c r="J981" s="14" t="str">
        <f aca="false">IF(C981="","",-E981*H981*IF(OR(B981="Sell call",B981="Buy to close",B981="Expired",B981="Assigned"),100,1)-I981)</f>
        <v/>
      </c>
      <c r="K981" s="21"/>
      <c r="L981" s="21"/>
      <c r="M981" s="21"/>
      <c r="N981" s="8" t="str">
        <f aca="false">IF(A981="","",IF(COUNTIFS(Reconcile!$I:$I,A981,Reconcile!$H:$H,"&gt;="&amp;(J981-0.01),Reconcile!$H:$H,"&lt;="&amp;(J981+0.01))&gt;0,"Yes","Not yet"))</f>
        <v/>
      </c>
      <c r="O981" s="21"/>
    </row>
    <row r="982" customFormat="false" ht="15" hidden="false" customHeight="false" outlineLevel="0" collapsed="false">
      <c r="A982" s="20"/>
      <c r="B982" s="21"/>
      <c r="C982" s="21"/>
      <c r="D982" s="21"/>
      <c r="E982" s="21"/>
      <c r="F982" s="22"/>
      <c r="G982" s="20"/>
      <c r="H982" s="23"/>
      <c r="I982" s="24"/>
      <c r="J982" s="14" t="str">
        <f aca="false">IF(C982="","",-E982*H982*IF(OR(B982="Sell call",B982="Buy to close",B982="Expired",B982="Assigned"),100,1)-I982)</f>
        <v/>
      </c>
      <c r="K982" s="21"/>
      <c r="L982" s="21"/>
      <c r="M982" s="21"/>
      <c r="N982" s="8" t="str">
        <f aca="false">IF(A982="","",IF(COUNTIFS(Reconcile!$I:$I,A982,Reconcile!$H:$H,"&gt;="&amp;(J982-0.01),Reconcile!$H:$H,"&lt;="&amp;(J982+0.01))&gt;0,"Yes","Not yet"))</f>
        <v/>
      </c>
      <c r="O982" s="21"/>
    </row>
    <row r="983" customFormat="false" ht="15" hidden="false" customHeight="false" outlineLevel="0" collapsed="false">
      <c r="A983" s="20"/>
      <c r="B983" s="21"/>
      <c r="C983" s="21"/>
      <c r="D983" s="21"/>
      <c r="E983" s="21"/>
      <c r="F983" s="22"/>
      <c r="G983" s="20"/>
      <c r="H983" s="23"/>
      <c r="I983" s="24"/>
      <c r="J983" s="14" t="str">
        <f aca="false">IF(C983="","",-E983*H983*IF(OR(B983="Sell call",B983="Buy to close",B983="Expired",B983="Assigned"),100,1)-I983)</f>
        <v/>
      </c>
      <c r="K983" s="21"/>
      <c r="L983" s="21"/>
      <c r="M983" s="21"/>
      <c r="N983" s="8" t="str">
        <f aca="false">IF(A983="","",IF(COUNTIFS(Reconcile!$I:$I,A983,Reconcile!$H:$H,"&gt;="&amp;(J983-0.01),Reconcile!$H:$H,"&lt;="&amp;(J983+0.01))&gt;0,"Yes","Not yet"))</f>
        <v/>
      </c>
      <c r="O983" s="21"/>
    </row>
    <row r="984" customFormat="false" ht="15" hidden="false" customHeight="false" outlineLevel="0" collapsed="false">
      <c r="A984" s="20"/>
      <c r="B984" s="21"/>
      <c r="C984" s="21"/>
      <c r="D984" s="21"/>
      <c r="E984" s="21"/>
      <c r="F984" s="22"/>
      <c r="G984" s="20"/>
      <c r="H984" s="23"/>
      <c r="I984" s="24"/>
      <c r="J984" s="14" t="str">
        <f aca="false">IF(C984="","",-E984*H984*IF(OR(B984="Sell call",B984="Buy to close",B984="Expired",B984="Assigned"),100,1)-I984)</f>
        <v/>
      </c>
      <c r="K984" s="21"/>
      <c r="L984" s="21"/>
      <c r="M984" s="21"/>
      <c r="N984" s="8" t="str">
        <f aca="false">IF(A984="","",IF(COUNTIFS(Reconcile!$I:$I,A984,Reconcile!$H:$H,"&gt;="&amp;(J984-0.01),Reconcile!$H:$H,"&lt;="&amp;(J984+0.01))&gt;0,"Yes","Not yet"))</f>
        <v/>
      </c>
      <c r="O984" s="21"/>
    </row>
    <row r="985" customFormat="false" ht="15" hidden="false" customHeight="false" outlineLevel="0" collapsed="false">
      <c r="A985" s="20"/>
      <c r="B985" s="21"/>
      <c r="C985" s="21"/>
      <c r="D985" s="21"/>
      <c r="E985" s="21"/>
      <c r="F985" s="22"/>
      <c r="G985" s="20"/>
      <c r="H985" s="23"/>
      <c r="I985" s="24"/>
      <c r="J985" s="14" t="str">
        <f aca="false">IF(C985="","",-E985*H985*IF(OR(B985="Sell call",B985="Buy to close",B985="Expired",B985="Assigned"),100,1)-I985)</f>
        <v/>
      </c>
      <c r="K985" s="21"/>
      <c r="L985" s="21"/>
      <c r="M985" s="21"/>
      <c r="N985" s="8" t="str">
        <f aca="false">IF(A985="","",IF(COUNTIFS(Reconcile!$I:$I,A985,Reconcile!$H:$H,"&gt;="&amp;(J985-0.01),Reconcile!$H:$H,"&lt;="&amp;(J985+0.01))&gt;0,"Yes","Not yet"))</f>
        <v/>
      </c>
      <c r="O985" s="21"/>
    </row>
    <row r="986" customFormat="false" ht="15" hidden="false" customHeight="false" outlineLevel="0" collapsed="false">
      <c r="A986" s="20"/>
      <c r="B986" s="21"/>
      <c r="C986" s="21"/>
      <c r="D986" s="21"/>
      <c r="E986" s="21"/>
      <c r="F986" s="22"/>
      <c r="G986" s="20"/>
      <c r="H986" s="23"/>
      <c r="I986" s="24"/>
      <c r="J986" s="14" t="str">
        <f aca="false">IF(C986="","",-E986*H986*IF(OR(B986="Sell call",B986="Buy to close",B986="Expired",B986="Assigned"),100,1)-I986)</f>
        <v/>
      </c>
      <c r="K986" s="21"/>
      <c r="L986" s="21"/>
      <c r="M986" s="21"/>
      <c r="N986" s="8" t="str">
        <f aca="false">IF(A986="","",IF(COUNTIFS(Reconcile!$I:$I,A986,Reconcile!$H:$H,"&gt;="&amp;(J986-0.01),Reconcile!$H:$H,"&lt;="&amp;(J986+0.01))&gt;0,"Yes","Not yet"))</f>
        <v/>
      </c>
      <c r="O986" s="21"/>
    </row>
    <row r="987" customFormat="false" ht="15" hidden="false" customHeight="false" outlineLevel="0" collapsed="false">
      <c r="A987" s="20"/>
      <c r="B987" s="21"/>
      <c r="C987" s="21"/>
      <c r="D987" s="21"/>
      <c r="E987" s="21"/>
      <c r="F987" s="22"/>
      <c r="G987" s="20"/>
      <c r="H987" s="23"/>
      <c r="I987" s="24"/>
      <c r="J987" s="14" t="str">
        <f aca="false">IF(C987="","",-E987*H987*IF(OR(B987="Sell call",B987="Buy to close",B987="Expired",B987="Assigned"),100,1)-I987)</f>
        <v/>
      </c>
      <c r="K987" s="21"/>
      <c r="L987" s="21"/>
      <c r="M987" s="21"/>
      <c r="N987" s="8" t="str">
        <f aca="false">IF(A987="","",IF(COUNTIFS(Reconcile!$I:$I,A987,Reconcile!$H:$H,"&gt;="&amp;(J987-0.01),Reconcile!$H:$H,"&lt;="&amp;(J987+0.01))&gt;0,"Yes","Not yet"))</f>
        <v/>
      </c>
      <c r="O987" s="21"/>
    </row>
    <row r="988" customFormat="false" ht="15" hidden="false" customHeight="false" outlineLevel="0" collapsed="false">
      <c r="A988" s="20"/>
      <c r="B988" s="21"/>
      <c r="C988" s="21"/>
      <c r="D988" s="21"/>
      <c r="E988" s="21"/>
      <c r="F988" s="22"/>
      <c r="G988" s="20"/>
      <c r="H988" s="23"/>
      <c r="I988" s="24"/>
      <c r="J988" s="14" t="str">
        <f aca="false">IF(C988="","",-E988*H988*IF(OR(B988="Sell call",B988="Buy to close",B988="Expired",B988="Assigned"),100,1)-I988)</f>
        <v/>
      </c>
      <c r="K988" s="21"/>
      <c r="L988" s="21"/>
      <c r="M988" s="21"/>
      <c r="N988" s="8" t="str">
        <f aca="false">IF(A988="","",IF(COUNTIFS(Reconcile!$I:$I,A988,Reconcile!$H:$H,"&gt;="&amp;(J988-0.01),Reconcile!$H:$H,"&lt;="&amp;(J988+0.01))&gt;0,"Yes","Not yet"))</f>
        <v/>
      </c>
      <c r="O988" s="21"/>
    </row>
    <row r="989" customFormat="false" ht="15" hidden="false" customHeight="false" outlineLevel="0" collapsed="false">
      <c r="A989" s="20"/>
      <c r="B989" s="21"/>
      <c r="C989" s="21"/>
      <c r="D989" s="21"/>
      <c r="E989" s="21"/>
      <c r="F989" s="22"/>
      <c r="G989" s="20"/>
      <c r="H989" s="23"/>
      <c r="I989" s="24"/>
      <c r="J989" s="14" t="str">
        <f aca="false">IF(C989="","",-E989*H989*IF(OR(B989="Sell call",B989="Buy to close",B989="Expired",B989="Assigned"),100,1)-I989)</f>
        <v/>
      </c>
      <c r="K989" s="21"/>
      <c r="L989" s="21"/>
      <c r="M989" s="21"/>
      <c r="N989" s="8" t="str">
        <f aca="false">IF(A989="","",IF(COUNTIFS(Reconcile!$I:$I,A989,Reconcile!$H:$H,"&gt;="&amp;(J989-0.01),Reconcile!$H:$H,"&lt;="&amp;(J989+0.01))&gt;0,"Yes","Not yet"))</f>
        <v/>
      </c>
      <c r="O989" s="21"/>
    </row>
    <row r="990" customFormat="false" ht="15" hidden="false" customHeight="false" outlineLevel="0" collapsed="false">
      <c r="A990" s="20"/>
      <c r="B990" s="21"/>
      <c r="C990" s="21"/>
      <c r="D990" s="21"/>
      <c r="E990" s="21"/>
      <c r="F990" s="22"/>
      <c r="G990" s="20"/>
      <c r="H990" s="23"/>
      <c r="I990" s="24"/>
      <c r="J990" s="14" t="str">
        <f aca="false">IF(C990="","",-E990*H990*IF(OR(B990="Sell call",B990="Buy to close",B990="Expired",B990="Assigned"),100,1)-I990)</f>
        <v/>
      </c>
      <c r="K990" s="21"/>
      <c r="L990" s="21"/>
      <c r="M990" s="21"/>
      <c r="N990" s="8" t="str">
        <f aca="false">IF(A990="","",IF(COUNTIFS(Reconcile!$I:$I,A990,Reconcile!$H:$H,"&gt;="&amp;(J990-0.01),Reconcile!$H:$H,"&lt;="&amp;(J990+0.01))&gt;0,"Yes","Not yet"))</f>
        <v/>
      </c>
      <c r="O990" s="21"/>
    </row>
    <row r="991" customFormat="false" ht="15" hidden="false" customHeight="false" outlineLevel="0" collapsed="false">
      <c r="A991" s="20"/>
      <c r="B991" s="21"/>
      <c r="C991" s="21"/>
      <c r="D991" s="21"/>
      <c r="E991" s="21"/>
      <c r="F991" s="22"/>
      <c r="G991" s="20"/>
      <c r="H991" s="23"/>
      <c r="I991" s="24"/>
      <c r="J991" s="14" t="str">
        <f aca="false">IF(C991="","",-E991*H991*IF(OR(B991="Sell call",B991="Buy to close",B991="Expired",B991="Assigned"),100,1)-I991)</f>
        <v/>
      </c>
      <c r="K991" s="21"/>
      <c r="L991" s="21"/>
      <c r="M991" s="21"/>
      <c r="N991" s="8" t="str">
        <f aca="false">IF(A991="","",IF(COUNTIFS(Reconcile!$I:$I,A991,Reconcile!$H:$H,"&gt;="&amp;(J991-0.01),Reconcile!$H:$H,"&lt;="&amp;(J991+0.01))&gt;0,"Yes","Not yet"))</f>
        <v/>
      </c>
      <c r="O991" s="21"/>
    </row>
    <row r="992" customFormat="false" ht="15" hidden="false" customHeight="false" outlineLevel="0" collapsed="false">
      <c r="A992" s="20"/>
      <c r="B992" s="21"/>
      <c r="C992" s="21"/>
      <c r="D992" s="21"/>
      <c r="E992" s="21"/>
      <c r="F992" s="22"/>
      <c r="G992" s="20"/>
      <c r="H992" s="23"/>
      <c r="I992" s="24"/>
      <c r="J992" s="14" t="str">
        <f aca="false">IF(C992="","",-E992*H992*IF(OR(B992="Sell call",B992="Buy to close",B992="Expired",B992="Assigned"),100,1)-I992)</f>
        <v/>
      </c>
      <c r="K992" s="21"/>
      <c r="L992" s="21"/>
      <c r="M992" s="21"/>
      <c r="N992" s="8" t="str">
        <f aca="false">IF(A992="","",IF(COUNTIFS(Reconcile!$I:$I,A992,Reconcile!$H:$H,"&gt;="&amp;(J992-0.01),Reconcile!$H:$H,"&lt;="&amp;(J992+0.01))&gt;0,"Yes","Not yet"))</f>
        <v/>
      </c>
      <c r="O992" s="21"/>
    </row>
    <row r="993" customFormat="false" ht="15" hidden="false" customHeight="false" outlineLevel="0" collapsed="false">
      <c r="A993" s="20"/>
      <c r="B993" s="21"/>
      <c r="C993" s="21"/>
      <c r="D993" s="21"/>
      <c r="E993" s="21"/>
      <c r="F993" s="22"/>
      <c r="G993" s="20"/>
      <c r="H993" s="23"/>
      <c r="I993" s="24"/>
      <c r="J993" s="14" t="str">
        <f aca="false">IF(C993="","",-E993*H993*IF(OR(B993="Sell call",B993="Buy to close",B993="Expired",B993="Assigned"),100,1)-I993)</f>
        <v/>
      </c>
      <c r="K993" s="21"/>
      <c r="L993" s="21"/>
      <c r="M993" s="21"/>
      <c r="N993" s="8" t="str">
        <f aca="false">IF(A993="","",IF(COUNTIFS(Reconcile!$I:$I,A993,Reconcile!$H:$H,"&gt;="&amp;(J993-0.01),Reconcile!$H:$H,"&lt;="&amp;(J993+0.01))&gt;0,"Yes","Not yet"))</f>
        <v/>
      </c>
      <c r="O993" s="21"/>
    </row>
    <row r="994" customFormat="false" ht="15" hidden="false" customHeight="false" outlineLevel="0" collapsed="false">
      <c r="A994" s="20"/>
      <c r="B994" s="21"/>
      <c r="C994" s="21"/>
      <c r="D994" s="21"/>
      <c r="E994" s="21"/>
      <c r="F994" s="22"/>
      <c r="G994" s="20"/>
      <c r="H994" s="23"/>
      <c r="I994" s="24"/>
      <c r="J994" s="14" t="str">
        <f aca="false">IF(C994="","",-E994*H994*IF(OR(B994="Sell call",B994="Buy to close",B994="Expired",B994="Assigned"),100,1)-I994)</f>
        <v/>
      </c>
      <c r="K994" s="21"/>
      <c r="L994" s="21"/>
      <c r="M994" s="21"/>
      <c r="N994" s="8" t="str">
        <f aca="false">IF(A994="","",IF(COUNTIFS(Reconcile!$I:$I,A994,Reconcile!$H:$H,"&gt;="&amp;(J994-0.01),Reconcile!$H:$H,"&lt;="&amp;(J994+0.01))&gt;0,"Yes","Not yet"))</f>
        <v/>
      </c>
      <c r="O994" s="21"/>
    </row>
    <row r="995" customFormat="false" ht="15" hidden="false" customHeight="false" outlineLevel="0" collapsed="false">
      <c r="A995" s="20"/>
      <c r="B995" s="21"/>
      <c r="C995" s="21"/>
      <c r="D995" s="21"/>
      <c r="E995" s="21"/>
      <c r="F995" s="22"/>
      <c r="G995" s="20"/>
      <c r="H995" s="23"/>
      <c r="I995" s="24"/>
      <c r="J995" s="14" t="str">
        <f aca="false">IF(C995="","",-E995*H995*IF(OR(B995="Sell call",B995="Buy to close",B995="Expired",B995="Assigned"),100,1)-I995)</f>
        <v/>
      </c>
      <c r="K995" s="21"/>
      <c r="L995" s="21"/>
      <c r="M995" s="21"/>
      <c r="N995" s="8" t="str">
        <f aca="false">IF(A995="","",IF(COUNTIFS(Reconcile!$I:$I,A995,Reconcile!$H:$H,"&gt;="&amp;(J995-0.01),Reconcile!$H:$H,"&lt;="&amp;(J995+0.01))&gt;0,"Yes","Not yet"))</f>
        <v/>
      </c>
      <c r="O995" s="21"/>
    </row>
    <row r="996" customFormat="false" ht="15" hidden="false" customHeight="false" outlineLevel="0" collapsed="false">
      <c r="A996" s="20"/>
      <c r="B996" s="21"/>
      <c r="C996" s="21"/>
      <c r="D996" s="21"/>
      <c r="E996" s="21"/>
      <c r="F996" s="22"/>
      <c r="G996" s="20"/>
      <c r="H996" s="23"/>
      <c r="I996" s="24"/>
      <c r="J996" s="14" t="str">
        <f aca="false">IF(C996="","",-E996*H996*IF(OR(B996="Sell call",B996="Buy to close",B996="Expired",B996="Assigned"),100,1)-I996)</f>
        <v/>
      </c>
      <c r="K996" s="21"/>
      <c r="L996" s="21"/>
      <c r="M996" s="21"/>
      <c r="N996" s="8" t="str">
        <f aca="false">IF(A996="","",IF(COUNTIFS(Reconcile!$I:$I,A996,Reconcile!$H:$H,"&gt;="&amp;(J996-0.01),Reconcile!$H:$H,"&lt;="&amp;(J996+0.01))&gt;0,"Yes","Not yet"))</f>
        <v/>
      </c>
      <c r="O996" s="21"/>
    </row>
    <row r="997" customFormat="false" ht="15" hidden="false" customHeight="false" outlineLevel="0" collapsed="false">
      <c r="A997" s="20"/>
      <c r="B997" s="21"/>
      <c r="C997" s="21"/>
      <c r="D997" s="21"/>
      <c r="E997" s="21"/>
      <c r="F997" s="22"/>
      <c r="G997" s="20"/>
      <c r="H997" s="23"/>
      <c r="I997" s="24"/>
      <c r="J997" s="14" t="str">
        <f aca="false">IF(C997="","",-E997*H997*IF(OR(B997="Sell call",B997="Buy to close",B997="Expired",B997="Assigned"),100,1)-I997)</f>
        <v/>
      </c>
      <c r="K997" s="21"/>
      <c r="L997" s="21"/>
      <c r="M997" s="21"/>
      <c r="N997" s="8" t="str">
        <f aca="false">IF(A997="","",IF(COUNTIFS(Reconcile!$I:$I,A997,Reconcile!$H:$H,"&gt;="&amp;(J997-0.01),Reconcile!$H:$H,"&lt;="&amp;(J997+0.01))&gt;0,"Yes","Not yet"))</f>
        <v/>
      </c>
      <c r="O997" s="21"/>
    </row>
    <row r="998" customFormat="false" ht="15" hidden="false" customHeight="false" outlineLevel="0" collapsed="false">
      <c r="A998" s="20"/>
      <c r="B998" s="21"/>
      <c r="C998" s="21"/>
      <c r="D998" s="21"/>
      <c r="E998" s="21"/>
      <c r="F998" s="22"/>
      <c r="G998" s="20"/>
      <c r="H998" s="23"/>
      <c r="I998" s="24"/>
      <c r="J998" s="14" t="str">
        <f aca="false">IF(C998="","",-E998*H998*IF(OR(B998="Sell call",B998="Buy to close",B998="Expired",B998="Assigned"),100,1)-I998)</f>
        <v/>
      </c>
      <c r="K998" s="21"/>
      <c r="L998" s="21"/>
      <c r="M998" s="21"/>
      <c r="N998" s="8" t="str">
        <f aca="false">IF(A998="","",IF(COUNTIFS(Reconcile!$I:$I,A998,Reconcile!$H:$H,"&gt;="&amp;(J998-0.01),Reconcile!$H:$H,"&lt;="&amp;(J998+0.01))&gt;0,"Yes","Not yet"))</f>
        <v/>
      </c>
      <c r="O998" s="21"/>
    </row>
    <row r="999" customFormat="false" ht="15" hidden="false" customHeight="false" outlineLevel="0" collapsed="false">
      <c r="A999" s="20"/>
      <c r="B999" s="21"/>
      <c r="C999" s="21"/>
      <c r="D999" s="21"/>
      <c r="E999" s="21"/>
      <c r="F999" s="22"/>
      <c r="G999" s="20"/>
      <c r="H999" s="23"/>
      <c r="I999" s="24"/>
      <c r="J999" s="14" t="str">
        <f aca="false">IF(C999="","",-E999*H999*IF(OR(B999="Sell call",B999="Buy to close",B999="Expired",B999="Assigned"),100,1)-I999)</f>
        <v/>
      </c>
      <c r="K999" s="21"/>
      <c r="L999" s="21"/>
      <c r="M999" s="21"/>
      <c r="N999" s="8" t="str">
        <f aca="false">IF(A999="","",IF(COUNTIFS(Reconcile!$I:$I,A999,Reconcile!$H:$H,"&gt;="&amp;(J999-0.01),Reconcile!$H:$H,"&lt;="&amp;(J999+0.01))&gt;0,"Yes","Not yet"))</f>
        <v/>
      </c>
      <c r="O999" s="21"/>
    </row>
    <row r="1000" customFormat="false" ht="15" hidden="false" customHeight="false" outlineLevel="0" collapsed="false">
      <c r="A1000" s="20"/>
      <c r="B1000" s="21"/>
      <c r="C1000" s="21"/>
      <c r="D1000" s="21"/>
      <c r="E1000" s="21"/>
      <c r="F1000" s="22"/>
      <c r="G1000" s="20"/>
      <c r="H1000" s="23"/>
      <c r="I1000" s="24"/>
      <c r="J1000" s="14" t="str">
        <f aca="false">IF(C1000="","",-E1000*H1000*IF(OR(B1000="Sell call",B1000="Buy to close",B1000="Expired",B1000="Assigned"),100,1)-I1000)</f>
        <v/>
      </c>
      <c r="K1000" s="21"/>
      <c r="L1000" s="21"/>
      <c r="M1000" s="21"/>
      <c r="N1000" s="8" t="str">
        <f aca="false">IF(A1000="","",IF(COUNTIFS(Reconcile!$I:$I,A1000,Reconcile!$H:$H,"&gt;="&amp;(J1000-0.01),Reconcile!$H:$H,"&lt;="&amp;(J1000+0.01))&gt;0,"Yes","Not yet"))</f>
        <v/>
      </c>
      <c r="O1000" s="21"/>
    </row>
  </sheetData>
  <dataValidations count="1">
    <dataValidation allowBlank="true" errorStyle="stop" operator="between" showDropDown="false" showErrorMessage="false" showInputMessage="false" sqref="B2:B1000" type="list">
      <formula1>"Buy shares,Sell shares,Sell call,Buy to close,Expired,Assigned"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2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8"/>
    <col collapsed="false" customWidth="true" hidden="false" outlineLevel="0" max="3" min="3" style="0" width="11"/>
    <col collapsed="false" customWidth="true" hidden="false" outlineLevel="0" max="4" min="4" style="0" width="9"/>
    <col collapsed="false" customWidth="true" hidden="false" outlineLevel="0" max="5" min="5" style="0" width="10"/>
    <col collapsed="false" customWidth="true" hidden="false" outlineLevel="0" max="7" min="6" style="0" width="9"/>
    <col collapsed="false" customWidth="true" hidden="false" outlineLevel="0" max="10" min="8" style="0" width="12"/>
    <col collapsed="false" customWidth="true" hidden="false" outlineLevel="0" max="11" min="11" style="0" width="11"/>
    <col collapsed="false" customWidth="true" hidden="false" outlineLevel="0" max="12" min="12" style="0" width="10"/>
    <col collapsed="false" customWidth="true" hidden="false" outlineLevel="0" max="14" min="13" style="0" width="12"/>
    <col collapsed="false" customWidth="true" hidden="false" outlineLevel="0" max="15" min="15" style="0" width="10"/>
    <col collapsed="false" customWidth="true" hidden="false" outlineLevel="0" max="16" min="16" style="0" width="11"/>
    <col collapsed="false" customWidth="true" hidden="false" outlineLevel="0" max="17" min="17" style="0" width="22"/>
    <col collapsed="false" customWidth="true" hidden="false" outlineLevel="0" max="18" min="18" style="0" width="12"/>
    <col collapsed="false" customWidth="true" hidden="false" outlineLevel="0" max="19" min="19" style="0" width="11"/>
    <col collapsed="false" customWidth="true" hidden="false" outlineLevel="0" max="20" min="20" style="0" width="13"/>
  </cols>
  <sheetData>
    <row r="1" customFormat="false" ht="30" hidden="false" customHeight="true" outlineLevel="0" collapsed="false">
      <c r="A1" s="25" t="s">
        <v>102</v>
      </c>
      <c r="B1" s="25" t="s">
        <v>90</v>
      </c>
      <c r="C1" s="25" t="s">
        <v>113</v>
      </c>
      <c r="D1" s="25" t="s">
        <v>114</v>
      </c>
      <c r="E1" s="25" t="s">
        <v>115</v>
      </c>
      <c r="F1" s="25" t="s">
        <v>116</v>
      </c>
      <c r="G1" s="25" t="s">
        <v>80</v>
      </c>
      <c r="H1" s="25" t="s">
        <v>117</v>
      </c>
      <c r="I1" s="25" t="s">
        <v>118</v>
      </c>
      <c r="J1" s="25" t="s">
        <v>119</v>
      </c>
      <c r="K1" s="25" t="s">
        <v>120</v>
      </c>
      <c r="L1" s="25" t="s">
        <v>121</v>
      </c>
      <c r="M1" s="25" t="s">
        <v>82</v>
      </c>
      <c r="N1" s="25" t="s">
        <v>122</v>
      </c>
      <c r="O1" s="25" t="s">
        <v>123</v>
      </c>
      <c r="P1" s="25" t="s">
        <v>124</v>
      </c>
      <c r="Q1" s="25" t="s">
        <v>125</v>
      </c>
      <c r="R1" s="25" t="s">
        <v>126</v>
      </c>
      <c r="S1" s="25" t="s">
        <v>127</v>
      </c>
      <c r="T1" s="25" t="s">
        <v>128</v>
      </c>
    </row>
    <row r="2" customFormat="false" ht="15" hidden="false" customHeight="false" outlineLevel="0" collapsed="false">
      <c r="A2" s="21" t="s">
        <v>109</v>
      </c>
      <c r="B2" s="8" t="str">
        <f aca="false">IF($A2="","",IFERROR(INDEX(Transactions!$C:$C,MATCH($A2,Transactions!$O:$O,0)),""))</f>
        <v>PFE</v>
      </c>
      <c r="C2" s="10" t="n">
        <f aca="false">IF($A2="","",IF(COUNTIFS(Transactions!$O:$O,$A2,Transactions!$B:$B,"Buy shares")=0,"",_xlfn.MINIFS(Transactions!$A:$A,Transactions!$O:$O,$A2,Transactions!$B:$B,"Buy shares")))</f>
        <v>46286</v>
      </c>
      <c r="D2" s="18" t="n">
        <f aca="false">IF($A2="","",SUMIFS(Transactions!$E:$E,Transactions!$O:$O,$A2,Transactions!$B:$B,"Buy shares"))</f>
        <v>100</v>
      </c>
      <c r="E2" s="26" t="n">
        <f aca="false">IF($A2="","",IF(D2=0,"",-SUMIFS(Transactions!$J:$J,Transactions!$O:$O,$A2,Transactions!$B:$B,"Buy shares")/D2))</f>
        <v>27.8</v>
      </c>
      <c r="F2" s="18" t="n">
        <f aca="false">IF($A2="","",-SUMIFS(Transactions!$E:$E,Transactions!$O:$O,$A2,Transactions!$B:$B,"Sell shares"))</f>
        <v>-0</v>
      </c>
      <c r="G2" s="18" t="n">
        <f aca="false">IF($A2="","",D2-F2)</f>
        <v>100</v>
      </c>
      <c r="H2" s="14" t="n">
        <f aca="false">IF($A2="","",SUMIFS(Transactions!$J:$J,Transactions!$O:$O,$A2,Transactions!$B:$B,"Sell call")+SUMIFS(Transactions!$J:$J,Transactions!$O:$O,$A2,Transactions!$B:$B,"Buy to close"))</f>
        <v>55</v>
      </c>
      <c r="I2" s="26" t="n">
        <f aca="false">IF(OR($A2="",E2=""),"",E2-H2/D2)</f>
        <v>27.25</v>
      </c>
      <c r="J2" s="26" t="n">
        <f aca="false">IF($A2="","",IFERROR(INDEX(Positions!$K:$K,MATCH(B2,Positions!$B:$B,0)),""))</f>
        <v>27.775</v>
      </c>
      <c r="K2" s="23"/>
      <c r="L2" s="26" t="n">
        <f aca="false">IF($A2="","",IF(K2&lt;&gt;"",K2,J2))</f>
        <v>27.775</v>
      </c>
      <c r="M2" s="14" t="n">
        <f aca="false">IF(OR($A2="",L2=""),"",L2*G2)</f>
        <v>2777.5</v>
      </c>
      <c r="N2" s="14" t="n">
        <f aca="false">IF(OR(M2="",E2=""),"",(L2-E2)*G2)</f>
        <v>-2.50000000000021</v>
      </c>
      <c r="O2" s="8" t="str">
        <f aca="false">IF($A2="","",IF(G2&lt;=0,"Sold",IF((-SUMIFS(Transactions!$E:$E,Transactions!$O:$O,$A2,Transactions!$B:$B,"Sell call")-SUMIFS(Transactions!$E:$E,Transactions!$O:$O,$A2,Transactions!$B:$B,"Buy to close")-SUMIFS(Transactions!$E:$E,Transactions!$O:$O,$A2,Transactions!$B:$B,"Expired")-SUMIFS(Transactions!$E:$E,Transactions!$O:$O,$A2,Transactions!$B:$B,"Assigned"))&gt;0,"Covered","Free")))</f>
        <v>Covered</v>
      </c>
      <c r="P2" s="26" t="n">
        <f aca="false">IF(OR(I2="",G2&lt;=0),"",CEILING(MAX(I2,N(L2)),IF(E2&lt;50,0.5,IF(E2&lt;200,1,5))))</f>
        <v>28</v>
      </c>
      <c r="Q2" s="8" t="str">
        <f aca="true">IF(OR(N2="",G2&lt;=0),"",IF(N2&gt;=0,"",IF(COUNTIFS($B:$B,B2,$C:$C,"&gt;="&amp;(TODAY()-30),$C:$C,"&lt;="&amp;TODAY(),$A:$A,"&lt;&gt;"&amp;$A2)&gt;0,"Loss sale now = wash sale","OK to harvest loss")))</f>
        <v>OK to harvest loss</v>
      </c>
      <c r="R2" s="14" t="str">
        <f aca="false">IF(OR($A2="",N(F2)&lt;=0),"",SUMIFS(Transactions!$J:$J,Transactions!$O:$O,$A2,Transactions!$B:$B,"Sell shares")-E2*F2)</f>
        <v/>
      </c>
      <c r="S2" s="10" t="str">
        <f aca="false">IF(OR($A2="",N(F2)&lt;=0),"",_xlfn.MAXIFS(Transactions!$A:$A,Transactions!$O:$O,$A2,Transactions!$B:$B,"Sell shares"))</f>
        <v/>
      </c>
      <c r="T2" s="14" t="n">
        <f aca="false">IF(OR($A2="",E2=""),"",E2*G2)</f>
        <v>2780</v>
      </c>
    </row>
    <row r="3" customFormat="false" ht="15" hidden="false" customHeight="false" outlineLevel="0" collapsed="false">
      <c r="A3" s="21"/>
      <c r="B3" s="8" t="str">
        <f aca="false">IF($A3="","",IFERROR(INDEX(Transactions!$C:$C,MATCH($A3,Transactions!$O:$O,0)),""))</f>
        <v/>
      </c>
      <c r="C3" s="10" t="str">
        <f aca="false">IF($A3="","",IF(COUNTIFS(Transactions!$O:$O,$A3,Transactions!$B:$B,"Buy shares")=0,"",_xlfn.MINIFS(Transactions!$A:$A,Transactions!$O:$O,$A3,Transactions!$B:$B,"Buy shares")))</f>
        <v/>
      </c>
      <c r="D3" s="18" t="str">
        <f aca="false">IF($A3="","",SUMIFS(Transactions!$E:$E,Transactions!$O:$O,$A3,Transactions!$B:$B,"Buy shares"))</f>
        <v/>
      </c>
      <c r="E3" s="26" t="str">
        <f aca="false">IF($A3="","",IF(D3=0,"",-SUMIFS(Transactions!$J:$J,Transactions!$O:$O,$A3,Transactions!$B:$B,"Buy shares")/D3))</f>
        <v/>
      </c>
      <c r="F3" s="18" t="str">
        <f aca="false">IF($A3="","",-SUMIFS(Transactions!$E:$E,Transactions!$O:$O,$A3,Transactions!$B:$B,"Sell shares"))</f>
        <v/>
      </c>
      <c r="G3" s="18" t="str">
        <f aca="false">IF($A3="","",D3-F3)</f>
        <v/>
      </c>
      <c r="H3" s="14" t="str">
        <f aca="false">IF($A3="","",SUMIFS(Transactions!$J:$J,Transactions!$O:$O,$A3,Transactions!$B:$B,"Sell call")+SUMIFS(Transactions!$J:$J,Transactions!$O:$O,$A3,Transactions!$B:$B,"Buy to close"))</f>
        <v/>
      </c>
      <c r="I3" s="26" t="str">
        <f aca="false">IF(OR($A3="",E3=""),"",E3-H3/D3)</f>
        <v/>
      </c>
      <c r="J3" s="26" t="str">
        <f aca="false">IF($A3="","",IFERROR(INDEX(Positions!$K:$K,MATCH(B3,Positions!$B:$B,0)),""))</f>
        <v/>
      </c>
      <c r="K3" s="23"/>
      <c r="L3" s="26" t="str">
        <f aca="false">IF($A3="","",IF(K3&lt;&gt;"",K3,J3))</f>
        <v/>
      </c>
      <c r="M3" s="14" t="str">
        <f aca="false">IF(OR($A3="",L3=""),"",L3*G3)</f>
        <v/>
      </c>
      <c r="N3" s="14" t="str">
        <f aca="false">IF(OR(M3="",E3=""),"",(L3-E3)*G3)</f>
        <v/>
      </c>
      <c r="O3" s="8" t="str">
        <f aca="false">IF($A3="","",IF(G3&lt;=0,"Sold",IF((-SUMIFS(Transactions!$E:$E,Transactions!$O:$O,$A3,Transactions!$B:$B,"Sell call")-SUMIFS(Transactions!$E:$E,Transactions!$O:$O,$A3,Transactions!$B:$B,"Buy to close")-SUMIFS(Transactions!$E:$E,Transactions!$O:$O,$A3,Transactions!$B:$B,"Expired")-SUMIFS(Transactions!$E:$E,Transactions!$O:$O,$A3,Transactions!$B:$B,"Assigned"))&gt;0,"Covered","Free")))</f>
        <v/>
      </c>
      <c r="P3" s="26" t="str">
        <f aca="false">IF(OR(I3="",G3&lt;=0),"",CEILING(MAX(I3,N(L3)),IF(E3&lt;50,0.5,IF(E3&lt;200,1,5))))</f>
        <v/>
      </c>
      <c r="Q3" s="8" t="str">
        <f aca="true">IF(OR(N3="",G3&lt;=0),"",IF(N3&gt;=0,"",IF(COUNTIFS($B:$B,B3,$C:$C,"&gt;="&amp;(TODAY()-30),$C:$C,"&lt;="&amp;TODAY(),$A:$A,"&lt;&gt;"&amp;$A3)&gt;0,"Loss sale now = wash sale","OK to harvest loss")))</f>
        <v/>
      </c>
      <c r="R3" s="14" t="str">
        <f aca="false">IF(OR($A3="",N(F3)&lt;=0),"",SUMIFS(Transactions!$J:$J,Transactions!$O:$O,$A3,Transactions!$B:$B,"Sell shares")-E3*F3)</f>
        <v/>
      </c>
      <c r="S3" s="10" t="str">
        <f aca="false">IF(OR($A3="",N(F3)&lt;=0),"",_xlfn.MAXIFS(Transactions!$A:$A,Transactions!$O:$O,$A3,Transactions!$B:$B,"Sell shares"))</f>
        <v/>
      </c>
      <c r="T3" s="14" t="str">
        <f aca="false">IF(OR($A3="",E3=""),"",E3*G3)</f>
        <v/>
      </c>
    </row>
    <row r="4" customFormat="false" ht="15" hidden="false" customHeight="false" outlineLevel="0" collapsed="false">
      <c r="A4" s="21"/>
      <c r="B4" s="8" t="str">
        <f aca="false">IF($A4="","",IFERROR(INDEX(Transactions!$C:$C,MATCH($A4,Transactions!$O:$O,0)),""))</f>
        <v/>
      </c>
      <c r="C4" s="10" t="str">
        <f aca="false">IF($A4="","",IF(COUNTIFS(Transactions!$O:$O,$A4,Transactions!$B:$B,"Buy shares")=0,"",_xlfn.MINIFS(Transactions!$A:$A,Transactions!$O:$O,$A4,Transactions!$B:$B,"Buy shares")))</f>
        <v/>
      </c>
      <c r="D4" s="18" t="str">
        <f aca="false">IF($A4="","",SUMIFS(Transactions!$E:$E,Transactions!$O:$O,$A4,Transactions!$B:$B,"Buy shares"))</f>
        <v/>
      </c>
      <c r="E4" s="26" t="str">
        <f aca="false">IF($A4="","",IF(D4=0,"",-SUMIFS(Transactions!$J:$J,Transactions!$O:$O,$A4,Transactions!$B:$B,"Buy shares")/D4))</f>
        <v/>
      </c>
      <c r="F4" s="18" t="str">
        <f aca="false">IF($A4="","",-SUMIFS(Transactions!$E:$E,Transactions!$O:$O,$A4,Transactions!$B:$B,"Sell shares"))</f>
        <v/>
      </c>
      <c r="G4" s="18" t="str">
        <f aca="false">IF($A4="","",D4-F4)</f>
        <v/>
      </c>
      <c r="H4" s="14" t="str">
        <f aca="false">IF($A4="","",SUMIFS(Transactions!$J:$J,Transactions!$O:$O,$A4,Transactions!$B:$B,"Sell call")+SUMIFS(Transactions!$J:$J,Transactions!$O:$O,$A4,Transactions!$B:$B,"Buy to close"))</f>
        <v/>
      </c>
      <c r="I4" s="26" t="str">
        <f aca="false">IF(OR($A4="",E4=""),"",E4-H4/D4)</f>
        <v/>
      </c>
      <c r="J4" s="26" t="str">
        <f aca="false">IF($A4="","",IFERROR(INDEX(Positions!$K:$K,MATCH(B4,Positions!$B:$B,0)),""))</f>
        <v/>
      </c>
      <c r="K4" s="23"/>
      <c r="L4" s="26" t="str">
        <f aca="false">IF($A4="","",IF(K4&lt;&gt;"",K4,J4))</f>
        <v/>
      </c>
      <c r="M4" s="14" t="str">
        <f aca="false">IF(OR($A4="",L4=""),"",L4*G4)</f>
        <v/>
      </c>
      <c r="N4" s="14" t="str">
        <f aca="false">IF(OR(M4="",E4=""),"",(L4-E4)*G4)</f>
        <v/>
      </c>
      <c r="O4" s="8" t="str">
        <f aca="false">IF($A4="","",IF(G4&lt;=0,"Sold",IF((-SUMIFS(Transactions!$E:$E,Transactions!$O:$O,$A4,Transactions!$B:$B,"Sell call")-SUMIFS(Transactions!$E:$E,Transactions!$O:$O,$A4,Transactions!$B:$B,"Buy to close")-SUMIFS(Transactions!$E:$E,Transactions!$O:$O,$A4,Transactions!$B:$B,"Expired")-SUMIFS(Transactions!$E:$E,Transactions!$O:$O,$A4,Transactions!$B:$B,"Assigned"))&gt;0,"Covered","Free")))</f>
        <v/>
      </c>
      <c r="P4" s="26" t="str">
        <f aca="false">IF(OR(I4="",G4&lt;=0),"",CEILING(MAX(I4,N(L4)),IF(E4&lt;50,0.5,IF(E4&lt;200,1,5))))</f>
        <v/>
      </c>
      <c r="Q4" s="8" t="str">
        <f aca="true">IF(OR(N4="",G4&lt;=0),"",IF(N4&gt;=0,"",IF(COUNTIFS($B:$B,B4,$C:$C,"&gt;="&amp;(TODAY()-30),$C:$C,"&lt;="&amp;TODAY(),$A:$A,"&lt;&gt;"&amp;$A4)&gt;0,"Loss sale now = wash sale","OK to harvest loss")))</f>
        <v/>
      </c>
      <c r="R4" s="14" t="str">
        <f aca="false">IF(OR($A4="",N(F4)&lt;=0),"",SUMIFS(Transactions!$J:$J,Transactions!$O:$O,$A4,Transactions!$B:$B,"Sell shares")-E4*F4)</f>
        <v/>
      </c>
      <c r="S4" s="10" t="str">
        <f aca="false">IF(OR($A4="",N(F4)&lt;=0),"",_xlfn.MAXIFS(Transactions!$A:$A,Transactions!$O:$O,$A4,Transactions!$B:$B,"Sell shares"))</f>
        <v/>
      </c>
      <c r="T4" s="14" t="str">
        <f aca="false">IF(OR($A4="",E4=""),"",E4*G4)</f>
        <v/>
      </c>
    </row>
    <row r="5" customFormat="false" ht="15" hidden="false" customHeight="false" outlineLevel="0" collapsed="false">
      <c r="A5" s="21"/>
      <c r="B5" s="8" t="str">
        <f aca="false">IF($A5="","",IFERROR(INDEX(Transactions!$C:$C,MATCH($A5,Transactions!$O:$O,0)),""))</f>
        <v/>
      </c>
      <c r="C5" s="10" t="str">
        <f aca="false">IF($A5="","",IF(COUNTIFS(Transactions!$O:$O,$A5,Transactions!$B:$B,"Buy shares")=0,"",_xlfn.MINIFS(Transactions!$A:$A,Transactions!$O:$O,$A5,Transactions!$B:$B,"Buy shares")))</f>
        <v/>
      </c>
      <c r="D5" s="18" t="str">
        <f aca="false">IF($A5="","",SUMIFS(Transactions!$E:$E,Transactions!$O:$O,$A5,Transactions!$B:$B,"Buy shares"))</f>
        <v/>
      </c>
      <c r="E5" s="26" t="str">
        <f aca="false">IF($A5="","",IF(D5=0,"",-SUMIFS(Transactions!$J:$J,Transactions!$O:$O,$A5,Transactions!$B:$B,"Buy shares")/D5))</f>
        <v/>
      </c>
      <c r="F5" s="18" t="str">
        <f aca="false">IF($A5="","",-SUMIFS(Transactions!$E:$E,Transactions!$O:$O,$A5,Transactions!$B:$B,"Sell shares"))</f>
        <v/>
      </c>
      <c r="G5" s="18" t="str">
        <f aca="false">IF($A5="","",D5-F5)</f>
        <v/>
      </c>
      <c r="H5" s="14" t="str">
        <f aca="false">IF($A5="","",SUMIFS(Transactions!$J:$J,Transactions!$O:$O,$A5,Transactions!$B:$B,"Sell call")+SUMIFS(Transactions!$J:$J,Transactions!$O:$O,$A5,Transactions!$B:$B,"Buy to close"))</f>
        <v/>
      </c>
      <c r="I5" s="26" t="str">
        <f aca="false">IF(OR($A5="",E5=""),"",E5-H5/D5)</f>
        <v/>
      </c>
      <c r="J5" s="26" t="str">
        <f aca="false">IF($A5="","",IFERROR(INDEX(Positions!$K:$K,MATCH(B5,Positions!$B:$B,0)),""))</f>
        <v/>
      </c>
      <c r="K5" s="23"/>
      <c r="L5" s="26" t="str">
        <f aca="false">IF($A5="","",IF(K5&lt;&gt;"",K5,J5))</f>
        <v/>
      </c>
      <c r="M5" s="14" t="str">
        <f aca="false">IF(OR($A5="",L5=""),"",L5*G5)</f>
        <v/>
      </c>
      <c r="N5" s="14" t="str">
        <f aca="false">IF(OR(M5="",E5=""),"",(L5-E5)*G5)</f>
        <v/>
      </c>
      <c r="O5" s="8" t="str">
        <f aca="false">IF($A5="","",IF(G5&lt;=0,"Sold",IF((-SUMIFS(Transactions!$E:$E,Transactions!$O:$O,$A5,Transactions!$B:$B,"Sell call")-SUMIFS(Transactions!$E:$E,Transactions!$O:$O,$A5,Transactions!$B:$B,"Buy to close")-SUMIFS(Transactions!$E:$E,Transactions!$O:$O,$A5,Transactions!$B:$B,"Expired")-SUMIFS(Transactions!$E:$E,Transactions!$O:$O,$A5,Transactions!$B:$B,"Assigned"))&gt;0,"Covered","Free")))</f>
        <v/>
      </c>
      <c r="P5" s="26" t="str">
        <f aca="false">IF(OR(I5="",G5&lt;=0),"",CEILING(MAX(I5,N(L5)),IF(E5&lt;50,0.5,IF(E5&lt;200,1,5))))</f>
        <v/>
      </c>
      <c r="Q5" s="8" t="str">
        <f aca="true">IF(OR(N5="",G5&lt;=0),"",IF(N5&gt;=0,"",IF(COUNTIFS($B:$B,B5,$C:$C,"&gt;="&amp;(TODAY()-30),$C:$C,"&lt;="&amp;TODAY(),$A:$A,"&lt;&gt;"&amp;$A5)&gt;0,"Loss sale now = wash sale","OK to harvest loss")))</f>
        <v/>
      </c>
      <c r="R5" s="14" t="str">
        <f aca="false">IF(OR($A5="",N(F5)&lt;=0),"",SUMIFS(Transactions!$J:$J,Transactions!$O:$O,$A5,Transactions!$B:$B,"Sell shares")-E5*F5)</f>
        <v/>
      </c>
      <c r="S5" s="10" t="str">
        <f aca="false">IF(OR($A5="",N(F5)&lt;=0),"",_xlfn.MAXIFS(Transactions!$A:$A,Transactions!$O:$O,$A5,Transactions!$B:$B,"Sell shares"))</f>
        <v/>
      </c>
      <c r="T5" s="14" t="str">
        <f aca="false">IF(OR($A5="",E5=""),"",E5*G5)</f>
        <v/>
      </c>
    </row>
    <row r="6" customFormat="false" ht="15" hidden="false" customHeight="false" outlineLevel="0" collapsed="false">
      <c r="A6" s="21"/>
      <c r="B6" s="8" t="str">
        <f aca="false">IF($A6="","",IFERROR(INDEX(Transactions!$C:$C,MATCH($A6,Transactions!$O:$O,0)),""))</f>
        <v/>
      </c>
      <c r="C6" s="10" t="str">
        <f aca="false">IF($A6="","",IF(COUNTIFS(Transactions!$O:$O,$A6,Transactions!$B:$B,"Buy shares")=0,"",_xlfn.MINIFS(Transactions!$A:$A,Transactions!$O:$O,$A6,Transactions!$B:$B,"Buy shares")))</f>
        <v/>
      </c>
      <c r="D6" s="18" t="str">
        <f aca="false">IF($A6="","",SUMIFS(Transactions!$E:$E,Transactions!$O:$O,$A6,Transactions!$B:$B,"Buy shares"))</f>
        <v/>
      </c>
      <c r="E6" s="26" t="str">
        <f aca="false">IF($A6="","",IF(D6=0,"",-SUMIFS(Transactions!$J:$J,Transactions!$O:$O,$A6,Transactions!$B:$B,"Buy shares")/D6))</f>
        <v/>
      </c>
      <c r="F6" s="18" t="str">
        <f aca="false">IF($A6="","",-SUMIFS(Transactions!$E:$E,Transactions!$O:$O,$A6,Transactions!$B:$B,"Sell shares"))</f>
        <v/>
      </c>
      <c r="G6" s="18" t="str">
        <f aca="false">IF($A6="","",D6-F6)</f>
        <v/>
      </c>
      <c r="H6" s="14" t="str">
        <f aca="false">IF($A6="","",SUMIFS(Transactions!$J:$J,Transactions!$O:$O,$A6,Transactions!$B:$B,"Sell call")+SUMIFS(Transactions!$J:$J,Transactions!$O:$O,$A6,Transactions!$B:$B,"Buy to close"))</f>
        <v/>
      </c>
      <c r="I6" s="26" t="str">
        <f aca="false">IF(OR($A6="",E6=""),"",E6-H6/D6)</f>
        <v/>
      </c>
      <c r="J6" s="26" t="str">
        <f aca="false">IF($A6="","",IFERROR(INDEX(Positions!$K:$K,MATCH(B6,Positions!$B:$B,0)),""))</f>
        <v/>
      </c>
      <c r="K6" s="23"/>
      <c r="L6" s="26" t="str">
        <f aca="false">IF($A6="","",IF(K6&lt;&gt;"",K6,J6))</f>
        <v/>
      </c>
      <c r="M6" s="14" t="str">
        <f aca="false">IF(OR($A6="",L6=""),"",L6*G6)</f>
        <v/>
      </c>
      <c r="N6" s="14" t="str">
        <f aca="false">IF(OR(M6="",E6=""),"",(L6-E6)*G6)</f>
        <v/>
      </c>
      <c r="O6" s="8" t="str">
        <f aca="false">IF($A6="","",IF(G6&lt;=0,"Sold",IF((-SUMIFS(Transactions!$E:$E,Transactions!$O:$O,$A6,Transactions!$B:$B,"Sell call")-SUMIFS(Transactions!$E:$E,Transactions!$O:$O,$A6,Transactions!$B:$B,"Buy to close")-SUMIFS(Transactions!$E:$E,Transactions!$O:$O,$A6,Transactions!$B:$B,"Expired")-SUMIFS(Transactions!$E:$E,Transactions!$O:$O,$A6,Transactions!$B:$B,"Assigned"))&gt;0,"Covered","Free")))</f>
        <v/>
      </c>
      <c r="P6" s="26" t="str">
        <f aca="false">IF(OR(I6="",G6&lt;=0),"",CEILING(MAX(I6,N(L6)),IF(E6&lt;50,0.5,IF(E6&lt;200,1,5))))</f>
        <v/>
      </c>
      <c r="Q6" s="8" t="str">
        <f aca="true">IF(OR(N6="",G6&lt;=0),"",IF(N6&gt;=0,"",IF(COUNTIFS($B:$B,B6,$C:$C,"&gt;="&amp;(TODAY()-30),$C:$C,"&lt;="&amp;TODAY(),$A:$A,"&lt;&gt;"&amp;$A6)&gt;0,"Loss sale now = wash sale","OK to harvest loss")))</f>
        <v/>
      </c>
      <c r="R6" s="14" t="str">
        <f aca="false">IF(OR($A6="",N(F6)&lt;=0),"",SUMIFS(Transactions!$J:$J,Transactions!$O:$O,$A6,Transactions!$B:$B,"Sell shares")-E6*F6)</f>
        <v/>
      </c>
      <c r="S6" s="10" t="str">
        <f aca="false">IF(OR($A6="",N(F6)&lt;=0),"",_xlfn.MAXIFS(Transactions!$A:$A,Transactions!$O:$O,$A6,Transactions!$B:$B,"Sell shares"))</f>
        <v/>
      </c>
      <c r="T6" s="14" t="str">
        <f aca="false">IF(OR($A6="",E6=""),"",E6*G6)</f>
        <v/>
      </c>
    </row>
    <row r="7" customFormat="false" ht="15" hidden="false" customHeight="false" outlineLevel="0" collapsed="false">
      <c r="A7" s="21"/>
      <c r="B7" s="8" t="str">
        <f aca="false">IF($A7="","",IFERROR(INDEX(Transactions!$C:$C,MATCH($A7,Transactions!$O:$O,0)),""))</f>
        <v/>
      </c>
      <c r="C7" s="10" t="str">
        <f aca="false">IF($A7="","",IF(COUNTIFS(Transactions!$O:$O,$A7,Transactions!$B:$B,"Buy shares")=0,"",_xlfn.MINIFS(Transactions!$A:$A,Transactions!$O:$O,$A7,Transactions!$B:$B,"Buy shares")))</f>
        <v/>
      </c>
      <c r="D7" s="18" t="str">
        <f aca="false">IF($A7="","",SUMIFS(Transactions!$E:$E,Transactions!$O:$O,$A7,Transactions!$B:$B,"Buy shares"))</f>
        <v/>
      </c>
      <c r="E7" s="26" t="str">
        <f aca="false">IF($A7="","",IF(D7=0,"",-SUMIFS(Transactions!$J:$J,Transactions!$O:$O,$A7,Transactions!$B:$B,"Buy shares")/D7))</f>
        <v/>
      </c>
      <c r="F7" s="18" t="str">
        <f aca="false">IF($A7="","",-SUMIFS(Transactions!$E:$E,Transactions!$O:$O,$A7,Transactions!$B:$B,"Sell shares"))</f>
        <v/>
      </c>
      <c r="G7" s="18" t="str">
        <f aca="false">IF($A7="","",D7-F7)</f>
        <v/>
      </c>
      <c r="H7" s="14" t="str">
        <f aca="false">IF($A7="","",SUMIFS(Transactions!$J:$J,Transactions!$O:$O,$A7,Transactions!$B:$B,"Sell call")+SUMIFS(Transactions!$J:$J,Transactions!$O:$O,$A7,Transactions!$B:$B,"Buy to close"))</f>
        <v/>
      </c>
      <c r="I7" s="26" t="str">
        <f aca="false">IF(OR($A7="",E7=""),"",E7-H7/D7)</f>
        <v/>
      </c>
      <c r="J7" s="26" t="str">
        <f aca="false">IF($A7="","",IFERROR(INDEX(Positions!$K:$K,MATCH(B7,Positions!$B:$B,0)),""))</f>
        <v/>
      </c>
      <c r="K7" s="23"/>
      <c r="L7" s="26" t="str">
        <f aca="false">IF($A7="","",IF(K7&lt;&gt;"",K7,J7))</f>
        <v/>
      </c>
      <c r="M7" s="14" t="str">
        <f aca="false">IF(OR($A7="",L7=""),"",L7*G7)</f>
        <v/>
      </c>
      <c r="N7" s="14" t="str">
        <f aca="false">IF(OR(M7="",E7=""),"",(L7-E7)*G7)</f>
        <v/>
      </c>
      <c r="O7" s="8" t="str">
        <f aca="false">IF($A7="","",IF(G7&lt;=0,"Sold",IF((-SUMIFS(Transactions!$E:$E,Transactions!$O:$O,$A7,Transactions!$B:$B,"Sell call")-SUMIFS(Transactions!$E:$E,Transactions!$O:$O,$A7,Transactions!$B:$B,"Buy to close")-SUMIFS(Transactions!$E:$E,Transactions!$O:$O,$A7,Transactions!$B:$B,"Expired")-SUMIFS(Transactions!$E:$E,Transactions!$O:$O,$A7,Transactions!$B:$B,"Assigned"))&gt;0,"Covered","Free")))</f>
        <v/>
      </c>
      <c r="P7" s="26" t="str">
        <f aca="false">IF(OR(I7="",G7&lt;=0),"",CEILING(MAX(I7,N(L7)),IF(E7&lt;50,0.5,IF(E7&lt;200,1,5))))</f>
        <v/>
      </c>
      <c r="Q7" s="8" t="str">
        <f aca="true">IF(OR(N7="",G7&lt;=0),"",IF(N7&gt;=0,"",IF(COUNTIFS($B:$B,B7,$C:$C,"&gt;="&amp;(TODAY()-30),$C:$C,"&lt;="&amp;TODAY(),$A:$A,"&lt;&gt;"&amp;$A7)&gt;0,"Loss sale now = wash sale","OK to harvest loss")))</f>
        <v/>
      </c>
      <c r="R7" s="14" t="str">
        <f aca="false">IF(OR($A7="",N(F7)&lt;=0),"",SUMIFS(Transactions!$J:$J,Transactions!$O:$O,$A7,Transactions!$B:$B,"Sell shares")-E7*F7)</f>
        <v/>
      </c>
      <c r="S7" s="10" t="str">
        <f aca="false">IF(OR($A7="",N(F7)&lt;=0),"",_xlfn.MAXIFS(Transactions!$A:$A,Transactions!$O:$O,$A7,Transactions!$B:$B,"Sell shares"))</f>
        <v/>
      </c>
      <c r="T7" s="14" t="str">
        <f aca="false">IF(OR($A7="",E7=""),"",E7*G7)</f>
        <v/>
      </c>
    </row>
    <row r="8" customFormat="false" ht="15" hidden="false" customHeight="false" outlineLevel="0" collapsed="false">
      <c r="A8" s="21"/>
      <c r="B8" s="8" t="str">
        <f aca="false">IF($A8="","",IFERROR(INDEX(Transactions!$C:$C,MATCH($A8,Transactions!$O:$O,0)),""))</f>
        <v/>
      </c>
      <c r="C8" s="10" t="str">
        <f aca="false">IF($A8="","",IF(COUNTIFS(Transactions!$O:$O,$A8,Transactions!$B:$B,"Buy shares")=0,"",_xlfn.MINIFS(Transactions!$A:$A,Transactions!$O:$O,$A8,Transactions!$B:$B,"Buy shares")))</f>
        <v/>
      </c>
      <c r="D8" s="18" t="str">
        <f aca="false">IF($A8="","",SUMIFS(Transactions!$E:$E,Transactions!$O:$O,$A8,Transactions!$B:$B,"Buy shares"))</f>
        <v/>
      </c>
      <c r="E8" s="26" t="str">
        <f aca="false">IF($A8="","",IF(D8=0,"",-SUMIFS(Transactions!$J:$J,Transactions!$O:$O,$A8,Transactions!$B:$B,"Buy shares")/D8))</f>
        <v/>
      </c>
      <c r="F8" s="18" t="str">
        <f aca="false">IF($A8="","",-SUMIFS(Transactions!$E:$E,Transactions!$O:$O,$A8,Transactions!$B:$B,"Sell shares"))</f>
        <v/>
      </c>
      <c r="G8" s="18" t="str">
        <f aca="false">IF($A8="","",D8-F8)</f>
        <v/>
      </c>
      <c r="H8" s="14" t="str">
        <f aca="false">IF($A8="","",SUMIFS(Transactions!$J:$J,Transactions!$O:$O,$A8,Transactions!$B:$B,"Sell call")+SUMIFS(Transactions!$J:$J,Transactions!$O:$O,$A8,Transactions!$B:$B,"Buy to close"))</f>
        <v/>
      </c>
      <c r="I8" s="26" t="str">
        <f aca="false">IF(OR($A8="",E8=""),"",E8-H8/D8)</f>
        <v/>
      </c>
      <c r="J8" s="26" t="str">
        <f aca="false">IF($A8="","",IFERROR(INDEX(Positions!$K:$K,MATCH(B8,Positions!$B:$B,0)),""))</f>
        <v/>
      </c>
      <c r="K8" s="23"/>
      <c r="L8" s="26" t="str">
        <f aca="false">IF($A8="","",IF(K8&lt;&gt;"",K8,J8))</f>
        <v/>
      </c>
      <c r="M8" s="14" t="str">
        <f aca="false">IF(OR($A8="",L8=""),"",L8*G8)</f>
        <v/>
      </c>
      <c r="N8" s="14" t="str">
        <f aca="false">IF(OR(M8="",E8=""),"",(L8-E8)*G8)</f>
        <v/>
      </c>
      <c r="O8" s="8" t="str">
        <f aca="false">IF($A8="","",IF(G8&lt;=0,"Sold",IF((-SUMIFS(Transactions!$E:$E,Transactions!$O:$O,$A8,Transactions!$B:$B,"Sell call")-SUMIFS(Transactions!$E:$E,Transactions!$O:$O,$A8,Transactions!$B:$B,"Buy to close")-SUMIFS(Transactions!$E:$E,Transactions!$O:$O,$A8,Transactions!$B:$B,"Expired")-SUMIFS(Transactions!$E:$E,Transactions!$O:$O,$A8,Transactions!$B:$B,"Assigned"))&gt;0,"Covered","Free")))</f>
        <v/>
      </c>
      <c r="P8" s="26" t="str">
        <f aca="false">IF(OR(I8="",G8&lt;=0),"",CEILING(MAX(I8,N(L8)),IF(E8&lt;50,0.5,IF(E8&lt;200,1,5))))</f>
        <v/>
      </c>
      <c r="Q8" s="8" t="str">
        <f aca="true">IF(OR(N8="",G8&lt;=0),"",IF(N8&gt;=0,"",IF(COUNTIFS($B:$B,B8,$C:$C,"&gt;="&amp;(TODAY()-30),$C:$C,"&lt;="&amp;TODAY(),$A:$A,"&lt;&gt;"&amp;$A8)&gt;0,"Loss sale now = wash sale","OK to harvest loss")))</f>
        <v/>
      </c>
      <c r="R8" s="14" t="str">
        <f aca="false">IF(OR($A8="",N(F8)&lt;=0),"",SUMIFS(Transactions!$J:$J,Transactions!$O:$O,$A8,Transactions!$B:$B,"Sell shares")-E8*F8)</f>
        <v/>
      </c>
      <c r="S8" s="10" t="str">
        <f aca="false">IF(OR($A8="",N(F8)&lt;=0),"",_xlfn.MAXIFS(Transactions!$A:$A,Transactions!$O:$O,$A8,Transactions!$B:$B,"Sell shares"))</f>
        <v/>
      </c>
      <c r="T8" s="14" t="str">
        <f aca="false">IF(OR($A8="",E8=""),"",E8*G8)</f>
        <v/>
      </c>
    </row>
    <row r="9" customFormat="false" ht="15" hidden="false" customHeight="false" outlineLevel="0" collapsed="false">
      <c r="A9" s="21"/>
      <c r="B9" s="8" t="str">
        <f aca="false">IF($A9="","",IFERROR(INDEX(Transactions!$C:$C,MATCH($A9,Transactions!$O:$O,0)),""))</f>
        <v/>
      </c>
      <c r="C9" s="10" t="str">
        <f aca="false">IF($A9="","",IF(COUNTIFS(Transactions!$O:$O,$A9,Transactions!$B:$B,"Buy shares")=0,"",_xlfn.MINIFS(Transactions!$A:$A,Transactions!$O:$O,$A9,Transactions!$B:$B,"Buy shares")))</f>
        <v/>
      </c>
      <c r="D9" s="18" t="str">
        <f aca="false">IF($A9="","",SUMIFS(Transactions!$E:$E,Transactions!$O:$O,$A9,Transactions!$B:$B,"Buy shares"))</f>
        <v/>
      </c>
      <c r="E9" s="26" t="str">
        <f aca="false">IF($A9="","",IF(D9=0,"",-SUMIFS(Transactions!$J:$J,Transactions!$O:$O,$A9,Transactions!$B:$B,"Buy shares")/D9))</f>
        <v/>
      </c>
      <c r="F9" s="18" t="str">
        <f aca="false">IF($A9="","",-SUMIFS(Transactions!$E:$E,Transactions!$O:$O,$A9,Transactions!$B:$B,"Sell shares"))</f>
        <v/>
      </c>
      <c r="G9" s="18" t="str">
        <f aca="false">IF($A9="","",D9-F9)</f>
        <v/>
      </c>
      <c r="H9" s="14" t="str">
        <f aca="false">IF($A9="","",SUMIFS(Transactions!$J:$J,Transactions!$O:$O,$A9,Transactions!$B:$B,"Sell call")+SUMIFS(Transactions!$J:$J,Transactions!$O:$O,$A9,Transactions!$B:$B,"Buy to close"))</f>
        <v/>
      </c>
      <c r="I9" s="26" t="str">
        <f aca="false">IF(OR($A9="",E9=""),"",E9-H9/D9)</f>
        <v/>
      </c>
      <c r="J9" s="26" t="str">
        <f aca="false">IF($A9="","",IFERROR(INDEX(Positions!$K:$K,MATCH(B9,Positions!$B:$B,0)),""))</f>
        <v/>
      </c>
      <c r="K9" s="23"/>
      <c r="L9" s="26" t="str">
        <f aca="false">IF($A9="","",IF(K9&lt;&gt;"",K9,J9))</f>
        <v/>
      </c>
      <c r="M9" s="14" t="str">
        <f aca="false">IF(OR($A9="",L9=""),"",L9*G9)</f>
        <v/>
      </c>
      <c r="N9" s="14" t="str">
        <f aca="false">IF(OR(M9="",E9=""),"",(L9-E9)*G9)</f>
        <v/>
      </c>
      <c r="O9" s="8" t="str">
        <f aca="false">IF($A9="","",IF(G9&lt;=0,"Sold",IF((-SUMIFS(Transactions!$E:$E,Transactions!$O:$O,$A9,Transactions!$B:$B,"Sell call")-SUMIFS(Transactions!$E:$E,Transactions!$O:$O,$A9,Transactions!$B:$B,"Buy to close")-SUMIFS(Transactions!$E:$E,Transactions!$O:$O,$A9,Transactions!$B:$B,"Expired")-SUMIFS(Transactions!$E:$E,Transactions!$O:$O,$A9,Transactions!$B:$B,"Assigned"))&gt;0,"Covered","Free")))</f>
        <v/>
      </c>
      <c r="P9" s="26" t="str">
        <f aca="false">IF(OR(I9="",G9&lt;=0),"",CEILING(MAX(I9,N(L9)),IF(E9&lt;50,0.5,IF(E9&lt;200,1,5))))</f>
        <v/>
      </c>
      <c r="Q9" s="8" t="str">
        <f aca="true">IF(OR(N9="",G9&lt;=0),"",IF(N9&gt;=0,"",IF(COUNTIFS($B:$B,B9,$C:$C,"&gt;="&amp;(TODAY()-30),$C:$C,"&lt;="&amp;TODAY(),$A:$A,"&lt;&gt;"&amp;$A9)&gt;0,"Loss sale now = wash sale","OK to harvest loss")))</f>
        <v/>
      </c>
      <c r="R9" s="14" t="str">
        <f aca="false">IF(OR($A9="",N(F9)&lt;=0),"",SUMIFS(Transactions!$J:$J,Transactions!$O:$O,$A9,Transactions!$B:$B,"Sell shares")-E9*F9)</f>
        <v/>
      </c>
      <c r="S9" s="10" t="str">
        <f aca="false">IF(OR($A9="",N(F9)&lt;=0),"",_xlfn.MAXIFS(Transactions!$A:$A,Transactions!$O:$O,$A9,Transactions!$B:$B,"Sell shares"))</f>
        <v/>
      </c>
      <c r="T9" s="14" t="str">
        <f aca="false">IF(OR($A9="",E9=""),"",E9*G9)</f>
        <v/>
      </c>
    </row>
    <row r="10" customFormat="false" ht="15" hidden="false" customHeight="false" outlineLevel="0" collapsed="false">
      <c r="A10" s="21"/>
      <c r="B10" s="8" t="str">
        <f aca="false">IF($A10="","",IFERROR(INDEX(Transactions!$C:$C,MATCH($A10,Transactions!$O:$O,0)),""))</f>
        <v/>
      </c>
      <c r="C10" s="10" t="str">
        <f aca="false">IF($A10="","",IF(COUNTIFS(Transactions!$O:$O,$A10,Transactions!$B:$B,"Buy shares")=0,"",_xlfn.MINIFS(Transactions!$A:$A,Transactions!$O:$O,$A10,Transactions!$B:$B,"Buy shares")))</f>
        <v/>
      </c>
      <c r="D10" s="18" t="str">
        <f aca="false">IF($A10="","",SUMIFS(Transactions!$E:$E,Transactions!$O:$O,$A10,Transactions!$B:$B,"Buy shares"))</f>
        <v/>
      </c>
      <c r="E10" s="26" t="str">
        <f aca="false">IF($A10="","",IF(D10=0,"",-SUMIFS(Transactions!$J:$J,Transactions!$O:$O,$A10,Transactions!$B:$B,"Buy shares")/D10))</f>
        <v/>
      </c>
      <c r="F10" s="18" t="str">
        <f aca="false">IF($A10="","",-SUMIFS(Transactions!$E:$E,Transactions!$O:$O,$A10,Transactions!$B:$B,"Sell shares"))</f>
        <v/>
      </c>
      <c r="G10" s="18" t="str">
        <f aca="false">IF($A10="","",D10-F10)</f>
        <v/>
      </c>
      <c r="H10" s="14" t="str">
        <f aca="false">IF($A10="","",SUMIFS(Transactions!$J:$J,Transactions!$O:$O,$A10,Transactions!$B:$B,"Sell call")+SUMIFS(Transactions!$J:$J,Transactions!$O:$O,$A10,Transactions!$B:$B,"Buy to close"))</f>
        <v/>
      </c>
      <c r="I10" s="26" t="str">
        <f aca="false">IF(OR($A10="",E10=""),"",E10-H10/D10)</f>
        <v/>
      </c>
      <c r="J10" s="26" t="str">
        <f aca="false">IF($A10="","",IFERROR(INDEX(Positions!$K:$K,MATCH(B10,Positions!$B:$B,0)),""))</f>
        <v/>
      </c>
      <c r="K10" s="23"/>
      <c r="L10" s="26" t="str">
        <f aca="false">IF($A10="","",IF(K10&lt;&gt;"",K10,J10))</f>
        <v/>
      </c>
      <c r="M10" s="14" t="str">
        <f aca="false">IF(OR($A10="",L10=""),"",L10*G10)</f>
        <v/>
      </c>
      <c r="N10" s="14" t="str">
        <f aca="false">IF(OR(M10="",E10=""),"",(L10-E10)*G10)</f>
        <v/>
      </c>
      <c r="O10" s="8" t="str">
        <f aca="false">IF($A10="","",IF(G10&lt;=0,"Sold",IF((-SUMIFS(Transactions!$E:$E,Transactions!$O:$O,$A10,Transactions!$B:$B,"Sell call")-SUMIFS(Transactions!$E:$E,Transactions!$O:$O,$A10,Transactions!$B:$B,"Buy to close")-SUMIFS(Transactions!$E:$E,Transactions!$O:$O,$A10,Transactions!$B:$B,"Expired")-SUMIFS(Transactions!$E:$E,Transactions!$O:$O,$A10,Transactions!$B:$B,"Assigned"))&gt;0,"Covered","Free")))</f>
        <v/>
      </c>
      <c r="P10" s="26" t="str">
        <f aca="false">IF(OR(I10="",G10&lt;=0),"",CEILING(MAX(I10,N(L10)),IF(E10&lt;50,0.5,IF(E10&lt;200,1,5))))</f>
        <v/>
      </c>
      <c r="Q10" s="8" t="str">
        <f aca="true">IF(OR(N10="",G10&lt;=0),"",IF(N10&gt;=0,"",IF(COUNTIFS($B:$B,B10,$C:$C,"&gt;="&amp;(TODAY()-30),$C:$C,"&lt;="&amp;TODAY(),$A:$A,"&lt;&gt;"&amp;$A10)&gt;0,"Loss sale now = wash sale","OK to harvest loss")))</f>
        <v/>
      </c>
      <c r="R10" s="14" t="str">
        <f aca="false">IF(OR($A10="",N(F10)&lt;=0),"",SUMIFS(Transactions!$J:$J,Transactions!$O:$O,$A10,Transactions!$B:$B,"Sell shares")-E10*F10)</f>
        <v/>
      </c>
      <c r="S10" s="10" t="str">
        <f aca="false">IF(OR($A10="",N(F10)&lt;=0),"",_xlfn.MAXIFS(Transactions!$A:$A,Transactions!$O:$O,$A10,Transactions!$B:$B,"Sell shares"))</f>
        <v/>
      </c>
      <c r="T10" s="14" t="str">
        <f aca="false">IF(OR($A10="",E10=""),"",E10*G10)</f>
        <v/>
      </c>
    </row>
    <row r="11" customFormat="false" ht="15" hidden="false" customHeight="false" outlineLevel="0" collapsed="false">
      <c r="A11" s="21"/>
      <c r="B11" s="8" t="str">
        <f aca="false">IF($A11="","",IFERROR(INDEX(Transactions!$C:$C,MATCH($A11,Transactions!$O:$O,0)),""))</f>
        <v/>
      </c>
      <c r="C11" s="10" t="str">
        <f aca="false">IF($A11="","",IF(COUNTIFS(Transactions!$O:$O,$A11,Transactions!$B:$B,"Buy shares")=0,"",_xlfn.MINIFS(Transactions!$A:$A,Transactions!$O:$O,$A11,Transactions!$B:$B,"Buy shares")))</f>
        <v/>
      </c>
      <c r="D11" s="18" t="str">
        <f aca="false">IF($A11="","",SUMIFS(Transactions!$E:$E,Transactions!$O:$O,$A11,Transactions!$B:$B,"Buy shares"))</f>
        <v/>
      </c>
      <c r="E11" s="26" t="str">
        <f aca="false">IF($A11="","",IF(D11=0,"",-SUMIFS(Transactions!$J:$J,Transactions!$O:$O,$A11,Transactions!$B:$B,"Buy shares")/D11))</f>
        <v/>
      </c>
      <c r="F11" s="18" t="str">
        <f aca="false">IF($A11="","",-SUMIFS(Transactions!$E:$E,Transactions!$O:$O,$A11,Transactions!$B:$B,"Sell shares"))</f>
        <v/>
      </c>
      <c r="G11" s="18" t="str">
        <f aca="false">IF($A11="","",D11-F11)</f>
        <v/>
      </c>
      <c r="H11" s="14" t="str">
        <f aca="false">IF($A11="","",SUMIFS(Transactions!$J:$J,Transactions!$O:$O,$A11,Transactions!$B:$B,"Sell call")+SUMIFS(Transactions!$J:$J,Transactions!$O:$O,$A11,Transactions!$B:$B,"Buy to close"))</f>
        <v/>
      </c>
      <c r="I11" s="26" t="str">
        <f aca="false">IF(OR($A11="",E11=""),"",E11-H11/D11)</f>
        <v/>
      </c>
      <c r="J11" s="26" t="str">
        <f aca="false">IF($A11="","",IFERROR(INDEX(Positions!$K:$K,MATCH(B11,Positions!$B:$B,0)),""))</f>
        <v/>
      </c>
      <c r="K11" s="23"/>
      <c r="L11" s="26" t="str">
        <f aca="false">IF($A11="","",IF(K11&lt;&gt;"",K11,J11))</f>
        <v/>
      </c>
      <c r="M11" s="14" t="str">
        <f aca="false">IF(OR($A11="",L11=""),"",L11*G11)</f>
        <v/>
      </c>
      <c r="N11" s="14" t="str">
        <f aca="false">IF(OR(M11="",E11=""),"",(L11-E11)*G11)</f>
        <v/>
      </c>
      <c r="O11" s="8" t="str">
        <f aca="false">IF($A11="","",IF(G11&lt;=0,"Sold",IF((-SUMIFS(Transactions!$E:$E,Transactions!$O:$O,$A11,Transactions!$B:$B,"Sell call")-SUMIFS(Transactions!$E:$E,Transactions!$O:$O,$A11,Transactions!$B:$B,"Buy to close")-SUMIFS(Transactions!$E:$E,Transactions!$O:$O,$A11,Transactions!$B:$B,"Expired")-SUMIFS(Transactions!$E:$E,Transactions!$O:$O,$A11,Transactions!$B:$B,"Assigned"))&gt;0,"Covered","Free")))</f>
        <v/>
      </c>
      <c r="P11" s="26" t="str">
        <f aca="false">IF(OR(I11="",G11&lt;=0),"",CEILING(MAX(I11,N(L11)),IF(E11&lt;50,0.5,IF(E11&lt;200,1,5))))</f>
        <v/>
      </c>
      <c r="Q11" s="8" t="str">
        <f aca="true">IF(OR(N11="",G11&lt;=0),"",IF(N11&gt;=0,"",IF(COUNTIFS($B:$B,B11,$C:$C,"&gt;="&amp;(TODAY()-30),$C:$C,"&lt;="&amp;TODAY(),$A:$A,"&lt;&gt;"&amp;$A11)&gt;0,"Loss sale now = wash sale","OK to harvest loss")))</f>
        <v/>
      </c>
      <c r="R11" s="14" t="str">
        <f aca="false">IF(OR($A11="",N(F11)&lt;=0),"",SUMIFS(Transactions!$J:$J,Transactions!$O:$O,$A11,Transactions!$B:$B,"Sell shares")-E11*F11)</f>
        <v/>
      </c>
      <c r="S11" s="10" t="str">
        <f aca="false">IF(OR($A11="",N(F11)&lt;=0),"",_xlfn.MAXIFS(Transactions!$A:$A,Transactions!$O:$O,$A11,Transactions!$B:$B,"Sell shares"))</f>
        <v/>
      </c>
      <c r="T11" s="14" t="str">
        <f aca="false">IF(OR($A11="",E11=""),"",E11*G11)</f>
        <v/>
      </c>
    </row>
    <row r="12" customFormat="false" ht="15" hidden="false" customHeight="false" outlineLevel="0" collapsed="false">
      <c r="A12" s="21"/>
      <c r="B12" s="8" t="str">
        <f aca="false">IF($A12="","",IFERROR(INDEX(Transactions!$C:$C,MATCH($A12,Transactions!$O:$O,0)),""))</f>
        <v/>
      </c>
      <c r="C12" s="10" t="str">
        <f aca="false">IF($A12="","",IF(COUNTIFS(Transactions!$O:$O,$A12,Transactions!$B:$B,"Buy shares")=0,"",_xlfn.MINIFS(Transactions!$A:$A,Transactions!$O:$O,$A12,Transactions!$B:$B,"Buy shares")))</f>
        <v/>
      </c>
      <c r="D12" s="18" t="str">
        <f aca="false">IF($A12="","",SUMIFS(Transactions!$E:$E,Transactions!$O:$O,$A12,Transactions!$B:$B,"Buy shares"))</f>
        <v/>
      </c>
      <c r="E12" s="26" t="str">
        <f aca="false">IF($A12="","",IF(D12=0,"",-SUMIFS(Transactions!$J:$J,Transactions!$O:$O,$A12,Transactions!$B:$B,"Buy shares")/D12))</f>
        <v/>
      </c>
      <c r="F12" s="18" t="str">
        <f aca="false">IF($A12="","",-SUMIFS(Transactions!$E:$E,Transactions!$O:$O,$A12,Transactions!$B:$B,"Sell shares"))</f>
        <v/>
      </c>
      <c r="G12" s="18" t="str">
        <f aca="false">IF($A12="","",D12-F12)</f>
        <v/>
      </c>
      <c r="H12" s="14" t="str">
        <f aca="false">IF($A12="","",SUMIFS(Transactions!$J:$J,Transactions!$O:$O,$A12,Transactions!$B:$B,"Sell call")+SUMIFS(Transactions!$J:$J,Transactions!$O:$O,$A12,Transactions!$B:$B,"Buy to close"))</f>
        <v/>
      </c>
      <c r="I12" s="26" t="str">
        <f aca="false">IF(OR($A12="",E12=""),"",E12-H12/D12)</f>
        <v/>
      </c>
      <c r="J12" s="26" t="str">
        <f aca="false">IF($A12="","",IFERROR(INDEX(Positions!$K:$K,MATCH(B12,Positions!$B:$B,0)),""))</f>
        <v/>
      </c>
      <c r="K12" s="23"/>
      <c r="L12" s="26" t="str">
        <f aca="false">IF($A12="","",IF(K12&lt;&gt;"",K12,J12))</f>
        <v/>
      </c>
      <c r="M12" s="14" t="str">
        <f aca="false">IF(OR($A12="",L12=""),"",L12*G12)</f>
        <v/>
      </c>
      <c r="N12" s="14" t="str">
        <f aca="false">IF(OR(M12="",E12=""),"",(L12-E12)*G12)</f>
        <v/>
      </c>
      <c r="O12" s="8" t="str">
        <f aca="false">IF($A12="","",IF(G12&lt;=0,"Sold",IF((-SUMIFS(Transactions!$E:$E,Transactions!$O:$O,$A12,Transactions!$B:$B,"Sell call")-SUMIFS(Transactions!$E:$E,Transactions!$O:$O,$A12,Transactions!$B:$B,"Buy to close")-SUMIFS(Transactions!$E:$E,Transactions!$O:$O,$A12,Transactions!$B:$B,"Expired")-SUMIFS(Transactions!$E:$E,Transactions!$O:$O,$A12,Transactions!$B:$B,"Assigned"))&gt;0,"Covered","Free")))</f>
        <v/>
      </c>
      <c r="P12" s="26" t="str">
        <f aca="false">IF(OR(I12="",G12&lt;=0),"",CEILING(MAX(I12,N(L12)),IF(E12&lt;50,0.5,IF(E12&lt;200,1,5))))</f>
        <v/>
      </c>
      <c r="Q12" s="8" t="str">
        <f aca="true">IF(OR(N12="",G12&lt;=0),"",IF(N12&gt;=0,"",IF(COUNTIFS($B:$B,B12,$C:$C,"&gt;="&amp;(TODAY()-30),$C:$C,"&lt;="&amp;TODAY(),$A:$A,"&lt;&gt;"&amp;$A12)&gt;0,"Loss sale now = wash sale","OK to harvest loss")))</f>
        <v/>
      </c>
      <c r="R12" s="14" t="str">
        <f aca="false">IF(OR($A12="",N(F12)&lt;=0),"",SUMIFS(Transactions!$J:$J,Transactions!$O:$O,$A12,Transactions!$B:$B,"Sell shares")-E12*F12)</f>
        <v/>
      </c>
      <c r="S12" s="10" t="str">
        <f aca="false">IF(OR($A12="",N(F12)&lt;=0),"",_xlfn.MAXIFS(Transactions!$A:$A,Transactions!$O:$O,$A12,Transactions!$B:$B,"Sell shares"))</f>
        <v/>
      </c>
      <c r="T12" s="14" t="str">
        <f aca="false">IF(OR($A12="",E12=""),"",E12*G12)</f>
        <v/>
      </c>
    </row>
    <row r="13" customFormat="false" ht="15" hidden="false" customHeight="false" outlineLevel="0" collapsed="false">
      <c r="A13" s="21"/>
      <c r="B13" s="8" t="str">
        <f aca="false">IF($A13="","",IFERROR(INDEX(Transactions!$C:$C,MATCH($A13,Transactions!$O:$O,0)),""))</f>
        <v/>
      </c>
      <c r="C13" s="10" t="str">
        <f aca="false">IF($A13="","",IF(COUNTIFS(Transactions!$O:$O,$A13,Transactions!$B:$B,"Buy shares")=0,"",_xlfn.MINIFS(Transactions!$A:$A,Transactions!$O:$O,$A13,Transactions!$B:$B,"Buy shares")))</f>
        <v/>
      </c>
      <c r="D13" s="18" t="str">
        <f aca="false">IF($A13="","",SUMIFS(Transactions!$E:$E,Transactions!$O:$O,$A13,Transactions!$B:$B,"Buy shares"))</f>
        <v/>
      </c>
      <c r="E13" s="26" t="str">
        <f aca="false">IF($A13="","",IF(D13=0,"",-SUMIFS(Transactions!$J:$J,Transactions!$O:$O,$A13,Transactions!$B:$B,"Buy shares")/D13))</f>
        <v/>
      </c>
      <c r="F13" s="18" t="str">
        <f aca="false">IF($A13="","",-SUMIFS(Transactions!$E:$E,Transactions!$O:$O,$A13,Transactions!$B:$B,"Sell shares"))</f>
        <v/>
      </c>
      <c r="G13" s="18" t="str">
        <f aca="false">IF($A13="","",D13-F13)</f>
        <v/>
      </c>
      <c r="H13" s="14" t="str">
        <f aca="false">IF($A13="","",SUMIFS(Transactions!$J:$J,Transactions!$O:$O,$A13,Transactions!$B:$B,"Sell call")+SUMIFS(Transactions!$J:$J,Transactions!$O:$O,$A13,Transactions!$B:$B,"Buy to close"))</f>
        <v/>
      </c>
      <c r="I13" s="26" t="str">
        <f aca="false">IF(OR($A13="",E13=""),"",E13-H13/D13)</f>
        <v/>
      </c>
      <c r="J13" s="26" t="str">
        <f aca="false">IF($A13="","",IFERROR(INDEX(Positions!$K:$K,MATCH(B13,Positions!$B:$B,0)),""))</f>
        <v/>
      </c>
      <c r="K13" s="23"/>
      <c r="L13" s="26" t="str">
        <f aca="false">IF($A13="","",IF(K13&lt;&gt;"",K13,J13))</f>
        <v/>
      </c>
      <c r="M13" s="14" t="str">
        <f aca="false">IF(OR($A13="",L13=""),"",L13*G13)</f>
        <v/>
      </c>
      <c r="N13" s="14" t="str">
        <f aca="false">IF(OR(M13="",E13=""),"",(L13-E13)*G13)</f>
        <v/>
      </c>
      <c r="O13" s="8" t="str">
        <f aca="false">IF($A13="","",IF(G13&lt;=0,"Sold",IF((-SUMIFS(Transactions!$E:$E,Transactions!$O:$O,$A13,Transactions!$B:$B,"Sell call")-SUMIFS(Transactions!$E:$E,Transactions!$O:$O,$A13,Transactions!$B:$B,"Buy to close")-SUMIFS(Transactions!$E:$E,Transactions!$O:$O,$A13,Transactions!$B:$B,"Expired")-SUMIFS(Transactions!$E:$E,Transactions!$O:$O,$A13,Transactions!$B:$B,"Assigned"))&gt;0,"Covered","Free")))</f>
        <v/>
      </c>
      <c r="P13" s="26" t="str">
        <f aca="false">IF(OR(I13="",G13&lt;=0),"",CEILING(MAX(I13,N(L13)),IF(E13&lt;50,0.5,IF(E13&lt;200,1,5))))</f>
        <v/>
      </c>
      <c r="Q13" s="8" t="str">
        <f aca="true">IF(OR(N13="",G13&lt;=0),"",IF(N13&gt;=0,"",IF(COUNTIFS($B:$B,B13,$C:$C,"&gt;="&amp;(TODAY()-30),$C:$C,"&lt;="&amp;TODAY(),$A:$A,"&lt;&gt;"&amp;$A13)&gt;0,"Loss sale now = wash sale","OK to harvest loss")))</f>
        <v/>
      </c>
      <c r="R13" s="14" t="str">
        <f aca="false">IF(OR($A13="",N(F13)&lt;=0),"",SUMIFS(Transactions!$J:$J,Transactions!$O:$O,$A13,Transactions!$B:$B,"Sell shares")-E13*F13)</f>
        <v/>
      </c>
      <c r="S13" s="10" t="str">
        <f aca="false">IF(OR($A13="",N(F13)&lt;=0),"",_xlfn.MAXIFS(Transactions!$A:$A,Transactions!$O:$O,$A13,Transactions!$B:$B,"Sell shares"))</f>
        <v/>
      </c>
      <c r="T13" s="14" t="str">
        <f aca="false">IF(OR($A13="",E13=""),"",E13*G13)</f>
        <v/>
      </c>
    </row>
    <row r="14" customFormat="false" ht="15" hidden="false" customHeight="false" outlineLevel="0" collapsed="false">
      <c r="A14" s="21"/>
      <c r="B14" s="8" t="str">
        <f aca="false">IF($A14="","",IFERROR(INDEX(Transactions!$C:$C,MATCH($A14,Transactions!$O:$O,0)),""))</f>
        <v/>
      </c>
      <c r="C14" s="10" t="str">
        <f aca="false">IF($A14="","",IF(COUNTIFS(Transactions!$O:$O,$A14,Transactions!$B:$B,"Buy shares")=0,"",_xlfn.MINIFS(Transactions!$A:$A,Transactions!$O:$O,$A14,Transactions!$B:$B,"Buy shares")))</f>
        <v/>
      </c>
      <c r="D14" s="18" t="str">
        <f aca="false">IF($A14="","",SUMIFS(Transactions!$E:$E,Transactions!$O:$O,$A14,Transactions!$B:$B,"Buy shares"))</f>
        <v/>
      </c>
      <c r="E14" s="26" t="str">
        <f aca="false">IF($A14="","",IF(D14=0,"",-SUMIFS(Transactions!$J:$J,Transactions!$O:$O,$A14,Transactions!$B:$B,"Buy shares")/D14))</f>
        <v/>
      </c>
      <c r="F14" s="18" t="str">
        <f aca="false">IF($A14="","",-SUMIFS(Transactions!$E:$E,Transactions!$O:$O,$A14,Transactions!$B:$B,"Sell shares"))</f>
        <v/>
      </c>
      <c r="G14" s="18" t="str">
        <f aca="false">IF($A14="","",D14-F14)</f>
        <v/>
      </c>
      <c r="H14" s="14" t="str">
        <f aca="false">IF($A14="","",SUMIFS(Transactions!$J:$J,Transactions!$O:$O,$A14,Transactions!$B:$B,"Sell call")+SUMIFS(Transactions!$J:$J,Transactions!$O:$O,$A14,Transactions!$B:$B,"Buy to close"))</f>
        <v/>
      </c>
      <c r="I14" s="26" t="str">
        <f aca="false">IF(OR($A14="",E14=""),"",E14-H14/D14)</f>
        <v/>
      </c>
      <c r="J14" s="26" t="str">
        <f aca="false">IF($A14="","",IFERROR(INDEX(Positions!$K:$K,MATCH(B14,Positions!$B:$B,0)),""))</f>
        <v/>
      </c>
      <c r="K14" s="23"/>
      <c r="L14" s="26" t="str">
        <f aca="false">IF($A14="","",IF(K14&lt;&gt;"",K14,J14))</f>
        <v/>
      </c>
      <c r="M14" s="14" t="str">
        <f aca="false">IF(OR($A14="",L14=""),"",L14*G14)</f>
        <v/>
      </c>
      <c r="N14" s="14" t="str">
        <f aca="false">IF(OR(M14="",E14=""),"",(L14-E14)*G14)</f>
        <v/>
      </c>
      <c r="O14" s="8" t="str">
        <f aca="false">IF($A14="","",IF(G14&lt;=0,"Sold",IF((-SUMIFS(Transactions!$E:$E,Transactions!$O:$O,$A14,Transactions!$B:$B,"Sell call")-SUMIFS(Transactions!$E:$E,Transactions!$O:$O,$A14,Transactions!$B:$B,"Buy to close")-SUMIFS(Transactions!$E:$E,Transactions!$O:$O,$A14,Transactions!$B:$B,"Expired")-SUMIFS(Transactions!$E:$E,Transactions!$O:$O,$A14,Transactions!$B:$B,"Assigned"))&gt;0,"Covered","Free")))</f>
        <v/>
      </c>
      <c r="P14" s="26" t="str">
        <f aca="false">IF(OR(I14="",G14&lt;=0),"",CEILING(MAX(I14,N(L14)),IF(E14&lt;50,0.5,IF(E14&lt;200,1,5))))</f>
        <v/>
      </c>
      <c r="Q14" s="8" t="str">
        <f aca="true">IF(OR(N14="",G14&lt;=0),"",IF(N14&gt;=0,"",IF(COUNTIFS($B:$B,B14,$C:$C,"&gt;="&amp;(TODAY()-30),$C:$C,"&lt;="&amp;TODAY(),$A:$A,"&lt;&gt;"&amp;$A14)&gt;0,"Loss sale now = wash sale","OK to harvest loss")))</f>
        <v/>
      </c>
      <c r="R14" s="14" t="str">
        <f aca="false">IF(OR($A14="",N(F14)&lt;=0),"",SUMIFS(Transactions!$J:$J,Transactions!$O:$O,$A14,Transactions!$B:$B,"Sell shares")-E14*F14)</f>
        <v/>
      </c>
      <c r="S14" s="10" t="str">
        <f aca="false">IF(OR($A14="",N(F14)&lt;=0),"",_xlfn.MAXIFS(Transactions!$A:$A,Transactions!$O:$O,$A14,Transactions!$B:$B,"Sell shares"))</f>
        <v/>
      </c>
      <c r="T14" s="14" t="str">
        <f aca="false">IF(OR($A14="",E14=""),"",E14*G14)</f>
        <v/>
      </c>
    </row>
    <row r="15" customFormat="false" ht="15" hidden="false" customHeight="false" outlineLevel="0" collapsed="false">
      <c r="A15" s="21"/>
      <c r="B15" s="8" t="str">
        <f aca="false">IF($A15="","",IFERROR(INDEX(Transactions!$C:$C,MATCH($A15,Transactions!$O:$O,0)),""))</f>
        <v/>
      </c>
      <c r="C15" s="10" t="str">
        <f aca="false">IF($A15="","",IF(COUNTIFS(Transactions!$O:$O,$A15,Transactions!$B:$B,"Buy shares")=0,"",_xlfn.MINIFS(Transactions!$A:$A,Transactions!$O:$O,$A15,Transactions!$B:$B,"Buy shares")))</f>
        <v/>
      </c>
      <c r="D15" s="18" t="str">
        <f aca="false">IF($A15="","",SUMIFS(Transactions!$E:$E,Transactions!$O:$O,$A15,Transactions!$B:$B,"Buy shares"))</f>
        <v/>
      </c>
      <c r="E15" s="26" t="str">
        <f aca="false">IF($A15="","",IF(D15=0,"",-SUMIFS(Transactions!$J:$J,Transactions!$O:$O,$A15,Transactions!$B:$B,"Buy shares")/D15))</f>
        <v/>
      </c>
      <c r="F15" s="18" t="str">
        <f aca="false">IF($A15="","",-SUMIFS(Transactions!$E:$E,Transactions!$O:$O,$A15,Transactions!$B:$B,"Sell shares"))</f>
        <v/>
      </c>
      <c r="G15" s="18" t="str">
        <f aca="false">IF($A15="","",D15-F15)</f>
        <v/>
      </c>
      <c r="H15" s="14" t="str">
        <f aca="false">IF($A15="","",SUMIFS(Transactions!$J:$J,Transactions!$O:$O,$A15,Transactions!$B:$B,"Sell call")+SUMIFS(Transactions!$J:$J,Transactions!$O:$O,$A15,Transactions!$B:$B,"Buy to close"))</f>
        <v/>
      </c>
      <c r="I15" s="26" t="str">
        <f aca="false">IF(OR($A15="",E15=""),"",E15-H15/D15)</f>
        <v/>
      </c>
      <c r="J15" s="26" t="str">
        <f aca="false">IF($A15="","",IFERROR(INDEX(Positions!$K:$K,MATCH(B15,Positions!$B:$B,0)),""))</f>
        <v/>
      </c>
      <c r="K15" s="23"/>
      <c r="L15" s="26" t="str">
        <f aca="false">IF($A15="","",IF(K15&lt;&gt;"",K15,J15))</f>
        <v/>
      </c>
      <c r="M15" s="14" t="str">
        <f aca="false">IF(OR($A15="",L15=""),"",L15*G15)</f>
        <v/>
      </c>
      <c r="N15" s="14" t="str">
        <f aca="false">IF(OR(M15="",E15=""),"",(L15-E15)*G15)</f>
        <v/>
      </c>
      <c r="O15" s="8" t="str">
        <f aca="false">IF($A15="","",IF(G15&lt;=0,"Sold",IF((-SUMIFS(Transactions!$E:$E,Transactions!$O:$O,$A15,Transactions!$B:$B,"Sell call")-SUMIFS(Transactions!$E:$E,Transactions!$O:$O,$A15,Transactions!$B:$B,"Buy to close")-SUMIFS(Transactions!$E:$E,Transactions!$O:$O,$A15,Transactions!$B:$B,"Expired")-SUMIFS(Transactions!$E:$E,Transactions!$O:$O,$A15,Transactions!$B:$B,"Assigned"))&gt;0,"Covered","Free")))</f>
        <v/>
      </c>
      <c r="P15" s="26" t="str">
        <f aca="false">IF(OR(I15="",G15&lt;=0),"",CEILING(MAX(I15,N(L15)),IF(E15&lt;50,0.5,IF(E15&lt;200,1,5))))</f>
        <v/>
      </c>
      <c r="Q15" s="8" t="str">
        <f aca="true">IF(OR(N15="",G15&lt;=0),"",IF(N15&gt;=0,"",IF(COUNTIFS($B:$B,B15,$C:$C,"&gt;="&amp;(TODAY()-30),$C:$C,"&lt;="&amp;TODAY(),$A:$A,"&lt;&gt;"&amp;$A15)&gt;0,"Loss sale now = wash sale","OK to harvest loss")))</f>
        <v/>
      </c>
      <c r="R15" s="14" t="str">
        <f aca="false">IF(OR($A15="",N(F15)&lt;=0),"",SUMIFS(Transactions!$J:$J,Transactions!$O:$O,$A15,Transactions!$B:$B,"Sell shares")-E15*F15)</f>
        <v/>
      </c>
      <c r="S15" s="10" t="str">
        <f aca="false">IF(OR($A15="",N(F15)&lt;=0),"",_xlfn.MAXIFS(Transactions!$A:$A,Transactions!$O:$O,$A15,Transactions!$B:$B,"Sell shares"))</f>
        <v/>
      </c>
      <c r="T15" s="14" t="str">
        <f aca="false">IF(OR($A15="",E15=""),"",E15*G15)</f>
        <v/>
      </c>
    </row>
    <row r="16" customFormat="false" ht="15" hidden="false" customHeight="false" outlineLevel="0" collapsed="false">
      <c r="A16" s="21"/>
      <c r="B16" s="8" t="str">
        <f aca="false">IF($A16="","",IFERROR(INDEX(Transactions!$C:$C,MATCH($A16,Transactions!$O:$O,0)),""))</f>
        <v/>
      </c>
      <c r="C16" s="10" t="str">
        <f aca="false">IF($A16="","",IF(COUNTIFS(Transactions!$O:$O,$A16,Transactions!$B:$B,"Buy shares")=0,"",_xlfn.MINIFS(Transactions!$A:$A,Transactions!$O:$O,$A16,Transactions!$B:$B,"Buy shares")))</f>
        <v/>
      </c>
      <c r="D16" s="18" t="str">
        <f aca="false">IF($A16="","",SUMIFS(Transactions!$E:$E,Transactions!$O:$O,$A16,Transactions!$B:$B,"Buy shares"))</f>
        <v/>
      </c>
      <c r="E16" s="26" t="str">
        <f aca="false">IF($A16="","",IF(D16=0,"",-SUMIFS(Transactions!$J:$J,Transactions!$O:$O,$A16,Transactions!$B:$B,"Buy shares")/D16))</f>
        <v/>
      </c>
      <c r="F16" s="18" t="str">
        <f aca="false">IF($A16="","",-SUMIFS(Transactions!$E:$E,Transactions!$O:$O,$A16,Transactions!$B:$B,"Sell shares"))</f>
        <v/>
      </c>
      <c r="G16" s="18" t="str">
        <f aca="false">IF($A16="","",D16-F16)</f>
        <v/>
      </c>
      <c r="H16" s="14" t="str">
        <f aca="false">IF($A16="","",SUMIFS(Transactions!$J:$J,Transactions!$O:$O,$A16,Transactions!$B:$B,"Sell call")+SUMIFS(Transactions!$J:$J,Transactions!$O:$O,$A16,Transactions!$B:$B,"Buy to close"))</f>
        <v/>
      </c>
      <c r="I16" s="26" t="str">
        <f aca="false">IF(OR($A16="",E16=""),"",E16-H16/D16)</f>
        <v/>
      </c>
      <c r="J16" s="26" t="str">
        <f aca="false">IF($A16="","",IFERROR(INDEX(Positions!$K:$K,MATCH(B16,Positions!$B:$B,0)),""))</f>
        <v/>
      </c>
      <c r="K16" s="23"/>
      <c r="L16" s="26" t="str">
        <f aca="false">IF($A16="","",IF(K16&lt;&gt;"",K16,J16))</f>
        <v/>
      </c>
      <c r="M16" s="14" t="str">
        <f aca="false">IF(OR($A16="",L16=""),"",L16*G16)</f>
        <v/>
      </c>
      <c r="N16" s="14" t="str">
        <f aca="false">IF(OR(M16="",E16=""),"",(L16-E16)*G16)</f>
        <v/>
      </c>
      <c r="O16" s="8" t="str">
        <f aca="false">IF($A16="","",IF(G16&lt;=0,"Sold",IF((-SUMIFS(Transactions!$E:$E,Transactions!$O:$O,$A16,Transactions!$B:$B,"Sell call")-SUMIFS(Transactions!$E:$E,Transactions!$O:$O,$A16,Transactions!$B:$B,"Buy to close")-SUMIFS(Transactions!$E:$E,Transactions!$O:$O,$A16,Transactions!$B:$B,"Expired")-SUMIFS(Transactions!$E:$E,Transactions!$O:$O,$A16,Transactions!$B:$B,"Assigned"))&gt;0,"Covered","Free")))</f>
        <v/>
      </c>
      <c r="P16" s="26" t="str">
        <f aca="false">IF(OR(I16="",G16&lt;=0),"",CEILING(MAX(I16,N(L16)),IF(E16&lt;50,0.5,IF(E16&lt;200,1,5))))</f>
        <v/>
      </c>
      <c r="Q16" s="8" t="str">
        <f aca="true">IF(OR(N16="",G16&lt;=0),"",IF(N16&gt;=0,"",IF(COUNTIFS($B:$B,B16,$C:$C,"&gt;="&amp;(TODAY()-30),$C:$C,"&lt;="&amp;TODAY(),$A:$A,"&lt;&gt;"&amp;$A16)&gt;0,"Loss sale now = wash sale","OK to harvest loss")))</f>
        <v/>
      </c>
      <c r="R16" s="14" t="str">
        <f aca="false">IF(OR($A16="",N(F16)&lt;=0),"",SUMIFS(Transactions!$J:$J,Transactions!$O:$O,$A16,Transactions!$B:$B,"Sell shares")-E16*F16)</f>
        <v/>
      </c>
      <c r="S16" s="10" t="str">
        <f aca="false">IF(OR($A16="",N(F16)&lt;=0),"",_xlfn.MAXIFS(Transactions!$A:$A,Transactions!$O:$O,$A16,Transactions!$B:$B,"Sell shares"))</f>
        <v/>
      </c>
      <c r="T16" s="14" t="str">
        <f aca="false">IF(OR($A16="",E16=""),"",E16*G16)</f>
        <v/>
      </c>
    </row>
    <row r="17" customFormat="false" ht="15" hidden="false" customHeight="false" outlineLevel="0" collapsed="false">
      <c r="A17" s="21"/>
      <c r="B17" s="8" t="str">
        <f aca="false">IF($A17="","",IFERROR(INDEX(Transactions!$C:$C,MATCH($A17,Transactions!$O:$O,0)),""))</f>
        <v/>
      </c>
      <c r="C17" s="10" t="str">
        <f aca="false">IF($A17="","",IF(COUNTIFS(Transactions!$O:$O,$A17,Transactions!$B:$B,"Buy shares")=0,"",_xlfn.MINIFS(Transactions!$A:$A,Transactions!$O:$O,$A17,Transactions!$B:$B,"Buy shares")))</f>
        <v/>
      </c>
      <c r="D17" s="18" t="str">
        <f aca="false">IF($A17="","",SUMIFS(Transactions!$E:$E,Transactions!$O:$O,$A17,Transactions!$B:$B,"Buy shares"))</f>
        <v/>
      </c>
      <c r="E17" s="26" t="str">
        <f aca="false">IF($A17="","",IF(D17=0,"",-SUMIFS(Transactions!$J:$J,Transactions!$O:$O,$A17,Transactions!$B:$B,"Buy shares")/D17))</f>
        <v/>
      </c>
      <c r="F17" s="18" t="str">
        <f aca="false">IF($A17="","",-SUMIFS(Transactions!$E:$E,Transactions!$O:$O,$A17,Transactions!$B:$B,"Sell shares"))</f>
        <v/>
      </c>
      <c r="G17" s="18" t="str">
        <f aca="false">IF($A17="","",D17-F17)</f>
        <v/>
      </c>
      <c r="H17" s="14" t="str">
        <f aca="false">IF($A17="","",SUMIFS(Transactions!$J:$J,Transactions!$O:$O,$A17,Transactions!$B:$B,"Sell call")+SUMIFS(Transactions!$J:$J,Transactions!$O:$O,$A17,Transactions!$B:$B,"Buy to close"))</f>
        <v/>
      </c>
      <c r="I17" s="26" t="str">
        <f aca="false">IF(OR($A17="",E17=""),"",E17-H17/D17)</f>
        <v/>
      </c>
      <c r="J17" s="26" t="str">
        <f aca="false">IF($A17="","",IFERROR(INDEX(Positions!$K:$K,MATCH(B17,Positions!$B:$B,0)),""))</f>
        <v/>
      </c>
      <c r="K17" s="23"/>
      <c r="L17" s="26" t="str">
        <f aca="false">IF($A17="","",IF(K17&lt;&gt;"",K17,J17))</f>
        <v/>
      </c>
      <c r="M17" s="14" t="str">
        <f aca="false">IF(OR($A17="",L17=""),"",L17*G17)</f>
        <v/>
      </c>
      <c r="N17" s="14" t="str">
        <f aca="false">IF(OR(M17="",E17=""),"",(L17-E17)*G17)</f>
        <v/>
      </c>
      <c r="O17" s="8" t="str">
        <f aca="false">IF($A17="","",IF(G17&lt;=0,"Sold",IF((-SUMIFS(Transactions!$E:$E,Transactions!$O:$O,$A17,Transactions!$B:$B,"Sell call")-SUMIFS(Transactions!$E:$E,Transactions!$O:$O,$A17,Transactions!$B:$B,"Buy to close")-SUMIFS(Transactions!$E:$E,Transactions!$O:$O,$A17,Transactions!$B:$B,"Expired")-SUMIFS(Transactions!$E:$E,Transactions!$O:$O,$A17,Transactions!$B:$B,"Assigned"))&gt;0,"Covered","Free")))</f>
        <v/>
      </c>
      <c r="P17" s="26" t="str">
        <f aca="false">IF(OR(I17="",G17&lt;=0),"",CEILING(MAX(I17,N(L17)),IF(E17&lt;50,0.5,IF(E17&lt;200,1,5))))</f>
        <v/>
      </c>
      <c r="Q17" s="8" t="str">
        <f aca="true">IF(OR(N17="",G17&lt;=0),"",IF(N17&gt;=0,"",IF(COUNTIFS($B:$B,B17,$C:$C,"&gt;="&amp;(TODAY()-30),$C:$C,"&lt;="&amp;TODAY(),$A:$A,"&lt;&gt;"&amp;$A17)&gt;0,"Loss sale now = wash sale","OK to harvest loss")))</f>
        <v/>
      </c>
      <c r="R17" s="14" t="str">
        <f aca="false">IF(OR($A17="",N(F17)&lt;=0),"",SUMIFS(Transactions!$J:$J,Transactions!$O:$O,$A17,Transactions!$B:$B,"Sell shares")-E17*F17)</f>
        <v/>
      </c>
      <c r="S17" s="10" t="str">
        <f aca="false">IF(OR($A17="",N(F17)&lt;=0),"",_xlfn.MAXIFS(Transactions!$A:$A,Transactions!$O:$O,$A17,Transactions!$B:$B,"Sell shares"))</f>
        <v/>
      </c>
      <c r="T17" s="14" t="str">
        <f aca="false">IF(OR($A17="",E17=""),"",E17*G17)</f>
        <v/>
      </c>
    </row>
    <row r="18" customFormat="false" ht="15" hidden="false" customHeight="false" outlineLevel="0" collapsed="false">
      <c r="A18" s="21"/>
      <c r="B18" s="8" t="str">
        <f aca="false">IF($A18="","",IFERROR(INDEX(Transactions!$C:$C,MATCH($A18,Transactions!$O:$O,0)),""))</f>
        <v/>
      </c>
      <c r="C18" s="10" t="str">
        <f aca="false">IF($A18="","",IF(COUNTIFS(Transactions!$O:$O,$A18,Transactions!$B:$B,"Buy shares")=0,"",_xlfn.MINIFS(Transactions!$A:$A,Transactions!$O:$O,$A18,Transactions!$B:$B,"Buy shares")))</f>
        <v/>
      </c>
      <c r="D18" s="18" t="str">
        <f aca="false">IF($A18="","",SUMIFS(Transactions!$E:$E,Transactions!$O:$O,$A18,Transactions!$B:$B,"Buy shares"))</f>
        <v/>
      </c>
      <c r="E18" s="26" t="str">
        <f aca="false">IF($A18="","",IF(D18=0,"",-SUMIFS(Transactions!$J:$J,Transactions!$O:$O,$A18,Transactions!$B:$B,"Buy shares")/D18))</f>
        <v/>
      </c>
      <c r="F18" s="18" t="str">
        <f aca="false">IF($A18="","",-SUMIFS(Transactions!$E:$E,Transactions!$O:$O,$A18,Transactions!$B:$B,"Sell shares"))</f>
        <v/>
      </c>
      <c r="G18" s="18" t="str">
        <f aca="false">IF($A18="","",D18-F18)</f>
        <v/>
      </c>
      <c r="H18" s="14" t="str">
        <f aca="false">IF($A18="","",SUMIFS(Transactions!$J:$J,Transactions!$O:$O,$A18,Transactions!$B:$B,"Sell call")+SUMIFS(Transactions!$J:$J,Transactions!$O:$O,$A18,Transactions!$B:$B,"Buy to close"))</f>
        <v/>
      </c>
      <c r="I18" s="26" t="str">
        <f aca="false">IF(OR($A18="",E18=""),"",E18-H18/D18)</f>
        <v/>
      </c>
      <c r="J18" s="26" t="str">
        <f aca="false">IF($A18="","",IFERROR(INDEX(Positions!$K:$K,MATCH(B18,Positions!$B:$B,0)),""))</f>
        <v/>
      </c>
      <c r="K18" s="23"/>
      <c r="L18" s="26" t="str">
        <f aca="false">IF($A18="","",IF(K18&lt;&gt;"",K18,J18))</f>
        <v/>
      </c>
      <c r="M18" s="14" t="str">
        <f aca="false">IF(OR($A18="",L18=""),"",L18*G18)</f>
        <v/>
      </c>
      <c r="N18" s="14" t="str">
        <f aca="false">IF(OR(M18="",E18=""),"",(L18-E18)*G18)</f>
        <v/>
      </c>
      <c r="O18" s="8" t="str">
        <f aca="false">IF($A18="","",IF(G18&lt;=0,"Sold",IF((-SUMIFS(Transactions!$E:$E,Transactions!$O:$O,$A18,Transactions!$B:$B,"Sell call")-SUMIFS(Transactions!$E:$E,Transactions!$O:$O,$A18,Transactions!$B:$B,"Buy to close")-SUMIFS(Transactions!$E:$E,Transactions!$O:$O,$A18,Transactions!$B:$B,"Expired")-SUMIFS(Transactions!$E:$E,Transactions!$O:$O,$A18,Transactions!$B:$B,"Assigned"))&gt;0,"Covered","Free")))</f>
        <v/>
      </c>
      <c r="P18" s="26" t="str">
        <f aca="false">IF(OR(I18="",G18&lt;=0),"",CEILING(MAX(I18,N(L18)),IF(E18&lt;50,0.5,IF(E18&lt;200,1,5))))</f>
        <v/>
      </c>
      <c r="Q18" s="8" t="str">
        <f aca="true">IF(OR(N18="",G18&lt;=0),"",IF(N18&gt;=0,"",IF(COUNTIFS($B:$B,B18,$C:$C,"&gt;="&amp;(TODAY()-30),$C:$C,"&lt;="&amp;TODAY(),$A:$A,"&lt;&gt;"&amp;$A18)&gt;0,"Loss sale now = wash sale","OK to harvest loss")))</f>
        <v/>
      </c>
      <c r="R18" s="14" t="str">
        <f aca="false">IF(OR($A18="",N(F18)&lt;=0),"",SUMIFS(Transactions!$J:$J,Transactions!$O:$O,$A18,Transactions!$B:$B,"Sell shares")-E18*F18)</f>
        <v/>
      </c>
      <c r="S18" s="10" t="str">
        <f aca="false">IF(OR($A18="",N(F18)&lt;=0),"",_xlfn.MAXIFS(Transactions!$A:$A,Transactions!$O:$O,$A18,Transactions!$B:$B,"Sell shares"))</f>
        <v/>
      </c>
      <c r="T18" s="14" t="str">
        <f aca="false">IF(OR($A18="",E18=""),"",E18*G18)</f>
        <v/>
      </c>
    </row>
    <row r="19" customFormat="false" ht="15" hidden="false" customHeight="false" outlineLevel="0" collapsed="false">
      <c r="A19" s="21"/>
      <c r="B19" s="8" t="str">
        <f aca="false">IF($A19="","",IFERROR(INDEX(Transactions!$C:$C,MATCH($A19,Transactions!$O:$O,0)),""))</f>
        <v/>
      </c>
      <c r="C19" s="10" t="str">
        <f aca="false">IF($A19="","",IF(COUNTIFS(Transactions!$O:$O,$A19,Transactions!$B:$B,"Buy shares")=0,"",_xlfn.MINIFS(Transactions!$A:$A,Transactions!$O:$O,$A19,Transactions!$B:$B,"Buy shares")))</f>
        <v/>
      </c>
      <c r="D19" s="18" t="str">
        <f aca="false">IF($A19="","",SUMIFS(Transactions!$E:$E,Transactions!$O:$O,$A19,Transactions!$B:$B,"Buy shares"))</f>
        <v/>
      </c>
      <c r="E19" s="26" t="str">
        <f aca="false">IF($A19="","",IF(D19=0,"",-SUMIFS(Transactions!$J:$J,Transactions!$O:$O,$A19,Transactions!$B:$B,"Buy shares")/D19))</f>
        <v/>
      </c>
      <c r="F19" s="18" t="str">
        <f aca="false">IF($A19="","",-SUMIFS(Transactions!$E:$E,Transactions!$O:$O,$A19,Transactions!$B:$B,"Sell shares"))</f>
        <v/>
      </c>
      <c r="G19" s="18" t="str">
        <f aca="false">IF($A19="","",D19-F19)</f>
        <v/>
      </c>
      <c r="H19" s="14" t="str">
        <f aca="false">IF($A19="","",SUMIFS(Transactions!$J:$J,Transactions!$O:$O,$A19,Transactions!$B:$B,"Sell call")+SUMIFS(Transactions!$J:$J,Transactions!$O:$O,$A19,Transactions!$B:$B,"Buy to close"))</f>
        <v/>
      </c>
      <c r="I19" s="26" t="str">
        <f aca="false">IF(OR($A19="",E19=""),"",E19-H19/D19)</f>
        <v/>
      </c>
      <c r="J19" s="26" t="str">
        <f aca="false">IF($A19="","",IFERROR(INDEX(Positions!$K:$K,MATCH(B19,Positions!$B:$B,0)),""))</f>
        <v/>
      </c>
      <c r="K19" s="23"/>
      <c r="L19" s="26" t="str">
        <f aca="false">IF($A19="","",IF(K19&lt;&gt;"",K19,J19))</f>
        <v/>
      </c>
      <c r="M19" s="14" t="str">
        <f aca="false">IF(OR($A19="",L19=""),"",L19*G19)</f>
        <v/>
      </c>
      <c r="N19" s="14" t="str">
        <f aca="false">IF(OR(M19="",E19=""),"",(L19-E19)*G19)</f>
        <v/>
      </c>
      <c r="O19" s="8" t="str">
        <f aca="false">IF($A19="","",IF(G19&lt;=0,"Sold",IF((-SUMIFS(Transactions!$E:$E,Transactions!$O:$O,$A19,Transactions!$B:$B,"Sell call")-SUMIFS(Transactions!$E:$E,Transactions!$O:$O,$A19,Transactions!$B:$B,"Buy to close")-SUMIFS(Transactions!$E:$E,Transactions!$O:$O,$A19,Transactions!$B:$B,"Expired")-SUMIFS(Transactions!$E:$E,Transactions!$O:$O,$A19,Transactions!$B:$B,"Assigned"))&gt;0,"Covered","Free")))</f>
        <v/>
      </c>
      <c r="P19" s="26" t="str">
        <f aca="false">IF(OR(I19="",G19&lt;=0),"",CEILING(MAX(I19,N(L19)),IF(E19&lt;50,0.5,IF(E19&lt;200,1,5))))</f>
        <v/>
      </c>
      <c r="Q19" s="8" t="str">
        <f aca="true">IF(OR(N19="",G19&lt;=0),"",IF(N19&gt;=0,"",IF(COUNTIFS($B:$B,B19,$C:$C,"&gt;="&amp;(TODAY()-30),$C:$C,"&lt;="&amp;TODAY(),$A:$A,"&lt;&gt;"&amp;$A19)&gt;0,"Loss sale now = wash sale","OK to harvest loss")))</f>
        <v/>
      </c>
      <c r="R19" s="14" t="str">
        <f aca="false">IF(OR($A19="",N(F19)&lt;=0),"",SUMIFS(Transactions!$J:$J,Transactions!$O:$O,$A19,Transactions!$B:$B,"Sell shares")-E19*F19)</f>
        <v/>
      </c>
      <c r="S19" s="10" t="str">
        <f aca="false">IF(OR($A19="",N(F19)&lt;=0),"",_xlfn.MAXIFS(Transactions!$A:$A,Transactions!$O:$O,$A19,Transactions!$B:$B,"Sell shares"))</f>
        <v/>
      </c>
      <c r="T19" s="14" t="str">
        <f aca="false">IF(OR($A19="",E19=""),"",E19*G19)</f>
        <v/>
      </c>
    </row>
    <row r="20" customFormat="false" ht="15" hidden="false" customHeight="false" outlineLevel="0" collapsed="false">
      <c r="A20" s="21"/>
      <c r="B20" s="8" t="str">
        <f aca="false">IF($A20="","",IFERROR(INDEX(Transactions!$C:$C,MATCH($A20,Transactions!$O:$O,0)),""))</f>
        <v/>
      </c>
      <c r="C20" s="10" t="str">
        <f aca="false">IF($A20="","",IF(COUNTIFS(Transactions!$O:$O,$A20,Transactions!$B:$B,"Buy shares")=0,"",_xlfn.MINIFS(Transactions!$A:$A,Transactions!$O:$O,$A20,Transactions!$B:$B,"Buy shares")))</f>
        <v/>
      </c>
      <c r="D20" s="18" t="str">
        <f aca="false">IF($A20="","",SUMIFS(Transactions!$E:$E,Transactions!$O:$O,$A20,Transactions!$B:$B,"Buy shares"))</f>
        <v/>
      </c>
      <c r="E20" s="26" t="str">
        <f aca="false">IF($A20="","",IF(D20=0,"",-SUMIFS(Transactions!$J:$J,Transactions!$O:$O,$A20,Transactions!$B:$B,"Buy shares")/D20))</f>
        <v/>
      </c>
      <c r="F20" s="18" t="str">
        <f aca="false">IF($A20="","",-SUMIFS(Transactions!$E:$E,Transactions!$O:$O,$A20,Transactions!$B:$B,"Sell shares"))</f>
        <v/>
      </c>
      <c r="G20" s="18" t="str">
        <f aca="false">IF($A20="","",D20-F20)</f>
        <v/>
      </c>
      <c r="H20" s="14" t="str">
        <f aca="false">IF($A20="","",SUMIFS(Transactions!$J:$J,Transactions!$O:$O,$A20,Transactions!$B:$B,"Sell call")+SUMIFS(Transactions!$J:$J,Transactions!$O:$O,$A20,Transactions!$B:$B,"Buy to close"))</f>
        <v/>
      </c>
      <c r="I20" s="26" t="str">
        <f aca="false">IF(OR($A20="",E20=""),"",E20-H20/D20)</f>
        <v/>
      </c>
      <c r="J20" s="26" t="str">
        <f aca="false">IF($A20="","",IFERROR(INDEX(Positions!$K:$K,MATCH(B20,Positions!$B:$B,0)),""))</f>
        <v/>
      </c>
      <c r="K20" s="23"/>
      <c r="L20" s="26" t="str">
        <f aca="false">IF($A20="","",IF(K20&lt;&gt;"",K20,J20))</f>
        <v/>
      </c>
      <c r="M20" s="14" t="str">
        <f aca="false">IF(OR($A20="",L20=""),"",L20*G20)</f>
        <v/>
      </c>
      <c r="N20" s="14" t="str">
        <f aca="false">IF(OR(M20="",E20=""),"",(L20-E20)*G20)</f>
        <v/>
      </c>
      <c r="O20" s="8" t="str">
        <f aca="false">IF($A20="","",IF(G20&lt;=0,"Sold",IF((-SUMIFS(Transactions!$E:$E,Transactions!$O:$O,$A20,Transactions!$B:$B,"Sell call")-SUMIFS(Transactions!$E:$E,Transactions!$O:$O,$A20,Transactions!$B:$B,"Buy to close")-SUMIFS(Transactions!$E:$E,Transactions!$O:$O,$A20,Transactions!$B:$B,"Expired")-SUMIFS(Transactions!$E:$E,Transactions!$O:$O,$A20,Transactions!$B:$B,"Assigned"))&gt;0,"Covered","Free")))</f>
        <v/>
      </c>
      <c r="P20" s="26" t="str">
        <f aca="false">IF(OR(I20="",G20&lt;=0),"",CEILING(MAX(I20,N(L20)),IF(E20&lt;50,0.5,IF(E20&lt;200,1,5))))</f>
        <v/>
      </c>
      <c r="Q20" s="8" t="str">
        <f aca="true">IF(OR(N20="",G20&lt;=0),"",IF(N20&gt;=0,"",IF(COUNTIFS($B:$B,B20,$C:$C,"&gt;="&amp;(TODAY()-30),$C:$C,"&lt;="&amp;TODAY(),$A:$A,"&lt;&gt;"&amp;$A20)&gt;0,"Loss sale now = wash sale","OK to harvest loss")))</f>
        <v/>
      </c>
      <c r="R20" s="14" t="str">
        <f aca="false">IF(OR($A20="",N(F20)&lt;=0),"",SUMIFS(Transactions!$J:$J,Transactions!$O:$O,$A20,Transactions!$B:$B,"Sell shares")-E20*F20)</f>
        <v/>
      </c>
      <c r="S20" s="10" t="str">
        <f aca="false">IF(OR($A20="",N(F20)&lt;=0),"",_xlfn.MAXIFS(Transactions!$A:$A,Transactions!$O:$O,$A20,Transactions!$B:$B,"Sell shares"))</f>
        <v/>
      </c>
      <c r="T20" s="14" t="str">
        <f aca="false">IF(OR($A20="",E20=""),"",E20*G20)</f>
        <v/>
      </c>
    </row>
    <row r="21" customFormat="false" ht="15" hidden="false" customHeight="false" outlineLevel="0" collapsed="false">
      <c r="A21" s="21"/>
      <c r="B21" s="8" t="str">
        <f aca="false">IF($A21="","",IFERROR(INDEX(Transactions!$C:$C,MATCH($A21,Transactions!$O:$O,0)),""))</f>
        <v/>
      </c>
      <c r="C21" s="10" t="str">
        <f aca="false">IF($A21="","",IF(COUNTIFS(Transactions!$O:$O,$A21,Transactions!$B:$B,"Buy shares")=0,"",_xlfn.MINIFS(Transactions!$A:$A,Transactions!$O:$O,$A21,Transactions!$B:$B,"Buy shares")))</f>
        <v/>
      </c>
      <c r="D21" s="18" t="str">
        <f aca="false">IF($A21="","",SUMIFS(Transactions!$E:$E,Transactions!$O:$O,$A21,Transactions!$B:$B,"Buy shares"))</f>
        <v/>
      </c>
      <c r="E21" s="26" t="str">
        <f aca="false">IF($A21="","",IF(D21=0,"",-SUMIFS(Transactions!$J:$J,Transactions!$O:$O,$A21,Transactions!$B:$B,"Buy shares")/D21))</f>
        <v/>
      </c>
      <c r="F21" s="18" t="str">
        <f aca="false">IF($A21="","",-SUMIFS(Transactions!$E:$E,Transactions!$O:$O,$A21,Transactions!$B:$B,"Sell shares"))</f>
        <v/>
      </c>
      <c r="G21" s="18" t="str">
        <f aca="false">IF($A21="","",D21-F21)</f>
        <v/>
      </c>
      <c r="H21" s="14" t="str">
        <f aca="false">IF($A21="","",SUMIFS(Transactions!$J:$J,Transactions!$O:$O,$A21,Transactions!$B:$B,"Sell call")+SUMIFS(Transactions!$J:$J,Transactions!$O:$O,$A21,Transactions!$B:$B,"Buy to close"))</f>
        <v/>
      </c>
      <c r="I21" s="26" t="str">
        <f aca="false">IF(OR($A21="",E21=""),"",E21-H21/D21)</f>
        <v/>
      </c>
      <c r="J21" s="26" t="str">
        <f aca="false">IF($A21="","",IFERROR(INDEX(Positions!$K:$K,MATCH(B21,Positions!$B:$B,0)),""))</f>
        <v/>
      </c>
      <c r="K21" s="23"/>
      <c r="L21" s="26" t="str">
        <f aca="false">IF($A21="","",IF(K21&lt;&gt;"",K21,J21))</f>
        <v/>
      </c>
      <c r="M21" s="14" t="str">
        <f aca="false">IF(OR($A21="",L21=""),"",L21*G21)</f>
        <v/>
      </c>
      <c r="N21" s="14" t="str">
        <f aca="false">IF(OR(M21="",E21=""),"",(L21-E21)*G21)</f>
        <v/>
      </c>
      <c r="O21" s="8" t="str">
        <f aca="false">IF($A21="","",IF(G21&lt;=0,"Sold",IF((-SUMIFS(Transactions!$E:$E,Transactions!$O:$O,$A21,Transactions!$B:$B,"Sell call")-SUMIFS(Transactions!$E:$E,Transactions!$O:$O,$A21,Transactions!$B:$B,"Buy to close")-SUMIFS(Transactions!$E:$E,Transactions!$O:$O,$A21,Transactions!$B:$B,"Expired")-SUMIFS(Transactions!$E:$E,Transactions!$O:$O,$A21,Transactions!$B:$B,"Assigned"))&gt;0,"Covered","Free")))</f>
        <v/>
      </c>
      <c r="P21" s="26" t="str">
        <f aca="false">IF(OR(I21="",G21&lt;=0),"",CEILING(MAX(I21,N(L21)),IF(E21&lt;50,0.5,IF(E21&lt;200,1,5))))</f>
        <v/>
      </c>
      <c r="Q21" s="8" t="str">
        <f aca="true">IF(OR(N21="",G21&lt;=0),"",IF(N21&gt;=0,"",IF(COUNTIFS($B:$B,B21,$C:$C,"&gt;="&amp;(TODAY()-30),$C:$C,"&lt;="&amp;TODAY(),$A:$A,"&lt;&gt;"&amp;$A21)&gt;0,"Loss sale now = wash sale","OK to harvest loss")))</f>
        <v/>
      </c>
      <c r="R21" s="14" t="str">
        <f aca="false">IF(OR($A21="",N(F21)&lt;=0),"",SUMIFS(Transactions!$J:$J,Transactions!$O:$O,$A21,Transactions!$B:$B,"Sell shares")-E21*F21)</f>
        <v/>
      </c>
      <c r="S21" s="10" t="str">
        <f aca="false">IF(OR($A21="",N(F21)&lt;=0),"",_xlfn.MAXIFS(Transactions!$A:$A,Transactions!$O:$O,$A21,Transactions!$B:$B,"Sell shares"))</f>
        <v/>
      </c>
      <c r="T21" s="14" t="str">
        <f aca="false">IF(OR($A21="",E21=""),"",E21*G21)</f>
        <v/>
      </c>
    </row>
    <row r="22" customFormat="false" ht="15" hidden="false" customHeight="false" outlineLevel="0" collapsed="false">
      <c r="A22" s="21"/>
      <c r="B22" s="8" t="str">
        <f aca="false">IF($A22="","",IFERROR(INDEX(Transactions!$C:$C,MATCH($A22,Transactions!$O:$O,0)),""))</f>
        <v/>
      </c>
      <c r="C22" s="10" t="str">
        <f aca="false">IF($A22="","",IF(COUNTIFS(Transactions!$O:$O,$A22,Transactions!$B:$B,"Buy shares")=0,"",_xlfn.MINIFS(Transactions!$A:$A,Transactions!$O:$O,$A22,Transactions!$B:$B,"Buy shares")))</f>
        <v/>
      </c>
      <c r="D22" s="18" t="str">
        <f aca="false">IF($A22="","",SUMIFS(Transactions!$E:$E,Transactions!$O:$O,$A22,Transactions!$B:$B,"Buy shares"))</f>
        <v/>
      </c>
      <c r="E22" s="26" t="str">
        <f aca="false">IF($A22="","",IF(D22=0,"",-SUMIFS(Transactions!$J:$J,Transactions!$O:$O,$A22,Transactions!$B:$B,"Buy shares")/D22))</f>
        <v/>
      </c>
      <c r="F22" s="18" t="str">
        <f aca="false">IF($A22="","",-SUMIFS(Transactions!$E:$E,Transactions!$O:$O,$A22,Transactions!$B:$B,"Sell shares"))</f>
        <v/>
      </c>
      <c r="G22" s="18" t="str">
        <f aca="false">IF($A22="","",D22-F22)</f>
        <v/>
      </c>
      <c r="H22" s="14" t="str">
        <f aca="false">IF($A22="","",SUMIFS(Transactions!$J:$J,Transactions!$O:$O,$A22,Transactions!$B:$B,"Sell call")+SUMIFS(Transactions!$J:$J,Transactions!$O:$O,$A22,Transactions!$B:$B,"Buy to close"))</f>
        <v/>
      </c>
      <c r="I22" s="26" t="str">
        <f aca="false">IF(OR($A22="",E22=""),"",E22-H22/D22)</f>
        <v/>
      </c>
      <c r="J22" s="26" t="str">
        <f aca="false">IF($A22="","",IFERROR(INDEX(Positions!$K:$K,MATCH(B22,Positions!$B:$B,0)),""))</f>
        <v/>
      </c>
      <c r="K22" s="23"/>
      <c r="L22" s="26" t="str">
        <f aca="false">IF($A22="","",IF(K22&lt;&gt;"",K22,J22))</f>
        <v/>
      </c>
      <c r="M22" s="14" t="str">
        <f aca="false">IF(OR($A22="",L22=""),"",L22*G22)</f>
        <v/>
      </c>
      <c r="N22" s="14" t="str">
        <f aca="false">IF(OR(M22="",E22=""),"",(L22-E22)*G22)</f>
        <v/>
      </c>
      <c r="O22" s="8" t="str">
        <f aca="false">IF($A22="","",IF(G22&lt;=0,"Sold",IF((-SUMIFS(Transactions!$E:$E,Transactions!$O:$O,$A22,Transactions!$B:$B,"Sell call")-SUMIFS(Transactions!$E:$E,Transactions!$O:$O,$A22,Transactions!$B:$B,"Buy to close")-SUMIFS(Transactions!$E:$E,Transactions!$O:$O,$A22,Transactions!$B:$B,"Expired")-SUMIFS(Transactions!$E:$E,Transactions!$O:$O,$A22,Transactions!$B:$B,"Assigned"))&gt;0,"Covered","Free")))</f>
        <v/>
      </c>
      <c r="P22" s="26" t="str">
        <f aca="false">IF(OR(I22="",G22&lt;=0),"",CEILING(MAX(I22,N(L22)),IF(E22&lt;50,0.5,IF(E22&lt;200,1,5))))</f>
        <v/>
      </c>
      <c r="Q22" s="8" t="str">
        <f aca="true">IF(OR(N22="",G22&lt;=0),"",IF(N22&gt;=0,"",IF(COUNTIFS($B:$B,B22,$C:$C,"&gt;="&amp;(TODAY()-30),$C:$C,"&lt;="&amp;TODAY(),$A:$A,"&lt;&gt;"&amp;$A22)&gt;0,"Loss sale now = wash sale","OK to harvest loss")))</f>
        <v/>
      </c>
      <c r="R22" s="14" t="str">
        <f aca="false">IF(OR($A22="",N(F22)&lt;=0),"",SUMIFS(Transactions!$J:$J,Transactions!$O:$O,$A22,Transactions!$B:$B,"Sell shares")-E22*F22)</f>
        <v/>
      </c>
      <c r="S22" s="10" t="str">
        <f aca="false">IF(OR($A22="",N(F22)&lt;=0),"",_xlfn.MAXIFS(Transactions!$A:$A,Transactions!$O:$O,$A22,Transactions!$B:$B,"Sell shares"))</f>
        <v/>
      </c>
      <c r="T22" s="14" t="str">
        <f aca="false">IF(OR($A22="",E22=""),"",E22*G22)</f>
        <v/>
      </c>
    </row>
    <row r="23" customFormat="false" ht="15" hidden="false" customHeight="false" outlineLevel="0" collapsed="false">
      <c r="A23" s="21"/>
      <c r="B23" s="8" t="str">
        <f aca="false">IF($A23="","",IFERROR(INDEX(Transactions!$C:$C,MATCH($A23,Transactions!$O:$O,0)),""))</f>
        <v/>
      </c>
      <c r="C23" s="10" t="str">
        <f aca="false">IF($A23="","",IF(COUNTIFS(Transactions!$O:$O,$A23,Transactions!$B:$B,"Buy shares")=0,"",_xlfn.MINIFS(Transactions!$A:$A,Transactions!$O:$O,$A23,Transactions!$B:$B,"Buy shares")))</f>
        <v/>
      </c>
      <c r="D23" s="18" t="str">
        <f aca="false">IF($A23="","",SUMIFS(Transactions!$E:$E,Transactions!$O:$O,$A23,Transactions!$B:$B,"Buy shares"))</f>
        <v/>
      </c>
      <c r="E23" s="26" t="str">
        <f aca="false">IF($A23="","",IF(D23=0,"",-SUMIFS(Transactions!$J:$J,Transactions!$O:$O,$A23,Transactions!$B:$B,"Buy shares")/D23))</f>
        <v/>
      </c>
      <c r="F23" s="18" t="str">
        <f aca="false">IF($A23="","",-SUMIFS(Transactions!$E:$E,Transactions!$O:$O,$A23,Transactions!$B:$B,"Sell shares"))</f>
        <v/>
      </c>
      <c r="G23" s="18" t="str">
        <f aca="false">IF($A23="","",D23-F23)</f>
        <v/>
      </c>
      <c r="H23" s="14" t="str">
        <f aca="false">IF($A23="","",SUMIFS(Transactions!$J:$J,Transactions!$O:$O,$A23,Transactions!$B:$B,"Sell call")+SUMIFS(Transactions!$J:$J,Transactions!$O:$O,$A23,Transactions!$B:$B,"Buy to close"))</f>
        <v/>
      </c>
      <c r="I23" s="26" t="str">
        <f aca="false">IF(OR($A23="",E23=""),"",E23-H23/D23)</f>
        <v/>
      </c>
      <c r="J23" s="26" t="str">
        <f aca="false">IF($A23="","",IFERROR(INDEX(Positions!$K:$K,MATCH(B23,Positions!$B:$B,0)),""))</f>
        <v/>
      </c>
      <c r="K23" s="23"/>
      <c r="L23" s="26" t="str">
        <f aca="false">IF($A23="","",IF(K23&lt;&gt;"",K23,J23))</f>
        <v/>
      </c>
      <c r="M23" s="14" t="str">
        <f aca="false">IF(OR($A23="",L23=""),"",L23*G23)</f>
        <v/>
      </c>
      <c r="N23" s="14" t="str">
        <f aca="false">IF(OR(M23="",E23=""),"",(L23-E23)*G23)</f>
        <v/>
      </c>
      <c r="O23" s="8" t="str">
        <f aca="false">IF($A23="","",IF(G23&lt;=0,"Sold",IF((-SUMIFS(Transactions!$E:$E,Transactions!$O:$O,$A23,Transactions!$B:$B,"Sell call")-SUMIFS(Transactions!$E:$E,Transactions!$O:$O,$A23,Transactions!$B:$B,"Buy to close")-SUMIFS(Transactions!$E:$E,Transactions!$O:$O,$A23,Transactions!$B:$B,"Expired")-SUMIFS(Transactions!$E:$E,Transactions!$O:$O,$A23,Transactions!$B:$B,"Assigned"))&gt;0,"Covered","Free")))</f>
        <v/>
      </c>
      <c r="P23" s="26" t="str">
        <f aca="false">IF(OR(I23="",G23&lt;=0),"",CEILING(MAX(I23,N(L23)),IF(E23&lt;50,0.5,IF(E23&lt;200,1,5))))</f>
        <v/>
      </c>
      <c r="Q23" s="8" t="str">
        <f aca="true">IF(OR(N23="",G23&lt;=0),"",IF(N23&gt;=0,"",IF(COUNTIFS($B:$B,B23,$C:$C,"&gt;="&amp;(TODAY()-30),$C:$C,"&lt;="&amp;TODAY(),$A:$A,"&lt;&gt;"&amp;$A23)&gt;0,"Loss sale now = wash sale","OK to harvest loss")))</f>
        <v/>
      </c>
      <c r="R23" s="14" t="str">
        <f aca="false">IF(OR($A23="",N(F23)&lt;=0),"",SUMIFS(Transactions!$J:$J,Transactions!$O:$O,$A23,Transactions!$B:$B,"Sell shares")-E23*F23)</f>
        <v/>
      </c>
      <c r="S23" s="10" t="str">
        <f aca="false">IF(OR($A23="",N(F23)&lt;=0),"",_xlfn.MAXIFS(Transactions!$A:$A,Transactions!$O:$O,$A23,Transactions!$B:$B,"Sell shares"))</f>
        <v/>
      </c>
      <c r="T23" s="14" t="str">
        <f aca="false">IF(OR($A23="",E23=""),"",E23*G23)</f>
        <v/>
      </c>
    </row>
    <row r="24" customFormat="false" ht="15" hidden="false" customHeight="false" outlineLevel="0" collapsed="false">
      <c r="A24" s="21"/>
      <c r="B24" s="8" t="str">
        <f aca="false">IF($A24="","",IFERROR(INDEX(Transactions!$C:$C,MATCH($A24,Transactions!$O:$O,0)),""))</f>
        <v/>
      </c>
      <c r="C24" s="10" t="str">
        <f aca="false">IF($A24="","",IF(COUNTIFS(Transactions!$O:$O,$A24,Transactions!$B:$B,"Buy shares")=0,"",_xlfn.MINIFS(Transactions!$A:$A,Transactions!$O:$O,$A24,Transactions!$B:$B,"Buy shares")))</f>
        <v/>
      </c>
      <c r="D24" s="18" t="str">
        <f aca="false">IF($A24="","",SUMIFS(Transactions!$E:$E,Transactions!$O:$O,$A24,Transactions!$B:$B,"Buy shares"))</f>
        <v/>
      </c>
      <c r="E24" s="26" t="str">
        <f aca="false">IF($A24="","",IF(D24=0,"",-SUMIFS(Transactions!$J:$J,Transactions!$O:$O,$A24,Transactions!$B:$B,"Buy shares")/D24))</f>
        <v/>
      </c>
      <c r="F24" s="18" t="str">
        <f aca="false">IF($A24="","",-SUMIFS(Transactions!$E:$E,Transactions!$O:$O,$A24,Transactions!$B:$B,"Sell shares"))</f>
        <v/>
      </c>
      <c r="G24" s="18" t="str">
        <f aca="false">IF($A24="","",D24-F24)</f>
        <v/>
      </c>
      <c r="H24" s="14" t="str">
        <f aca="false">IF($A24="","",SUMIFS(Transactions!$J:$J,Transactions!$O:$O,$A24,Transactions!$B:$B,"Sell call")+SUMIFS(Transactions!$J:$J,Transactions!$O:$O,$A24,Transactions!$B:$B,"Buy to close"))</f>
        <v/>
      </c>
      <c r="I24" s="26" t="str">
        <f aca="false">IF(OR($A24="",E24=""),"",E24-H24/D24)</f>
        <v/>
      </c>
      <c r="J24" s="26" t="str">
        <f aca="false">IF($A24="","",IFERROR(INDEX(Positions!$K:$K,MATCH(B24,Positions!$B:$B,0)),""))</f>
        <v/>
      </c>
      <c r="K24" s="23"/>
      <c r="L24" s="26" t="str">
        <f aca="false">IF($A24="","",IF(K24&lt;&gt;"",K24,J24))</f>
        <v/>
      </c>
      <c r="M24" s="14" t="str">
        <f aca="false">IF(OR($A24="",L24=""),"",L24*G24)</f>
        <v/>
      </c>
      <c r="N24" s="14" t="str">
        <f aca="false">IF(OR(M24="",E24=""),"",(L24-E24)*G24)</f>
        <v/>
      </c>
      <c r="O24" s="8" t="str">
        <f aca="false">IF($A24="","",IF(G24&lt;=0,"Sold",IF((-SUMIFS(Transactions!$E:$E,Transactions!$O:$O,$A24,Transactions!$B:$B,"Sell call")-SUMIFS(Transactions!$E:$E,Transactions!$O:$O,$A24,Transactions!$B:$B,"Buy to close")-SUMIFS(Transactions!$E:$E,Transactions!$O:$O,$A24,Transactions!$B:$B,"Expired")-SUMIFS(Transactions!$E:$E,Transactions!$O:$O,$A24,Transactions!$B:$B,"Assigned"))&gt;0,"Covered","Free")))</f>
        <v/>
      </c>
      <c r="P24" s="26" t="str">
        <f aca="false">IF(OR(I24="",G24&lt;=0),"",CEILING(MAX(I24,N(L24)),IF(E24&lt;50,0.5,IF(E24&lt;200,1,5))))</f>
        <v/>
      </c>
      <c r="Q24" s="8" t="str">
        <f aca="true">IF(OR(N24="",G24&lt;=0),"",IF(N24&gt;=0,"",IF(COUNTIFS($B:$B,B24,$C:$C,"&gt;="&amp;(TODAY()-30),$C:$C,"&lt;="&amp;TODAY(),$A:$A,"&lt;&gt;"&amp;$A24)&gt;0,"Loss sale now = wash sale","OK to harvest loss")))</f>
        <v/>
      </c>
      <c r="R24" s="14" t="str">
        <f aca="false">IF(OR($A24="",N(F24)&lt;=0),"",SUMIFS(Transactions!$J:$J,Transactions!$O:$O,$A24,Transactions!$B:$B,"Sell shares")-E24*F24)</f>
        <v/>
      </c>
      <c r="S24" s="10" t="str">
        <f aca="false">IF(OR($A24="",N(F24)&lt;=0),"",_xlfn.MAXIFS(Transactions!$A:$A,Transactions!$O:$O,$A24,Transactions!$B:$B,"Sell shares"))</f>
        <v/>
      </c>
      <c r="T24" s="14" t="str">
        <f aca="false">IF(OR($A24="",E24=""),"",E24*G24)</f>
        <v/>
      </c>
    </row>
    <row r="25" customFormat="false" ht="15" hidden="false" customHeight="false" outlineLevel="0" collapsed="false">
      <c r="A25" s="21"/>
      <c r="B25" s="8" t="str">
        <f aca="false">IF($A25="","",IFERROR(INDEX(Transactions!$C:$C,MATCH($A25,Transactions!$O:$O,0)),""))</f>
        <v/>
      </c>
      <c r="C25" s="10" t="str">
        <f aca="false">IF($A25="","",IF(COUNTIFS(Transactions!$O:$O,$A25,Transactions!$B:$B,"Buy shares")=0,"",_xlfn.MINIFS(Transactions!$A:$A,Transactions!$O:$O,$A25,Transactions!$B:$B,"Buy shares")))</f>
        <v/>
      </c>
      <c r="D25" s="18" t="str">
        <f aca="false">IF($A25="","",SUMIFS(Transactions!$E:$E,Transactions!$O:$O,$A25,Transactions!$B:$B,"Buy shares"))</f>
        <v/>
      </c>
      <c r="E25" s="26" t="str">
        <f aca="false">IF($A25="","",IF(D25=0,"",-SUMIFS(Transactions!$J:$J,Transactions!$O:$O,$A25,Transactions!$B:$B,"Buy shares")/D25))</f>
        <v/>
      </c>
      <c r="F25" s="18" t="str">
        <f aca="false">IF($A25="","",-SUMIFS(Transactions!$E:$E,Transactions!$O:$O,$A25,Transactions!$B:$B,"Sell shares"))</f>
        <v/>
      </c>
      <c r="G25" s="18" t="str">
        <f aca="false">IF($A25="","",D25-F25)</f>
        <v/>
      </c>
      <c r="H25" s="14" t="str">
        <f aca="false">IF($A25="","",SUMIFS(Transactions!$J:$J,Transactions!$O:$O,$A25,Transactions!$B:$B,"Sell call")+SUMIFS(Transactions!$J:$J,Transactions!$O:$O,$A25,Transactions!$B:$B,"Buy to close"))</f>
        <v/>
      </c>
      <c r="I25" s="26" t="str">
        <f aca="false">IF(OR($A25="",E25=""),"",E25-H25/D25)</f>
        <v/>
      </c>
      <c r="J25" s="26" t="str">
        <f aca="false">IF($A25="","",IFERROR(INDEX(Positions!$K:$K,MATCH(B25,Positions!$B:$B,0)),""))</f>
        <v/>
      </c>
      <c r="K25" s="23"/>
      <c r="L25" s="26" t="str">
        <f aca="false">IF($A25="","",IF(K25&lt;&gt;"",K25,J25))</f>
        <v/>
      </c>
      <c r="M25" s="14" t="str">
        <f aca="false">IF(OR($A25="",L25=""),"",L25*G25)</f>
        <v/>
      </c>
      <c r="N25" s="14" t="str">
        <f aca="false">IF(OR(M25="",E25=""),"",(L25-E25)*G25)</f>
        <v/>
      </c>
      <c r="O25" s="8" t="str">
        <f aca="false">IF($A25="","",IF(G25&lt;=0,"Sold",IF((-SUMIFS(Transactions!$E:$E,Transactions!$O:$O,$A25,Transactions!$B:$B,"Sell call")-SUMIFS(Transactions!$E:$E,Transactions!$O:$O,$A25,Transactions!$B:$B,"Buy to close")-SUMIFS(Transactions!$E:$E,Transactions!$O:$O,$A25,Transactions!$B:$B,"Expired")-SUMIFS(Transactions!$E:$E,Transactions!$O:$O,$A25,Transactions!$B:$B,"Assigned"))&gt;0,"Covered","Free")))</f>
        <v/>
      </c>
      <c r="P25" s="26" t="str">
        <f aca="false">IF(OR(I25="",G25&lt;=0),"",CEILING(MAX(I25,N(L25)),IF(E25&lt;50,0.5,IF(E25&lt;200,1,5))))</f>
        <v/>
      </c>
      <c r="Q25" s="8" t="str">
        <f aca="true">IF(OR(N25="",G25&lt;=0),"",IF(N25&gt;=0,"",IF(COUNTIFS($B:$B,B25,$C:$C,"&gt;="&amp;(TODAY()-30),$C:$C,"&lt;="&amp;TODAY(),$A:$A,"&lt;&gt;"&amp;$A25)&gt;0,"Loss sale now = wash sale","OK to harvest loss")))</f>
        <v/>
      </c>
      <c r="R25" s="14" t="str">
        <f aca="false">IF(OR($A25="",N(F25)&lt;=0),"",SUMIFS(Transactions!$J:$J,Transactions!$O:$O,$A25,Transactions!$B:$B,"Sell shares")-E25*F25)</f>
        <v/>
      </c>
      <c r="S25" s="10" t="str">
        <f aca="false">IF(OR($A25="",N(F25)&lt;=0),"",_xlfn.MAXIFS(Transactions!$A:$A,Transactions!$O:$O,$A25,Transactions!$B:$B,"Sell shares"))</f>
        <v/>
      </c>
      <c r="T25" s="14" t="str">
        <f aca="false">IF(OR($A25="",E25=""),"",E25*G25)</f>
        <v/>
      </c>
    </row>
    <row r="26" customFormat="false" ht="15" hidden="false" customHeight="false" outlineLevel="0" collapsed="false">
      <c r="A26" s="21"/>
      <c r="B26" s="8" t="str">
        <f aca="false">IF($A26="","",IFERROR(INDEX(Transactions!$C:$C,MATCH($A26,Transactions!$O:$O,0)),""))</f>
        <v/>
      </c>
      <c r="C26" s="10" t="str">
        <f aca="false">IF($A26="","",IF(COUNTIFS(Transactions!$O:$O,$A26,Transactions!$B:$B,"Buy shares")=0,"",_xlfn.MINIFS(Transactions!$A:$A,Transactions!$O:$O,$A26,Transactions!$B:$B,"Buy shares")))</f>
        <v/>
      </c>
      <c r="D26" s="18" t="str">
        <f aca="false">IF($A26="","",SUMIFS(Transactions!$E:$E,Transactions!$O:$O,$A26,Transactions!$B:$B,"Buy shares"))</f>
        <v/>
      </c>
      <c r="E26" s="26" t="str">
        <f aca="false">IF($A26="","",IF(D26=0,"",-SUMIFS(Transactions!$J:$J,Transactions!$O:$O,$A26,Transactions!$B:$B,"Buy shares")/D26))</f>
        <v/>
      </c>
      <c r="F26" s="18" t="str">
        <f aca="false">IF($A26="","",-SUMIFS(Transactions!$E:$E,Transactions!$O:$O,$A26,Transactions!$B:$B,"Sell shares"))</f>
        <v/>
      </c>
      <c r="G26" s="18" t="str">
        <f aca="false">IF($A26="","",D26-F26)</f>
        <v/>
      </c>
      <c r="H26" s="14" t="str">
        <f aca="false">IF($A26="","",SUMIFS(Transactions!$J:$J,Transactions!$O:$O,$A26,Transactions!$B:$B,"Sell call")+SUMIFS(Transactions!$J:$J,Transactions!$O:$O,$A26,Transactions!$B:$B,"Buy to close"))</f>
        <v/>
      </c>
      <c r="I26" s="26" t="str">
        <f aca="false">IF(OR($A26="",E26=""),"",E26-H26/D26)</f>
        <v/>
      </c>
      <c r="J26" s="26" t="str">
        <f aca="false">IF($A26="","",IFERROR(INDEX(Positions!$K:$K,MATCH(B26,Positions!$B:$B,0)),""))</f>
        <v/>
      </c>
      <c r="K26" s="23"/>
      <c r="L26" s="26" t="str">
        <f aca="false">IF($A26="","",IF(K26&lt;&gt;"",K26,J26))</f>
        <v/>
      </c>
      <c r="M26" s="14" t="str">
        <f aca="false">IF(OR($A26="",L26=""),"",L26*G26)</f>
        <v/>
      </c>
      <c r="N26" s="14" t="str">
        <f aca="false">IF(OR(M26="",E26=""),"",(L26-E26)*G26)</f>
        <v/>
      </c>
      <c r="O26" s="8" t="str">
        <f aca="false">IF($A26="","",IF(G26&lt;=0,"Sold",IF((-SUMIFS(Transactions!$E:$E,Transactions!$O:$O,$A26,Transactions!$B:$B,"Sell call")-SUMIFS(Transactions!$E:$E,Transactions!$O:$O,$A26,Transactions!$B:$B,"Buy to close")-SUMIFS(Transactions!$E:$E,Transactions!$O:$O,$A26,Transactions!$B:$B,"Expired")-SUMIFS(Transactions!$E:$E,Transactions!$O:$O,$A26,Transactions!$B:$B,"Assigned"))&gt;0,"Covered","Free")))</f>
        <v/>
      </c>
      <c r="P26" s="26" t="str">
        <f aca="false">IF(OR(I26="",G26&lt;=0),"",CEILING(MAX(I26,N(L26)),IF(E26&lt;50,0.5,IF(E26&lt;200,1,5))))</f>
        <v/>
      </c>
      <c r="Q26" s="8" t="str">
        <f aca="true">IF(OR(N26="",G26&lt;=0),"",IF(N26&gt;=0,"",IF(COUNTIFS($B:$B,B26,$C:$C,"&gt;="&amp;(TODAY()-30),$C:$C,"&lt;="&amp;TODAY(),$A:$A,"&lt;&gt;"&amp;$A26)&gt;0,"Loss sale now = wash sale","OK to harvest loss")))</f>
        <v/>
      </c>
      <c r="R26" s="14" t="str">
        <f aca="false">IF(OR($A26="",N(F26)&lt;=0),"",SUMIFS(Transactions!$J:$J,Transactions!$O:$O,$A26,Transactions!$B:$B,"Sell shares")-E26*F26)</f>
        <v/>
      </c>
      <c r="S26" s="10" t="str">
        <f aca="false">IF(OR($A26="",N(F26)&lt;=0),"",_xlfn.MAXIFS(Transactions!$A:$A,Transactions!$O:$O,$A26,Transactions!$B:$B,"Sell shares"))</f>
        <v/>
      </c>
      <c r="T26" s="14" t="str">
        <f aca="false">IF(OR($A26="",E26=""),"",E26*G26)</f>
        <v/>
      </c>
    </row>
    <row r="27" customFormat="false" ht="15" hidden="false" customHeight="false" outlineLevel="0" collapsed="false">
      <c r="A27" s="21"/>
      <c r="B27" s="8" t="str">
        <f aca="false">IF($A27="","",IFERROR(INDEX(Transactions!$C:$C,MATCH($A27,Transactions!$O:$O,0)),""))</f>
        <v/>
      </c>
      <c r="C27" s="10" t="str">
        <f aca="false">IF($A27="","",IF(COUNTIFS(Transactions!$O:$O,$A27,Transactions!$B:$B,"Buy shares")=0,"",_xlfn.MINIFS(Transactions!$A:$A,Transactions!$O:$O,$A27,Transactions!$B:$B,"Buy shares")))</f>
        <v/>
      </c>
      <c r="D27" s="18" t="str">
        <f aca="false">IF($A27="","",SUMIFS(Transactions!$E:$E,Transactions!$O:$O,$A27,Transactions!$B:$B,"Buy shares"))</f>
        <v/>
      </c>
      <c r="E27" s="26" t="str">
        <f aca="false">IF($A27="","",IF(D27=0,"",-SUMIFS(Transactions!$J:$J,Transactions!$O:$O,$A27,Transactions!$B:$B,"Buy shares")/D27))</f>
        <v/>
      </c>
      <c r="F27" s="18" t="str">
        <f aca="false">IF($A27="","",-SUMIFS(Transactions!$E:$E,Transactions!$O:$O,$A27,Transactions!$B:$B,"Sell shares"))</f>
        <v/>
      </c>
      <c r="G27" s="18" t="str">
        <f aca="false">IF($A27="","",D27-F27)</f>
        <v/>
      </c>
      <c r="H27" s="14" t="str">
        <f aca="false">IF($A27="","",SUMIFS(Transactions!$J:$J,Transactions!$O:$O,$A27,Transactions!$B:$B,"Sell call")+SUMIFS(Transactions!$J:$J,Transactions!$O:$O,$A27,Transactions!$B:$B,"Buy to close"))</f>
        <v/>
      </c>
      <c r="I27" s="26" t="str">
        <f aca="false">IF(OR($A27="",E27=""),"",E27-H27/D27)</f>
        <v/>
      </c>
      <c r="J27" s="26" t="str">
        <f aca="false">IF($A27="","",IFERROR(INDEX(Positions!$K:$K,MATCH(B27,Positions!$B:$B,0)),""))</f>
        <v/>
      </c>
      <c r="K27" s="23"/>
      <c r="L27" s="26" t="str">
        <f aca="false">IF($A27="","",IF(K27&lt;&gt;"",K27,J27))</f>
        <v/>
      </c>
      <c r="M27" s="14" t="str">
        <f aca="false">IF(OR($A27="",L27=""),"",L27*G27)</f>
        <v/>
      </c>
      <c r="N27" s="14" t="str">
        <f aca="false">IF(OR(M27="",E27=""),"",(L27-E27)*G27)</f>
        <v/>
      </c>
      <c r="O27" s="8" t="str">
        <f aca="false">IF($A27="","",IF(G27&lt;=0,"Sold",IF((-SUMIFS(Transactions!$E:$E,Transactions!$O:$O,$A27,Transactions!$B:$B,"Sell call")-SUMIFS(Transactions!$E:$E,Transactions!$O:$O,$A27,Transactions!$B:$B,"Buy to close")-SUMIFS(Transactions!$E:$E,Transactions!$O:$O,$A27,Transactions!$B:$B,"Expired")-SUMIFS(Transactions!$E:$E,Transactions!$O:$O,$A27,Transactions!$B:$B,"Assigned"))&gt;0,"Covered","Free")))</f>
        <v/>
      </c>
      <c r="P27" s="26" t="str">
        <f aca="false">IF(OR(I27="",G27&lt;=0),"",CEILING(MAX(I27,N(L27)),IF(E27&lt;50,0.5,IF(E27&lt;200,1,5))))</f>
        <v/>
      </c>
      <c r="Q27" s="8" t="str">
        <f aca="true">IF(OR(N27="",G27&lt;=0),"",IF(N27&gt;=0,"",IF(COUNTIFS($B:$B,B27,$C:$C,"&gt;="&amp;(TODAY()-30),$C:$C,"&lt;="&amp;TODAY(),$A:$A,"&lt;&gt;"&amp;$A27)&gt;0,"Loss sale now = wash sale","OK to harvest loss")))</f>
        <v/>
      </c>
      <c r="R27" s="14" t="str">
        <f aca="false">IF(OR($A27="",N(F27)&lt;=0),"",SUMIFS(Transactions!$J:$J,Transactions!$O:$O,$A27,Transactions!$B:$B,"Sell shares")-E27*F27)</f>
        <v/>
      </c>
      <c r="S27" s="10" t="str">
        <f aca="false">IF(OR($A27="",N(F27)&lt;=0),"",_xlfn.MAXIFS(Transactions!$A:$A,Transactions!$O:$O,$A27,Transactions!$B:$B,"Sell shares"))</f>
        <v/>
      </c>
      <c r="T27" s="14" t="str">
        <f aca="false">IF(OR($A27="",E27=""),"",E27*G27)</f>
        <v/>
      </c>
    </row>
    <row r="28" customFormat="false" ht="15" hidden="false" customHeight="false" outlineLevel="0" collapsed="false">
      <c r="A28" s="21"/>
      <c r="B28" s="8" t="str">
        <f aca="false">IF($A28="","",IFERROR(INDEX(Transactions!$C:$C,MATCH($A28,Transactions!$O:$O,0)),""))</f>
        <v/>
      </c>
      <c r="C28" s="10" t="str">
        <f aca="false">IF($A28="","",IF(COUNTIFS(Transactions!$O:$O,$A28,Transactions!$B:$B,"Buy shares")=0,"",_xlfn.MINIFS(Transactions!$A:$A,Transactions!$O:$O,$A28,Transactions!$B:$B,"Buy shares")))</f>
        <v/>
      </c>
      <c r="D28" s="18" t="str">
        <f aca="false">IF($A28="","",SUMIFS(Transactions!$E:$E,Transactions!$O:$O,$A28,Transactions!$B:$B,"Buy shares"))</f>
        <v/>
      </c>
      <c r="E28" s="26" t="str">
        <f aca="false">IF($A28="","",IF(D28=0,"",-SUMIFS(Transactions!$J:$J,Transactions!$O:$O,$A28,Transactions!$B:$B,"Buy shares")/D28))</f>
        <v/>
      </c>
      <c r="F28" s="18" t="str">
        <f aca="false">IF($A28="","",-SUMIFS(Transactions!$E:$E,Transactions!$O:$O,$A28,Transactions!$B:$B,"Sell shares"))</f>
        <v/>
      </c>
      <c r="G28" s="18" t="str">
        <f aca="false">IF($A28="","",D28-F28)</f>
        <v/>
      </c>
      <c r="H28" s="14" t="str">
        <f aca="false">IF($A28="","",SUMIFS(Transactions!$J:$J,Transactions!$O:$O,$A28,Transactions!$B:$B,"Sell call")+SUMIFS(Transactions!$J:$J,Transactions!$O:$O,$A28,Transactions!$B:$B,"Buy to close"))</f>
        <v/>
      </c>
      <c r="I28" s="26" t="str">
        <f aca="false">IF(OR($A28="",E28=""),"",E28-H28/D28)</f>
        <v/>
      </c>
      <c r="J28" s="26" t="str">
        <f aca="false">IF($A28="","",IFERROR(INDEX(Positions!$K:$K,MATCH(B28,Positions!$B:$B,0)),""))</f>
        <v/>
      </c>
      <c r="K28" s="23"/>
      <c r="L28" s="26" t="str">
        <f aca="false">IF($A28="","",IF(K28&lt;&gt;"",K28,J28))</f>
        <v/>
      </c>
      <c r="M28" s="14" t="str">
        <f aca="false">IF(OR($A28="",L28=""),"",L28*G28)</f>
        <v/>
      </c>
      <c r="N28" s="14" t="str">
        <f aca="false">IF(OR(M28="",E28=""),"",(L28-E28)*G28)</f>
        <v/>
      </c>
      <c r="O28" s="8" t="str">
        <f aca="false">IF($A28="","",IF(G28&lt;=0,"Sold",IF((-SUMIFS(Transactions!$E:$E,Transactions!$O:$O,$A28,Transactions!$B:$B,"Sell call")-SUMIFS(Transactions!$E:$E,Transactions!$O:$O,$A28,Transactions!$B:$B,"Buy to close")-SUMIFS(Transactions!$E:$E,Transactions!$O:$O,$A28,Transactions!$B:$B,"Expired")-SUMIFS(Transactions!$E:$E,Transactions!$O:$O,$A28,Transactions!$B:$B,"Assigned"))&gt;0,"Covered","Free")))</f>
        <v/>
      </c>
      <c r="P28" s="26" t="str">
        <f aca="false">IF(OR(I28="",G28&lt;=0),"",CEILING(MAX(I28,N(L28)),IF(E28&lt;50,0.5,IF(E28&lt;200,1,5))))</f>
        <v/>
      </c>
      <c r="Q28" s="8" t="str">
        <f aca="true">IF(OR(N28="",G28&lt;=0),"",IF(N28&gt;=0,"",IF(COUNTIFS($B:$B,B28,$C:$C,"&gt;="&amp;(TODAY()-30),$C:$C,"&lt;="&amp;TODAY(),$A:$A,"&lt;&gt;"&amp;$A28)&gt;0,"Loss sale now = wash sale","OK to harvest loss")))</f>
        <v/>
      </c>
      <c r="R28" s="14" t="str">
        <f aca="false">IF(OR($A28="",N(F28)&lt;=0),"",SUMIFS(Transactions!$J:$J,Transactions!$O:$O,$A28,Transactions!$B:$B,"Sell shares")-E28*F28)</f>
        <v/>
      </c>
      <c r="S28" s="10" t="str">
        <f aca="false">IF(OR($A28="",N(F28)&lt;=0),"",_xlfn.MAXIFS(Transactions!$A:$A,Transactions!$O:$O,$A28,Transactions!$B:$B,"Sell shares"))</f>
        <v/>
      </c>
      <c r="T28" s="14" t="str">
        <f aca="false">IF(OR($A28="",E28=""),"",E28*G28)</f>
        <v/>
      </c>
    </row>
    <row r="29" customFormat="false" ht="15" hidden="false" customHeight="false" outlineLevel="0" collapsed="false">
      <c r="A29" s="21"/>
      <c r="B29" s="8" t="str">
        <f aca="false">IF($A29="","",IFERROR(INDEX(Transactions!$C:$C,MATCH($A29,Transactions!$O:$O,0)),""))</f>
        <v/>
      </c>
      <c r="C29" s="10" t="str">
        <f aca="false">IF($A29="","",IF(COUNTIFS(Transactions!$O:$O,$A29,Transactions!$B:$B,"Buy shares")=0,"",_xlfn.MINIFS(Transactions!$A:$A,Transactions!$O:$O,$A29,Transactions!$B:$B,"Buy shares")))</f>
        <v/>
      </c>
      <c r="D29" s="18" t="str">
        <f aca="false">IF($A29="","",SUMIFS(Transactions!$E:$E,Transactions!$O:$O,$A29,Transactions!$B:$B,"Buy shares"))</f>
        <v/>
      </c>
      <c r="E29" s="26" t="str">
        <f aca="false">IF($A29="","",IF(D29=0,"",-SUMIFS(Transactions!$J:$J,Transactions!$O:$O,$A29,Transactions!$B:$B,"Buy shares")/D29))</f>
        <v/>
      </c>
      <c r="F29" s="18" t="str">
        <f aca="false">IF($A29="","",-SUMIFS(Transactions!$E:$E,Transactions!$O:$O,$A29,Transactions!$B:$B,"Sell shares"))</f>
        <v/>
      </c>
      <c r="G29" s="18" t="str">
        <f aca="false">IF($A29="","",D29-F29)</f>
        <v/>
      </c>
      <c r="H29" s="14" t="str">
        <f aca="false">IF($A29="","",SUMIFS(Transactions!$J:$J,Transactions!$O:$O,$A29,Transactions!$B:$B,"Sell call")+SUMIFS(Transactions!$J:$J,Transactions!$O:$O,$A29,Transactions!$B:$B,"Buy to close"))</f>
        <v/>
      </c>
      <c r="I29" s="26" t="str">
        <f aca="false">IF(OR($A29="",E29=""),"",E29-H29/D29)</f>
        <v/>
      </c>
      <c r="J29" s="26" t="str">
        <f aca="false">IF($A29="","",IFERROR(INDEX(Positions!$K:$K,MATCH(B29,Positions!$B:$B,0)),""))</f>
        <v/>
      </c>
      <c r="K29" s="23"/>
      <c r="L29" s="26" t="str">
        <f aca="false">IF($A29="","",IF(K29&lt;&gt;"",K29,J29))</f>
        <v/>
      </c>
      <c r="M29" s="14" t="str">
        <f aca="false">IF(OR($A29="",L29=""),"",L29*G29)</f>
        <v/>
      </c>
      <c r="N29" s="14" t="str">
        <f aca="false">IF(OR(M29="",E29=""),"",(L29-E29)*G29)</f>
        <v/>
      </c>
      <c r="O29" s="8" t="str">
        <f aca="false">IF($A29="","",IF(G29&lt;=0,"Sold",IF((-SUMIFS(Transactions!$E:$E,Transactions!$O:$O,$A29,Transactions!$B:$B,"Sell call")-SUMIFS(Transactions!$E:$E,Transactions!$O:$O,$A29,Transactions!$B:$B,"Buy to close")-SUMIFS(Transactions!$E:$E,Transactions!$O:$O,$A29,Transactions!$B:$B,"Expired")-SUMIFS(Transactions!$E:$E,Transactions!$O:$O,$A29,Transactions!$B:$B,"Assigned"))&gt;0,"Covered","Free")))</f>
        <v/>
      </c>
      <c r="P29" s="26" t="str">
        <f aca="false">IF(OR(I29="",G29&lt;=0),"",CEILING(MAX(I29,N(L29)),IF(E29&lt;50,0.5,IF(E29&lt;200,1,5))))</f>
        <v/>
      </c>
      <c r="Q29" s="8" t="str">
        <f aca="true">IF(OR(N29="",G29&lt;=0),"",IF(N29&gt;=0,"",IF(COUNTIFS($B:$B,B29,$C:$C,"&gt;="&amp;(TODAY()-30),$C:$C,"&lt;="&amp;TODAY(),$A:$A,"&lt;&gt;"&amp;$A29)&gt;0,"Loss sale now = wash sale","OK to harvest loss")))</f>
        <v/>
      </c>
      <c r="R29" s="14" t="str">
        <f aca="false">IF(OR($A29="",N(F29)&lt;=0),"",SUMIFS(Transactions!$J:$J,Transactions!$O:$O,$A29,Transactions!$B:$B,"Sell shares")-E29*F29)</f>
        <v/>
      </c>
      <c r="S29" s="10" t="str">
        <f aca="false">IF(OR($A29="",N(F29)&lt;=0),"",_xlfn.MAXIFS(Transactions!$A:$A,Transactions!$O:$O,$A29,Transactions!$B:$B,"Sell shares"))</f>
        <v/>
      </c>
      <c r="T29" s="14" t="str">
        <f aca="false">IF(OR($A29="",E29=""),"",E29*G29)</f>
        <v/>
      </c>
    </row>
    <row r="30" customFormat="false" ht="15" hidden="false" customHeight="false" outlineLevel="0" collapsed="false">
      <c r="A30" s="21"/>
      <c r="B30" s="8" t="str">
        <f aca="false">IF($A30="","",IFERROR(INDEX(Transactions!$C:$C,MATCH($A30,Transactions!$O:$O,0)),""))</f>
        <v/>
      </c>
      <c r="C30" s="10" t="str">
        <f aca="false">IF($A30="","",IF(COUNTIFS(Transactions!$O:$O,$A30,Transactions!$B:$B,"Buy shares")=0,"",_xlfn.MINIFS(Transactions!$A:$A,Transactions!$O:$O,$A30,Transactions!$B:$B,"Buy shares")))</f>
        <v/>
      </c>
      <c r="D30" s="18" t="str">
        <f aca="false">IF($A30="","",SUMIFS(Transactions!$E:$E,Transactions!$O:$O,$A30,Transactions!$B:$B,"Buy shares"))</f>
        <v/>
      </c>
      <c r="E30" s="26" t="str">
        <f aca="false">IF($A30="","",IF(D30=0,"",-SUMIFS(Transactions!$J:$J,Transactions!$O:$O,$A30,Transactions!$B:$B,"Buy shares")/D30))</f>
        <v/>
      </c>
      <c r="F30" s="18" t="str">
        <f aca="false">IF($A30="","",-SUMIFS(Transactions!$E:$E,Transactions!$O:$O,$A30,Transactions!$B:$B,"Sell shares"))</f>
        <v/>
      </c>
      <c r="G30" s="18" t="str">
        <f aca="false">IF($A30="","",D30-F30)</f>
        <v/>
      </c>
      <c r="H30" s="14" t="str">
        <f aca="false">IF($A30="","",SUMIFS(Transactions!$J:$J,Transactions!$O:$O,$A30,Transactions!$B:$B,"Sell call")+SUMIFS(Transactions!$J:$J,Transactions!$O:$O,$A30,Transactions!$B:$B,"Buy to close"))</f>
        <v/>
      </c>
      <c r="I30" s="26" t="str">
        <f aca="false">IF(OR($A30="",E30=""),"",E30-H30/D30)</f>
        <v/>
      </c>
      <c r="J30" s="26" t="str">
        <f aca="false">IF($A30="","",IFERROR(INDEX(Positions!$K:$K,MATCH(B30,Positions!$B:$B,0)),""))</f>
        <v/>
      </c>
      <c r="K30" s="23"/>
      <c r="L30" s="26" t="str">
        <f aca="false">IF($A30="","",IF(K30&lt;&gt;"",K30,J30))</f>
        <v/>
      </c>
      <c r="M30" s="14" t="str">
        <f aca="false">IF(OR($A30="",L30=""),"",L30*G30)</f>
        <v/>
      </c>
      <c r="N30" s="14" t="str">
        <f aca="false">IF(OR(M30="",E30=""),"",(L30-E30)*G30)</f>
        <v/>
      </c>
      <c r="O30" s="8" t="str">
        <f aca="false">IF($A30="","",IF(G30&lt;=0,"Sold",IF((-SUMIFS(Transactions!$E:$E,Transactions!$O:$O,$A30,Transactions!$B:$B,"Sell call")-SUMIFS(Transactions!$E:$E,Transactions!$O:$O,$A30,Transactions!$B:$B,"Buy to close")-SUMIFS(Transactions!$E:$E,Transactions!$O:$O,$A30,Transactions!$B:$B,"Expired")-SUMIFS(Transactions!$E:$E,Transactions!$O:$O,$A30,Transactions!$B:$B,"Assigned"))&gt;0,"Covered","Free")))</f>
        <v/>
      </c>
      <c r="P30" s="26" t="str">
        <f aca="false">IF(OR(I30="",G30&lt;=0),"",CEILING(MAX(I30,N(L30)),IF(E30&lt;50,0.5,IF(E30&lt;200,1,5))))</f>
        <v/>
      </c>
      <c r="Q30" s="8" t="str">
        <f aca="true">IF(OR(N30="",G30&lt;=0),"",IF(N30&gt;=0,"",IF(COUNTIFS($B:$B,B30,$C:$C,"&gt;="&amp;(TODAY()-30),$C:$C,"&lt;="&amp;TODAY(),$A:$A,"&lt;&gt;"&amp;$A30)&gt;0,"Loss sale now = wash sale","OK to harvest loss")))</f>
        <v/>
      </c>
      <c r="R30" s="14" t="str">
        <f aca="false">IF(OR($A30="",N(F30)&lt;=0),"",SUMIFS(Transactions!$J:$J,Transactions!$O:$O,$A30,Transactions!$B:$B,"Sell shares")-E30*F30)</f>
        <v/>
      </c>
      <c r="S30" s="10" t="str">
        <f aca="false">IF(OR($A30="",N(F30)&lt;=0),"",_xlfn.MAXIFS(Transactions!$A:$A,Transactions!$O:$O,$A30,Transactions!$B:$B,"Sell shares"))</f>
        <v/>
      </c>
      <c r="T30" s="14" t="str">
        <f aca="false">IF(OR($A30="",E30=""),"",E30*G30)</f>
        <v/>
      </c>
    </row>
    <row r="31" customFormat="false" ht="15" hidden="false" customHeight="false" outlineLevel="0" collapsed="false">
      <c r="A31" s="21"/>
      <c r="B31" s="8" t="str">
        <f aca="false">IF($A31="","",IFERROR(INDEX(Transactions!$C:$C,MATCH($A31,Transactions!$O:$O,0)),""))</f>
        <v/>
      </c>
      <c r="C31" s="10" t="str">
        <f aca="false">IF($A31="","",IF(COUNTIFS(Transactions!$O:$O,$A31,Transactions!$B:$B,"Buy shares")=0,"",_xlfn.MINIFS(Transactions!$A:$A,Transactions!$O:$O,$A31,Transactions!$B:$B,"Buy shares")))</f>
        <v/>
      </c>
      <c r="D31" s="18" t="str">
        <f aca="false">IF($A31="","",SUMIFS(Transactions!$E:$E,Transactions!$O:$O,$A31,Transactions!$B:$B,"Buy shares"))</f>
        <v/>
      </c>
      <c r="E31" s="26" t="str">
        <f aca="false">IF($A31="","",IF(D31=0,"",-SUMIFS(Transactions!$J:$J,Transactions!$O:$O,$A31,Transactions!$B:$B,"Buy shares")/D31))</f>
        <v/>
      </c>
      <c r="F31" s="18" t="str">
        <f aca="false">IF($A31="","",-SUMIFS(Transactions!$E:$E,Transactions!$O:$O,$A31,Transactions!$B:$B,"Sell shares"))</f>
        <v/>
      </c>
      <c r="G31" s="18" t="str">
        <f aca="false">IF($A31="","",D31-F31)</f>
        <v/>
      </c>
      <c r="H31" s="14" t="str">
        <f aca="false">IF($A31="","",SUMIFS(Transactions!$J:$J,Transactions!$O:$O,$A31,Transactions!$B:$B,"Sell call")+SUMIFS(Transactions!$J:$J,Transactions!$O:$O,$A31,Transactions!$B:$B,"Buy to close"))</f>
        <v/>
      </c>
      <c r="I31" s="26" t="str">
        <f aca="false">IF(OR($A31="",E31=""),"",E31-H31/D31)</f>
        <v/>
      </c>
      <c r="J31" s="26" t="str">
        <f aca="false">IF($A31="","",IFERROR(INDEX(Positions!$K:$K,MATCH(B31,Positions!$B:$B,0)),""))</f>
        <v/>
      </c>
      <c r="K31" s="23"/>
      <c r="L31" s="26" t="str">
        <f aca="false">IF($A31="","",IF(K31&lt;&gt;"",K31,J31))</f>
        <v/>
      </c>
      <c r="M31" s="14" t="str">
        <f aca="false">IF(OR($A31="",L31=""),"",L31*G31)</f>
        <v/>
      </c>
      <c r="N31" s="14" t="str">
        <f aca="false">IF(OR(M31="",E31=""),"",(L31-E31)*G31)</f>
        <v/>
      </c>
      <c r="O31" s="8" t="str">
        <f aca="false">IF($A31="","",IF(G31&lt;=0,"Sold",IF((-SUMIFS(Transactions!$E:$E,Transactions!$O:$O,$A31,Transactions!$B:$B,"Sell call")-SUMIFS(Transactions!$E:$E,Transactions!$O:$O,$A31,Transactions!$B:$B,"Buy to close")-SUMIFS(Transactions!$E:$E,Transactions!$O:$O,$A31,Transactions!$B:$B,"Expired")-SUMIFS(Transactions!$E:$E,Transactions!$O:$O,$A31,Transactions!$B:$B,"Assigned"))&gt;0,"Covered","Free")))</f>
        <v/>
      </c>
      <c r="P31" s="26" t="str">
        <f aca="false">IF(OR(I31="",G31&lt;=0),"",CEILING(MAX(I31,N(L31)),IF(E31&lt;50,0.5,IF(E31&lt;200,1,5))))</f>
        <v/>
      </c>
      <c r="Q31" s="8" t="str">
        <f aca="true">IF(OR(N31="",G31&lt;=0),"",IF(N31&gt;=0,"",IF(COUNTIFS($B:$B,B31,$C:$C,"&gt;="&amp;(TODAY()-30),$C:$C,"&lt;="&amp;TODAY(),$A:$A,"&lt;&gt;"&amp;$A31)&gt;0,"Loss sale now = wash sale","OK to harvest loss")))</f>
        <v/>
      </c>
      <c r="R31" s="14" t="str">
        <f aca="false">IF(OR($A31="",N(F31)&lt;=0),"",SUMIFS(Transactions!$J:$J,Transactions!$O:$O,$A31,Transactions!$B:$B,"Sell shares")-E31*F31)</f>
        <v/>
      </c>
      <c r="S31" s="10" t="str">
        <f aca="false">IF(OR($A31="",N(F31)&lt;=0),"",_xlfn.MAXIFS(Transactions!$A:$A,Transactions!$O:$O,$A31,Transactions!$B:$B,"Sell shares"))</f>
        <v/>
      </c>
      <c r="T31" s="14" t="str">
        <f aca="false">IF(OR($A31="",E31=""),"",E31*G31)</f>
        <v/>
      </c>
    </row>
    <row r="32" customFormat="false" ht="15" hidden="false" customHeight="false" outlineLevel="0" collapsed="false">
      <c r="A32" s="21"/>
      <c r="B32" s="8" t="str">
        <f aca="false">IF($A32="","",IFERROR(INDEX(Transactions!$C:$C,MATCH($A32,Transactions!$O:$O,0)),""))</f>
        <v/>
      </c>
      <c r="C32" s="10" t="str">
        <f aca="false">IF($A32="","",IF(COUNTIFS(Transactions!$O:$O,$A32,Transactions!$B:$B,"Buy shares")=0,"",_xlfn.MINIFS(Transactions!$A:$A,Transactions!$O:$O,$A32,Transactions!$B:$B,"Buy shares")))</f>
        <v/>
      </c>
      <c r="D32" s="18" t="str">
        <f aca="false">IF($A32="","",SUMIFS(Transactions!$E:$E,Transactions!$O:$O,$A32,Transactions!$B:$B,"Buy shares"))</f>
        <v/>
      </c>
      <c r="E32" s="26" t="str">
        <f aca="false">IF($A32="","",IF(D32=0,"",-SUMIFS(Transactions!$J:$J,Transactions!$O:$O,$A32,Transactions!$B:$B,"Buy shares")/D32))</f>
        <v/>
      </c>
      <c r="F32" s="18" t="str">
        <f aca="false">IF($A32="","",-SUMIFS(Transactions!$E:$E,Transactions!$O:$O,$A32,Transactions!$B:$B,"Sell shares"))</f>
        <v/>
      </c>
      <c r="G32" s="18" t="str">
        <f aca="false">IF($A32="","",D32-F32)</f>
        <v/>
      </c>
      <c r="H32" s="14" t="str">
        <f aca="false">IF($A32="","",SUMIFS(Transactions!$J:$J,Transactions!$O:$O,$A32,Transactions!$B:$B,"Sell call")+SUMIFS(Transactions!$J:$J,Transactions!$O:$O,$A32,Transactions!$B:$B,"Buy to close"))</f>
        <v/>
      </c>
      <c r="I32" s="26" t="str">
        <f aca="false">IF(OR($A32="",E32=""),"",E32-H32/D32)</f>
        <v/>
      </c>
      <c r="J32" s="26" t="str">
        <f aca="false">IF($A32="","",IFERROR(INDEX(Positions!$K:$K,MATCH(B32,Positions!$B:$B,0)),""))</f>
        <v/>
      </c>
      <c r="K32" s="23"/>
      <c r="L32" s="26" t="str">
        <f aca="false">IF($A32="","",IF(K32&lt;&gt;"",K32,J32))</f>
        <v/>
      </c>
      <c r="M32" s="14" t="str">
        <f aca="false">IF(OR($A32="",L32=""),"",L32*G32)</f>
        <v/>
      </c>
      <c r="N32" s="14" t="str">
        <f aca="false">IF(OR(M32="",E32=""),"",(L32-E32)*G32)</f>
        <v/>
      </c>
      <c r="O32" s="8" t="str">
        <f aca="false">IF($A32="","",IF(G32&lt;=0,"Sold",IF((-SUMIFS(Transactions!$E:$E,Transactions!$O:$O,$A32,Transactions!$B:$B,"Sell call")-SUMIFS(Transactions!$E:$E,Transactions!$O:$O,$A32,Transactions!$B:$B,"Buy to close")-SUMIFS(Transactions!$E:$E,Transactions!$O:$O,$A32,Transactions!$B:$B,"Expired")-SUMIFS(Transactions!$E:$E,Transactions!$O:$O,$A32,Transactions!$B:$B,"Assigned"))&gt;0,"Covered","Free")))</f>
        <v/>
      </c>
      <c r="P32" s="26" t="str">
        <f aca="false">IF(OR(I32="",G32&lt;=0),"",CEILING(MAX(I32,N(L32)),IF(E32&lt;50,0.5,IF(E32&lt;200,1,5))))</f>
        <v/>
      </c>
      <c r="Q32" s="8" t="str">
        <f aca="true">IF(OR(N32="",G32&lt;=0),"",IF(N32&gt;=0,"",IF(COUNTIFS($B:$B,B32,$C:$C,"&gt;="&amp;(TODAY()-30),$C:$C,"&lt;="&amp;TODAY(),$A:$A,"&lt;&gt;"&amp;$A32)&gt;0,"Loss sale now = wash sale","OK to harvest loss")))</f>
        <v/>
      </c>
      <c r="R32" s="14" t="str">
        <f aca="false">IF(OR($A32="",N(F32)&lt;=0),"",SUMIFS(Transactions!$J:$J,Transactions!$O:$O,$A32,Transactions!$B:$B,"Sell shares")-E32*F32)</f>
        <v/>
      </c>
      <c r="S32" s="10" t="str">
        <f aca="false">IF(OR($A32="",N(F32)&lt;=0),"",_xlfn.MAXIFS(Transactions!$A:$A,Transactions!$O:$O,$A32,Transactions!$B:$B,"Sell shares"))</f>
        <v/>
      </c>
      <c r="T32" s="14" t="str">
        <f aca="false">IF(OR($A32="",E32=""),"",E32*G32)</f>
        <v/>
      </c>
    </row>
    <row r="33" customFormat="false" ht="15" hidden="false" customHeight="false" outlineLevel="0" collapsed="false">
      <c r="A33" s="21"/>
      <c r="B33" s="8" t="str">
        <f aca="false">IF($A33="","",IFERROR(INDEX(Transactions!$C:$C,MATCH($A33,Transactions!$O:$O,0)),""))</f>
        <v/>
      </c>
      <c r="C33" s="10" t="str">
        <f aca="false">IF($A33="","",IF(COUNTIFS(Transactions!$O:$O,$A33,Transactions!$B:$B,"Buy shares")=0,"",_xlfn.MINIFS(Transactions!$A:$A,Transactions!$O:$O,$A33,Transactions!$B:$B,"Buy shares")))</f>
        <v/>
      </c>
      <c r="D33" s="18" t="str">
        <f aca="false">IF($A33="","",SUMIFS(Transactions!$E:$E,Transactions!$O:$O,$A33,Transactions!$B:$B,"Buy shares"))</f>
        <v/>
      </c>
      <c r="E33" s="26" t="str">
        <f aca="false">IF($A33="","",IF(D33=0,"",-SUMIFS(Transactions!$J:$J,Transactions!$O:$O,$A33,Transactions!$B:$B,"Buy shares")/D33))</f>
        <v/>
      </c>
      <c r="F33" s="18" t="str">
        <f aca="false">IF($A33="","",-SUMIFS(Transactions!$E:$E,Transactions!$O:$O,$A33,Transactions!$B:$B,"Sell shares"))</f>
        <v/>
      </c>
      <c r="G33" s="18" t="str">
        <f aca="false">IF($A33="","",D33-F33)</f>
        <v/>
      </c>
      <c r="H33" s="14" t="str">
        <f aca="false">IF($A33="","",SUMIFS(Transactions!$J:$J,Transactions!$O:$O,$A33,Transactions!$B:$B,"Sell call")+SUMIFS(Transactions!$J:$J,Transactions!$O:$O,$A33,Transactions!$B:$B,"Buy to close"))</f>
        <v/>
      </c>
      <c r="I33" s="26" t="str">
        <f aca="false">IF(OR($A33="",E33=""),"",E33-H33/D33)</f>
        <v/>
      </c>
      <c r="J33" s="26" t="str">
        <f aca="false">IF($A33="","",IFERROR(INDEX(Positions!$K:$K,MATCH(B33,Positions!$B:$B,0)),""))</f>
        <v/>
      </c>
      <c r="K33" s="23"/>
      <c r="L33" s="26" t="str">
        <f aca="false">IF($A33="","",IF(K33&lt;&gt;"",K33,J33))</f>
        <v/>
      </c>
      <c r="M33" s="14" t="str">
        <f aca="false">IF(OR($A33="",L33=""),"",L33*G33)</f>
        <v/>
      </c>
      <c r="N33" s="14" t="str">
        <f aca="false">IF(OR(M33="",E33=""),"",(L33-E33)*G33)</f>
        <v/>
      </c>
      <c r="O33" s="8" t="str">
        <f aca="false">IF($A33="","",IF(G33&lt;=0,"Sold",IF((-SUMIFS(Transactions!$E:$E,Transactions!$O:$O,$A33,Transactions!$B:$B,"Sell call")-SUMIFS(Transactions!$E:$E,Transactions!$O:$O,$A33,Transactions!$B:$B,"Buy to close")-SUMIFS(Transactions!$E:$E,Transactions!$O:$O,$A33,Transactions!$B:$B,"Expired")-SUMIFS(Transactions!$E:$E,Transactions!$O:$O,$A33,Transactions!$B:$B,"Assigned"))&gt;0,"Covered","Free")))</f>
        <v/>
      </c>
      <c r="P33" s="26" t="str">
        <f aca="false">IF(OR(I33="",G33&lt;=0),"",CEILING(MAX(I33,N(L33)),IF(E33&lt;50,0.5,IF(E33&lt;200,1,5))))</f>
        <v/>
      </c>
      <c r="Q33" s="8" t="str">
        <f aca="true">IF(OR(N33="",G33&lt;=0),"",IF(N33&gt;=0,"",IF(COUNTIFS($B:$B,B33,$C:$C,"&gt;="&amp;(TODAY()-30),$C:$C,"&lt;="&amp;TODAY(),$A:$A,"&lt;&gt;"&amp;$A33)&gt;0,"Loss sale now = wash sale","OK to harvest loss")))</f>
        <v/>
      </c>
      <c r="R33" s="14" t="str">
        <f aca="false">IF(OR($A33="",N(F33)&lt;=0),"",SUMIFS(Transactions!$J:$J,Transactions!$O:$O,$A33,Transactions!$B:$B,"Sell shares")-E33*F33)</f>
        <v/>
      </c>
      <c r="S33" s="10" t="str">
        <f aca="false">IF(OR($A33="",N(F33)&lt;=0),"",_xlfn.MAXIFS(Transactions!$A:$A,Transactions!$O:$O,$A33,Transactions!$B:$B,"Sell shares"))</f>
        <v/>
      </c>
      <c r="T33" s="14" t="str">
        <f aca="false">IF(OR($A33="",E33=""),"",E33*G33)</f>
        <v/>
      </c>
    </row>
    <row r="34" customFormat="false" ht="15" hidden="false" customHeight="false" outlineLevel="0" collapsed="false">
      <c r="A34" s="21"/>
      <c r="B34" s="8" t="str">
        <f aca="false">IF($A34="","",IFERROR(INDEX(Transactions!$C:$C,MATCH($A34,Transactions!$O:$O,0)),""))</f>
        <v/>
      </c>
      <c r="C34" s="10" t="str">
        <f aca="false">IF($A34="","",IF(COUNTIFS(Transactions!$O:$O,$A34,Transactions!$B:$B,"Buy shares")=0,"",_xlfn.MINIFS(Transactions!$A:$A,Transactions!$O:$O,$A34,Transactions!$B:$B,"Buy shares")))</f>
        <v/>
      </c>
      <c r="D34" s="18" t="str">
        <f aca="false">IF($A34="","",SUMIFS(Transactions!$E:$E,Transactions!$O:$O,$A34,Transactions!$B:$B,"Buy shares"))</f>
        <v/>
      </c>
      <c r="E34" s="26" t="str">
        <f aca="false">IF($A34="","",IF(D34=0,"",-SUMIFS(Transactions!$J:$J,Transactions!$O:$O,$A34,Transactions!$B:$B,"Buy shares")/D34))</f>
        <v/>
      </c>
      <c r="F34" s="18" t="str">
        <f aca="false">IF($A34="","",-SUMIFS(Transactions!$E:$E,Transactions!$O:$O,$A34,Transactions!$B:$B,"Sell shares"))</f>
        <v/>
      </c>
      <c r="G34" s="18" t="str">
        <f aca="false">IF($A34="","",D34-F34)</f>
        <v/>
      </c>
      <c r="H34" s="14" t="str">
        <f aca="false">IF($A34="","",SUMIFS(Transactions!$J:$J,Transactions!$O:$O,$A34,Transactions!$B:$B,"Sell call")+SUMIFS(Transactions!$J:$J,Transactions!$O:$O,$A34,Transactions!$B:$B,"Buy to close"))</f>
        <v/>
      </c>
      <c r="I34" s="26" t="str">
        <f aca="false">IF(OR($A34="",E34=""),"",E34-H34/D34)</f>
        <v/>
      </c>
      <c r="J34" s="26" t="str">
        <f aca="false">IF($A34="","",IFERROR(INDEX(Positions!$K:$K,MATCH(B34,Positions!$B:$B,0)),""))</f>
        <v/>
      </c>
      <c r="K34" s="23"/>
      <c r="L34" s="26" t="str">
        <f aca="false">IF($A34="","",IF(K34&lt;&gt;"",K34,J34))</f>
        <v/>
      </c>
      <c r="M34" s="14" t="str">
        <f aca="false">IF(OR($A34="",L34=""),"",L34*G34)</f>
        <v/>
      </c>
      <c r="N34" s="14" t="str">
        <f aca="false">IF(OR(M34="",E34=""),"",(L34-E34)*G34)</f>
        <v/>
      </c>
      <c r="O34" s="8" t="str">
        <f aca="false">IF($A34="","",IF(G34&lt;=0,"Sold",IF((-SUMIFS(Transactions!$E:$E,Transactions!$O:$O,$A34,Transactions!$B:$B,"Sell call")-SUMIFS(Transactions!$E:$E,Transactions!$O:$O,$A34,Transactions!$B:$B,"Buy to close")-SUMIFS(Transactions!$E:$E,Transactions!$O:$O,$A34,Transactions!$B:$B,"Expired")-SUMIFS(Transactions!$E:$E,Transactions!$O:$O,$A34,Transactions!$B:$B,"Assigned"))&gt;0,"Covered","Free")))</f>
        <v/>
      </c>
      <c r="P34" s="26" t="str">
        <f aca="false">IF(OR(I34="",G34&lt;=0),"",CEILING(MAX(I34,N(L34)),IF(E34&lt;50,0.5,IF(E34&lt;200,1,5))))</f>
        <v/>
      </c>
      <c r="Q34" s="8" t="str">
        <f aca="true">IF(OR(N34="",G34&lt;=0),"",IF(N34&gt;=0,"",IF(COUNTIFS($B:$B,B34,$C:$C,"&gt;="&amp;(TODAY()-30),$C:$C,"&lt;="&amp;TODAY(),$A:$A,"&lt;&gt;"&amp;$A34)&gt;0,"Loss sale now = wash sale","OK to harvest loss")))</f>
        <v/>
      </c>
      <c r="R34" s="14" t="str">
        <f aca="false">IF(OR($A34="",N(F34)&lt;=0),"",SUMIFS(Transactions!$J:$J,Transactions!$O:$O,$A34,Transactions!$B:$B,"Sell shares")-E34*F34)</f>
        <v/>
      </c>
      <c r="S34" s="10" t="str">
        <f aca="false">IF(OR($A34="",N(F34)&lt;=0),"",_xlfn.MAXIFS(Transactions!$A:$A,Transactions!$O:$O,$A34,Transactions!$B:$B,"Sell shares"))</f>
        <v/>
      </c>
      <c r="T34" s="14" t="str">
        <f aca="false">IF(OR($A34="",E34=""),"",E34*G34)</f>
        <v/>
      </c>
    </row>
    <row r="35" customFormat="false" ht="15" hidden="false" customHeight="false" outlineLevel="0" collapsed="false">
      <c r="A35" s="21"/>
      <c r="B35" s="8" t="str">
        <f aca="false">IF($A35="","",IFERROR(INDEX(Transactions!$C:$C,MATCH($A35,Transactions!$O:$O,0)),""))</f>
        <v/>
      </c>
      <c r="C35" s="10" t="str">
        <f aca="false">IF($A35="","",IF(COUNTIFS(Transactions!$O:$O,$A35,Transactions!$B:$B,"Buy shares")=0,"",_xlfn.MINIFS(Transactions!$A:$A,Transactions!$O:$O,$A35,Transactions!$B:$B,"Buy shares")))</f>
        <v/>
      </c>
      <c r="D35" s="18" t="str">
        <f aca="false">IF($A35="","",SUMIFS(Transactions!$E:$E,Transactions!$O:$O,$A35,Transactions!$B:$B,"Buy shares"))</f>
        <v/>
      </c>
      <c r="E35" s="26" t="str">
        <f aca="false">IF($A35="","",IF(D35=0,"",-SUMIFS(Transactions!$J:$J,Transactions!$O:$O,$A35,Transactions!$B:$B,"Buy shares")/D35))</f>
        <v/>
      </c>
      <c r="F35" s="18" t="str">
        <f aca="false">IF($A35="","",-SUMIFS(Transactions!$E:$E,Transactions!$O:$O,$A35,Transactions!$B:$B,"Sell shares"))</f>
        <v/>
      </c>
      <c r="G35" s="18" t="str">
        <f aca="false">IF($A35="","",D35-F35)</f>
        <v/>
      </c>
      <c r="H35" s="14" t="str">
        <f aca="false">IF($A35="","",SUMIFS(Transactions!$J:$J,Transactions!$O:$O,$A35,Transactions!$B:$B,"Sell call")+SUMIFS(Transactions!$J:$J,Transactions!$O:$O,$A35,Transactions!$B:$B,"Buy to close"))</f>
        <v/>
      </c>
      <c r="I35" s="26" t="str">
        <f aca="false">IF(OR($A35="",E35=""),"",E35-H35/D35)</f>
        <v/>
      </c>
      <c r="J35" s="26" t="str">
        <f aca="false">IF($A35="","",IFERROR(INDEX(Positions!$K:$K,MATCH(B35,Positions!$B:$B,0)),""))</f>
        <v/>
      </c>
      <c r="K35" s="23"/>
      <c r="L35" s="26" t="str">
        <f aca="false">IF($A35="","",IF(K35&lt;&gt;"",K35,J35))</f>
        <v/>
      </c>
      <c r="M35" s="14" t="str">
        <f aca="false">IF(OR($A35="",L35=""),"",L35*G35)</f>
        <v/>
      </c>
      <c r="N35" s="14" t="str">
        <f aca="false">IF(OR(M35="",E35=""),"",(L35-E35)*G35)</f>
        <v/>
      </c>
      <c r="O35" s="8" t="str">
        <f aca="false">IF($A35="","",IF(G35&lt;=0,"Sold",IF((-SUMIFS(Transactions!$E:$E,Transactions!$O:$O,$A35,Transactions!$B:$B,"Sell call")-SUMIFS(Transactions!$E:$E,Transactions!$O:$O,$A35,Transactions!$B:$B,"Buy to close")-SUMIFS(Transactions!$E:$E,Transactions!$O:$O,$A35,Transactions!$B:$B,"Expired")-SUMIFS(Transactions!$E:$E,Transactions!$O:$O,$A35,Transactions!$B:$B,"Assigned"))&gt;0,"Covered","Free")))</f>
        <v/>
      </c>
      <c r="P35" s="26" t="str">
        <f aca="false">IF(OR(I35="",G35&lt;=0),"",CEILING(MAX(I35,N(L35)),IF(E35&lt;50,0.5,IF(E35&lt;200,1,5))))</f>
        <v/>
      </c>
      <c r="Q35" s="8" t="str">
        <f aca="true">IF(OR(N35="",G35&lt;=0),"",IF(N35&gt;=0,"",IF(COUNTIFS($B:$B,B35,$C:$C,"&gt;="&amp;(TODAY()-30),$C:$C,"&lt;="&amp;TODAY(),$A:$A,"&lt;&gt;"&amp;$A35)&gt;0,"Loss sale now = wash sale","OK to harvest loss")))</f>
        <v/>
      </c>
      <c r="R35" s="14" t="str">
        <f aca="false">IF(OR($A35="",N(F35)&lt;=0),"",SUMIFS(Transactions!$J:$J,Transactions!$O:$O,$A35,Transactions!$B:$B,"Sell shares")-E35*F35)</f>
        <v/>
      </c>
      <c r="S35" s="10" t="str">
        <f aca="false">IF(OR($A35="",N(F35)&lt;=0),"",_xlfn.MAXIFS(Transactions!$A:$A,Transactions!$O:$O,$A35,Transactions!$B:$B,"Sell shares"))</f>
        <v/>
      </c>
      <c r="T35" s="14" t="str">
        <f aca="false">IF(OR($A35="",E35=""),"",E35*G35)</f>
        <v/>
      </c>
    </row>
    <row r="36" customFormat="false" ht="15" hidden="false" customHeight="false" outlineLevel="0" collapsed="false">
      <c r="A36" s="21"/>
      <c r="B36" s="8" t="str">
        <f aca="false">IF($A36="","",IFERROR(INDEX(Transactions!$C:$C,MATCH($A36,Transactions!$O:$O,0)),""))</f>
        <v/>
      </c>
      <c r="C36" s="10" t="str">
        <f aca="false">IF($A36="","",IF(COUNTIFS(Transactions!$O:$O,$A36,Transactions!$B:$B,"Buy shares")=0,"",_xlfn.MINIFS(Transactions!$A:$A,Transactions!$O:$O,$A36,Transactions!$B:$B,"Buy shares")))</f>
        <v/>
      </c>
      <c r="D36" s="18" t="str">
        <f aca="false">IF($A36="","",SUMIFS(Transactions!$E:$E,Transactions!$O:$O,$A36,Transactions!$B:$B,"Buy shares"))</f>
        <v/>
      </c>
      <c r="E36" s="26" t="str">
        <f aca="false">IF($A36="","",IF(D36=0,"",-SUMIFS(Transactions!$J:$J,Transactions!$O:$O,$A36,Transactions!$B:$B,"Buy shares")/D36))</f>
        <v/>
      </c>
      <c r="F36" s="18" t="str">
        <f aca="false">IF($A36="","",-SUMIFS(Transactions!$E:$E,Transactions!$O:$O,$A36,Transactions!$B:$B,"Sell shares"))</f>
        <v/>
      </c>
      <c r="G36" s="18" t="str">
        <f aca="false">IF($A36="","",D36-F36)</f>
        <v/>
      </c>
      <c r="H36" s="14" t="str">
        <f aca="false">IF($A36="","",SUMIFS(Transactions!$J:$J,Transactions!$O:$O,$A36,Transactions!$B:$B,"Sell call")+SUMIFS(Transactions!$J:$J,Transactions!$O:$O,$A36,Transactions!$B:$B,"Buy to close"))</f>
        <v/>
      </c>
      <c r="I36" s="26" t="str">
        <f aca="false">IF(OR($A36="",E36=""),"",E36-H36/D36)</f>
        <v/>
      </c>
      <c r="J36" s="26" t="str">
        <f aca="false">IF($A36="","",IFERROR(INDEX(Positions!$K:$K,MATCH(B36,Positions!$B:$B,0)),""))</f>
        <v/>
      </c>
      <c r="K36" s="23"/>
      <c r="L36" s="26" t="str">
        <f aca="false">IF($A36="","",IF(K36&lt;&gt;"",K36,J36))</f>
        <v/>
      </c>
      <c r="M36" s="14" t="str">
        <f aca="false">IF(OR($A36="",L36=""),"",L36*G36)</f>
        <v/>
      </c>
      <c r="N36" s="14" t="str">
        <f aca="false">IF(OR(M36="",E36=""),"",(L36-E36)*G36)</f>
        <v/>
      </c>
      <c r="O36" s="8" t="str">
        <f aca="false">IF($A36="","",IF(G36&lt;=0,"Sold",IF((-SUMIFS(Transactions!$E:$E,Transactions!$O:$O,$A36,Transactions!$B:$B,"Sell call")-SUMIFS(Transactions!$E:$E,Transactions!$O:$O,$A36,Transactions!$B:$B,"Buy to close")-SUMIFS(Transactions!$E:$E,Transactions!$O:$O,$A36,Transactions!$B:$B,"Expired")-SUMIFS(Transactions!$E:$E,Transactions!$O:$O,$A36,Transactions!$B:$B,"Assigned"))&gt;0,"Covered","Free")))</f>
        <v/>
      </c>
      <c r="P36" s="26" t="str">
        <f aca="false">IF(OR(I36="",G36&lt;=0),"",CEILING(MAX(I36,N(L36)),IF(E36&lt;50,0.5,IF(E36&lt;200,1,5))))</f>
        <v/>
      </c>
      <c r="Q36" s="8" t="str">
        <f aca="true">IF(OR(N36="",G36&lt;=0),"",IF(N36&gt;=0,"",IF(COUNTIFS($B:$B,B36,$C:$C,"&gt;="&amp;(TODAY()-30),$C:$C,"&lt;="&amp;TODAY(),$A:$A,"&lt;&gt;"&amp;$A36)&gt;0,"Loss sale now = wash sale","OK to harvest loss")))</f>
        <v/>
      </c>
      <c r="R36" s="14" t="str">
        <f aca="false">IF(OR($A36="",N(F36)&lt;=0),"",SUMIFS(Transactions!$J:$J,Transactions!$O:$O,$A36,Transactions!$B:$B,"Sell shares")-E36*F36)</f>
        <v/>
      </c>
      <c r="S36" s="10" t="str">
        <f aca="false">IF(OR($A36="",N(F36)&lt;=0),"",_xlfn.MAXIFS(Transactions!$A:$A,Transactions!$O:$O,$A36,Transactions!$B:$B,"Sell shares"))</f>
        <v/>
      </c>
      <c r="T36" s="14" t="str">
        <f aca="false">IF(OR($A36="",E36=""),"",E36*G36)</f>
        <v/>
      </c>
    </row>
    <row r="37" customFormat="false" ht="15" hidden="false" customHeight="false" outlineLevel="0" collapsed="false">
      <c r="A37" s="21"/>
      <c r="B37" s="8" t="str">
        <f aca="false">IF($A37="","",IFERROR(INDEX(Transactions!$C:$C,MATCH($A37,Transactions!$O:$O,0)),""))</f>
        <v/>
      </c>
      <c r="C37" s="10" t="str">
        <f aca="false">IF($A37="","",IF(COUNTIFS(Transactions!$O:$O,$A37,Transactions!$B:$B,"Buy shares")=0,"",_xlfn.MINIFS(Transactions!$A:$A,Transactions!$O:$O,$A37,Transactions!$B:$B,"Buy shares")))</f>
        <v/>
      </c>
      <c r="D37" s="18" t="str">
        <f aca="false">IF($A37="","",SUMIFS(Transactions!$E:$E,Transactions!$O:$O,$A37,Transactions!$B:$B,"Buy shares"))</f>
        <v/>
      </c>
      <c r="E37" s="26" t="str">
        <f aca="false">IF($A37="","",IF(D37=0,"",-SUMIFS(Transactions!$J:$J,Transactions!$O:$O,$A37,Transactions!$B:$B,"Buy shares")/D37))</f>
        <v/>
      </c>
      <c r="F37" s="18" t="str">
        <f aca="false">IF($A37="","",-SUMIFS(Transactions!$E:$E,Transactions!$O:$O,$A37,Transactions!$B:$B,"Sell shares"))</f>
        <v/>
      </c>
      <c r="G37" s="18" t="str">
        <f aca="false">IF($A37="","",D37-F37)</f>
        <v/>
      </c>
      <c r="H37" s="14" t="str">
        <f aca="false">IF($A37="","",SUMIFS(Transactions!$J:$J,Transactions!$O:$O,$A37,Transactions!$B:$B,"Sell call")+SUMIFS(Transactions!$J:$J,Transactions!$O:$O,$A37,Transactions!$B:$B,"Buy to close"))</f>
        <v/>
      </c>
      <c r="I37" s="26" t="str">
        <f aca="false">IF(OR($A37="",E37=""),"",E37-H37/D37)</f>
        <v/>
      </c>
      <c r="J37" s="26" t="str">
        <f aca="false">IF($A37="","",IFERROR(INDEX(Positions!$K:$K,MATCH(B37,Positions!$B:$B,0)),""))</f>
        <v/>
      </c>
      <c r="K37" s="23"/>
      <c r="L37" s="26" t="str">
        <f aca="false">IF($A37="","",IF(K37&lt;&gt;"",K37,J37))</f>
        <v/>
      </c>
      <c r="M37" s="14" t="str">
        <f aca="false">IF(OR($A37="",L37=""),"",L37*G37)</f>
        <v/>
      </c>
      <c r="N37" s="14" t="str">
        <f aca="false">IF(OR(M37="",E37=""),"",(L37-E37)*G37)</f>
        <v/>
      </c>
      <c r="O37" s="8" t="str">
        <f aca="false">IF($A37="","",IF(G37&lt;=0,"Sold",IF((-SUMIFS(Transactions!$E:$E,Transactions!$O:$O,$A37,Transactions!$B:$B,"Sell call")-SUMIFS(Transactions!$E:$E,Transactions!$O:$O,$A37,Transactions!$B:$B,"Buy to close")-SUMIFS(Transactions!$E:$E,Transactions!$O:$O,$A37,Transactions!$B:$B,"Expired")-SUMIFS(Transactions!$E:$E,Transactions!$O:$O,$A37,Transactions!$B:$B,"Assigned"))&gt;0,"Covered","Free")))</f>
        <v/>
      </c>
      <c r="P37" s="26" t="str">
        <f aca="false">IF(OR(I37="",G37&lt;=0),"",CEILING(MAX(I37,N(L37)),IF(E37&lt;50,0.5,IF(E37&lt;200,1,5))))</f>
        <v/>
      </c>
      <c r="Q37" s="8" t="str">
        <f aca="true">IF(OR(N37="",G37&lt;=0),"",IF(N37&gt;=0,"",IF(COUNTIFS($B:$B,B37,$C:$C,"&gt;="&amp;(TODAY()-30),$C:$C,"&lt;="&amp;TODAY(),$A:$A,"&lt;&gt;"&amp;$A37)&gt;0,"Loss sale now = wash sale","OK to harvest loss")))</f>
        <v/>
      </c>
      <c r="R37" s="14" t="str">
        <f aca="false">IF(OR($A37="",N(F37)&lt;=0),"",SUMIFS(Transactions!$J:$J,Transactions!$O:$O,$A37,Transactions!$B:$B,"Sell shares")-E37*F37)</f>
        <v/>
      </c>
      <c r="S37" s="10" t="str">
        <f aca="false">IF(OR($A37="",N(F37)&lt;=0),"",_xlfn.MAXIFS(Transactions!$A:$A,Transactions!$O:$O,$A37,Transactions!$B:$B,"Sell shares"))</f>
        <v/>
      </c>
      <c r="T37" s="14" t="str">
        <f aca="false">IF(OR($A37="",E37=""),"",E37*G37)</f>
        <v/>
      </c>
    </row>
    <row r="38" customFormat="false" ht="15" hidden="false" customHeight="false" outlineLevel="0" collapsed="false">
      <c r="A38" s="21"/>
      <c r="B38" s="8" t="str">
        <f aca="false">IF($A38="","",IFERROR(INDEX(Transactions!$C:$C,MATCH($A38,Transactions!$O:$O,0)),""))</f>
        <v/>
      </c>
      <c r="C38" s="10" t="str">
        <f aca="false">IF($A38="","",IF(COUNTIFS(Transactions!$O:$O,$A38,Transactions!$B:$B,"Buy shares")=0,"",_xlfn.MINIFS(Transactions!$A:$A,Transactions!$O:$O,$A38,Transactions!$B:$B,"Buy shares")))</f>
        <v/>
      </c>
      <c r="D38" s="18" t="str">
        <f aca="false">IF($A38="","",SUMIFS(Transactions!$E:$E,Transactions!$O:$O,$A38,Transactions!$B:$B,"Buy shares"))</f>
        <v/>
      </c>
      <c r="E38" s="26" t="str">
        <f aca="false">IF($A38="","",IF(D38=0,"",-SUMIFS(Transactions!$J:$J,Transactions!$O:$O,$A38,Transactions!$B:$B,"Buy shares")/D38))</f>
        <v/>
      </c>
      <c r="F38" s="18" t="str">
        <f aca="false">IF($A38="","",-SUMIFS(Transactions!$E:$E,Transactions!$O:$O,$A38,Transactions!$B:$B,"Sell shares"))</f>
        <v/>
      </c>
      <c r="G38" s="18" t="str">
        <f aca="false">IF($A38="","",D38-F38)</f>
        <v/>
      </c>
      <c r="H38" s="14" t="str">
        <f aca="false">IF($A38="","",SUMIFS(Transactions!$J:$J,Transactions!$O:$O,$A38,Transactions!$B:$B,"Sell call")+SUMIFS(Transactions!$J:$J,Transactions!$O:$O,$A38,Transactions!$B:$B,"Buy to close"))</f>
        <v/>
      </c>
      <c r="I38" s="26" t="str">
        <f aca="false">IF(OR($A38="",E38=""),"",E38-H38/D38)</f>
        <v/>
      </c>
      <c r="J38" s="26" t="str">
        <f aca="false">IF($A38="","",IFERROR(INDEX(Positions!$K:$K,MATCH(B38,Positions!$B:$B,0)),""))</f>
        <v/>
      </c>
      <c r="K38" s="23"/>
      <c r="L38" s="26" t="str">
        <f aca="false">IF($A38="","",IF(K38&lt;&gt;"",K38,J38))</f>
        <v/>
      </c>
      <c r="M38" s="14" t="str">
        <f aca="false">IF(OR($A38="",L38=""),"",L38*G38)</f>
        <v/>
      </c>
      <c r="N38" s="14" t="str">
        <f aca="false">IF(OR(M38="",E38=""),"",(L38-E38)*G38)</f>
        <v/>
      </c>
      <c r="O38" s="8" t="str">
        <f aca="false">IF($A38="","",IF(G38&lt;=0,"Sold",IF((-SUMIFS(Transactions!$E:$E,Transactions!$O:$O,$A38,Transactions!$B:$B,"Sell call")-SUMIFS(Transactions!$E:$E,Transactions!$O:$O,$A38,Transactions!$B:$B,"Buy to close")-SUMIFS(Transactions!$E:$E,Transactions!$O:$O,$A38,Transactions!$B:$B,"Expired")-SUMIFS(Transactions!$E:$E,Transactions!$O:$O,$A38,Transactions!$B:$B,"Assigned"))&gt;0,"Covered","Free")))</f>
        <v/>
      </c>
      <c r="P38" s="26" t="str">
        <f aca="false">IF(OR(I38="",G38&lt;=0),"",CEILING(MAX(I38,N(L38)),IF(E38&lt;50,0.5,IF(E38&lt;200,1,5))))</f>
        <v/>
      </c>
      <c r="Q38" s="8" t="str">
        <f aca="true">IF(OR(N38="",G38&lt;=0),"",IF(N38&gt;=0,"",IF(COUNTIFS($B:$B,B38,$C:$C,"&gt;="&amp;(TODAY()-30),$C:$C,"&lt;="&amp;TODAY(),$A:$A,"&lt;&gt;"&amp;$A38)&gt;0,"Loss sale now = wash sale","OK to harvest loss")))</f>
        <v/>
      </c>
      <c r="R38" s="14" t="str">
        <f aca="false">IF(OR($A38="",N(F38)&lt;=0),"",SUMIFS(Transactions!$J:$J,Transactions!$O:$O,$A38,Transactions!$B:$B,"Sell shares")-E38*F38)</f>
        <v/>
      </c>
      <c r="S38" s="10" t="str">
        <f aca="false">IF(OR($A38="",N(F38)&lt;=0),"",_xlfn.MAXIFS(Transactions!$A:$A,Transactions!$O:$O,$A38,Transactions!$B:$B,"Sell shares"))</f>
        <v/>
      </c>
      <c r="T38" s="14" t="str">
        <f aca="false">IF(OR($A38="",E38=""),"",E38*G38)</f>
        <v/>
      </c>
    </row>
    <row r="39" customFormat="false" ht="15" hidden="false" customHeight="false" outlineLevel="0" collapsed="false">
      <c r="A39" s="21"/>
      <c r="B39" s="8" t="str">
        <f aca="false">IF($A39="","",IFERROR(INDEX(Transactions!$C:$C,MATCH($A39,Transactions!$O:$O,0)),""))</f>
        <v/>
      </c>
      <c r="C39" s="10" t="str">
        <f aca="false">IF($A39="","",IF(COUNTIFS(Transactions!$O:$O,$A39,Transactions!$B:$B,"Buy shares")=0,"",_xlfn.MINIFS(Transactions!$A:$A,Transactions!$O:$O,$A39,Transactions!$B:$B,"Buy shares")))</f>
        <v/>
      </c>
      <c r="D39" s="18" t="str">
        <f aca="false">IF($A39="","",SUMIFS(Transactions!$E:$E,Transactions!$O:$O,$A39,Transactions!$B:$B,"Buy shares"))</f>
        <v/>
      </c>
      <c r="E39" s="26" t="str">
        <f aca="false">IF($A39="","",IF(D39=0,"",-SUMIFS(Transactions!$J:$J,Transactions!$O:$O,$A39,Transactions!$B:$B,"Buy shares")/D39))</f>
        <v/>
      </c>
      <c r="F39" s="18" t="str">
        <f aca="false">IF($A39="","",-SUMIFS(Transactions!$E:$E,Transactions!$O:$O,$A39,Transactions!$B:$B,"Sell shares"))</f>
        <v/>
      </c>
      <c r="G39" s="18" t="str">
        <f aca="false">IF($A39="","",D39-F39)</f>
        <v/>
      </c>
      <c r="H39" s="14" t="str">
        <f aca="false">IF($A39="","",SUMIFS(Transactions!$J:$J,Transactions!$O:$O,$A39,Transactions!$B:$B,"Sell call")+SUMIFS(Transactions!$J:$J,Transactions!$O:$O,$A39,Transactions!$B:$B,"Buy to close"))</f>
        <v/>
      </c>
      <c r="I39" s="26" t="str">
        <f aca="false">IF(OR($A39="",E39=""),"",E39-H39/D39)</f>
        <v/>
      </c>
      <c r="J39" s="26" t="str">
        <f aca="false">IF($A39="","",IFERROR(INDEX(Positions!$K:$K,MATCH(B39,Positions!$B:$B,0)),""))</f>
        <v/>
      </c>
      <c r="K39" s="23"/>
      <c r="L39" s="26" t="str">
        <f aca="false">IF($A39="","",IF(K39&lt;&gt;"",K39,J39))</f>
        <v/>
      </c>
      <c r="M39" s="14" t="str">
        <f aca="false">IF(OR($A39="",L39=""),"",L39*G39)</f>
        <v/>
      </c>
      <c r="N39" s="14" t="str">
        <f aca="false">IF(OR(M39="",E39=""),"",(L39-E39)*G39)</f>
        <v/>
      </c>
      <c r="O39" s="8" t="str">
        <f aca="false">IF($A39="","",IF(G39&lt;=0,"Sold",IF((-SUMIFS(Transactions!$E:$E,Transactions!$O:$O,$A39,Transactions!$B:$B,"Sell call")-SUMIFS(Transactions!$E:$E,Transactions!$O:$O,$A39,Transactions!$B:$B,"Buy to close")-SUMIFS(Transactions!$E:$E,Transactions!$O:$O,$A39,Transactions!$B:$B,"Expired")-SUMIFS(Transactions!$E:$E,Transactions!$O:$O,$A39,Transactions!$B:$B,"Assigned"))&gt;0,"Covered","Free")))</f>
        <v/>
      </c>
      <c r="P39" s="26" t="str">
        <f aca="false">IF(OR(I39="",G39&lt;=0),"",CEILING(MAX(I39,N(L39)),IF(E39&lt;50,0.5,IF(E39&lt;200,1,5))))</f>
        <v/>
      </c>
      <c r="Q39" s="8" t="str">
        <f aca="true">IF(OR(N39="",G39&lt;=0),"",IF(N39&gt;=0,"",IF(COUNTIFS($B:$B,B39,$C:$C,"&gt;="&amp;(TODAY()-30),$C:$C,"&lt;="&amp;TODAY(),$A:$A,"&lt;&gt;"&amp;$A39)&gt;0,"Loss sale now = wash sale","OK to harvest loss")))</f>
        <v/>
      </c>
      <c r="R39" s="14" t="str">
        <f aca="false">IF(OR($A39="",N(F39)&lt;=0),"",SUMIFS(Transactions!$J:$J,Transactions!$O:$O,$A39,Transactions!$B:$B,"Sell shares")-E39*F39)</f>
        <v/>
      </c>
      <c r="S39" s="10" t="str">
        <f aca="false">IF(OR($A39="",N(F39)&lt;=0),"",_xlfn.MAXIFS(Transactions!$A:$A,Transactions!$O:$O,$A39,Transactions!$B:$B,"Sell shares"))</f>
        <v/>
      </c>
      <c r="T39" s="14" t="str">
        <f aca="false">IF(OR($A39="",E39=""),"",E39*G39)</f>
        <v/>
      </c>
    </row>
    <row r="40" customFormat="false" ht="15" hidden="false" customHeight="false" outlineLevel="0" collapsed="false">
      <c r="A40" s="21"/>
      <c r="B40" s="8" t="str">
        <f aca="false">IF($A40="","",IFERROR(INDEX(Transactions!$C:$C,MATCH($A40,Transactions!$O:$O,0)),""))</f>
        <v/>
      </c>
      <c r="C40" s="10" t="str">
        <f aca="false">IF($A40="","",IF(COUNTIFS(Transactions!$O:$O,$A40,Transactions!$B:$B,"Buy shares")=0,"",_xlfn.MINIFS(Transactions!$A:$A,Transactions!$O:$O,$A40,Transactions!$B:$B,"Buy shares")))</f>
        <v/>
      </c>
      <c r="D40" s="18" t="str">
        <f aca="false">IF($A40="","",SUMIFS(Transactions!$E:$E,Transactions!$O:$O,$A40,Transactions!$B:$B,"Buy shares"))</f>
        <v/>
      </c>
      <c r="E40" s="26" t="str">
        <f aca="false">IF($A40="","",IF(D40=0,"",-SUMIFS(Transactions!$J:$J,Transactions!$O:$O,$A40,Transactions!$B:$B,"Buy shares")/D40))</f>
        <v/>
      </c>
      <c r="F40" s="18" t="str">
        <f aca="false">IF($A40="","",-SUMIFS(Transactions!$E:$E,Transactions!$O:$O,$A40,Transactions!$B:$B,"Sell shares"))</f>
        <v/>
      </c>
      <c r="G40" s="18" t="str">
        <f aca="false">IF($A40="","",D40-F40)</f>
        <v/>
      </c>
      <c r="H40" s="14" t="str">
        <f aca="false">IF($A40="","",SUMIFS(Transactions!$J:$J,Transactions!$O:$O,$A40,Transactions!$B:$B,"Sell call")+SUMIFS(Transactions!$J:$J,Transactions!$O:$O,$A40,Transactions!$B:$B,"Buy to close"))</f>
        <v/>
      </c>
      <c r="I40" s="26" t="str">
        <f aca="false">IF(OR($A40="",E40=""),"",E40-H40/D40)</f>
        <v/>
      </c>
      <c r="J40" s="26" t="str">
        <f aca="false">IF($A40="","",IFERROR(INDEX(Positions!$K:$K,MATCH(B40,Positions!$B:$B,0)),""))</f>
        <v/>
      </c>
      <c r="K40" s="23"/>
      <c r="L40" s="26" t="str">
        <f aca="false">IF($A40="","",IF(K40&lt;&gt;"",K40,J40))</f>
        <v/>
      </c>
      <c r="M40" s="14" t="str">
        <f aca="false">IF(OR($A40="",L40=""),"",L40*G40)</f>
        <v/>
      </c>
      <c r="N40" s="14" t="str">
        <f aca="false">IF(OR(M40="",E40=""),"",(L40-E40)*G40)</f>
        <v/>
      </c>
      <c r="O40" s="8" t="str">
        <f aca="false">IF($A40="","",IF(G40&lt;=0,"Sold",IF((-SUMIFS(Transactions!$E:$E,Transactions!$O:$O,$A40,Transactions!$B:$B,"Sell call")-SUMIFS(Transactions!$E:$E,Transactions!$O:$O,$A40,Transactions!$B:$B,"Buy to close")-SUMIFS(Transactions!$E:$E,Transactions!$O:$O,$A40,Transactions!$B:$B,"Expired")-SUMIFS(Transactions!$E:$E,Transactions!$O:$O,$A40,Transactions!$B:$B,"Assigned"))&gt;0,"Covered","Free")))</f>
        <v/>
      </c>
      <c r="P40" s="26" t="str">
        <f aca="false">IF(OR(I40="",G40&lt;=0),"",CEILING(MAX(I40,N(L40)),IF(E40&lt;50,0.5,IF(E40&lt;200,1,5))))</f>
        <v/>
      </c>
      <c r="Q40" s="8" t="str">
        <f aca="true">IF(OR(N40="",G40&lt;=0),"",IF(N40&gt;=0,"",IF(COUNTIFS($B:$B,B40,$C:$C,"&gt;="&amp;(TODAY()-30),$C:$C,"&lt;="&amp;TODAY(),$A:$A,"&lt;&gt;"&amp;$A40)&gt;0,"Loss sale now = wash sale","OK to harvest loss")))</f>
        <v/>
      </c>
      <c r="R40" s="14" t="str">
        <f aca="false">IF(OR($A40="",N(F40)&lt;=0),"",SUMIFS(Transactions!$J:$J,Transactions!$O:$O,$A40,Transactions!$B:$B,"Sell shares")-E40*F40)</f>
        <v/>
      </c>
      <c r="S40" s="10" t="str">
        <f aca="false">IF(OR($A40="",N(F40)&lt;=0),"",_xlfn.MAXIFS(Transactions!$A:$A,Transactions!$O:$O,$A40,Transactions!$B:$B,"Sell shares"))</f>
        <v/>
      </c>
      <c r="T40" s="14" t="str">
        <f aca="false">IF(OR($A40="",E40=""),"",E40*G40)</f>
        <v/>
      </c>
    </row>
    <row r="41" customFormat="false" ht="15" hidden="false" customHeight="false" outlineLevel="0" collapsed="false">
      <c r="A41" s="21"/>
      <c r="B41" s="8" t="str">
        <f aca="false">IF($A41="","",IFERROR(INDEX(Transactions!$C:$C,MATCH($A41,Transactions!$O:$O,0)),""))</f>
        <v/>
      </c>
      <c r="C41" s="10" t="str">
        <f aca="false">IF($A41="","",IF(COUNTIFS(Transactions!$O:$O,$A41,Transactions!$B:$B,"Buy shares")=0,"",_xlfn.MINIFS(Transactions!$A:$A,Transactions!$O:$O,$A41,Transactions!$B:$B,"Buy shares")))</f>
        <v/>
      </c>
      <c r="D41" s="18" t="str">
        <f aca="false">IF($A41="","",SUMIFS(Transactions!$E:$E,Transactions!$O:$O,$A41,Transactions!$B:$B,"Buy shares"))</f>
        <v/>
      </c>
      <c r="E41" s="26" t="str">
        <f aca="false">IF($A41="","",IF(D41=0,"",-SUMIFS(Transactions!$J:$J,Transactions!$O:$O,$A41,Transactions!$B:$B,"Buy shares")/D41))</f>
        <v/>
      </c>
      <c r="F41" s="18" t="str">
        <f aca="false">IF($A41="","",-SUMIFS(Transactions!$E:$E,Transactions!$O:$O,$A41,Transactions!$B:$B,"Sell shares"))</f>
        <v/>
      </c>
      <c r="G41" s="18" t="str">
        <f aca="false">IF($A41="","",D41-F41)</f>
        <v/>
      </c>
      <c r="H41" s="14" t="str">
        <f aca="false">IF($A41="","",SUMIFS(Transactions!$J:$J,Transactions!$O:$O,$A41,Transactions!$B:$B,"Sell call")+SUMIFS(Transactions!$J:$J,Transactions!$O:$O,$A41,Transactions!$B:$B,"Buy to close"))</f>
        <v/>
      </c>
      <c r="I41" s="26" t="str">
        <f aca="false">IF(OR($A41="",E41=""),"",E41-H41/D41)</f>
        <v/>
      </c>
      <c r="J41" s="26" t="str">
        <f aca="false">IF($A41="","",IFERROR(INDEX(Positions!$K:$K,MATCH(B41,Positions!$B:$B,0)),""))</f>
        <v/>
      </c>
      <c r="K41" s="23"/>
      <c r="L41" s="26" t="str">
        <f aca="false">IF($A41="","",IF(K41&lt;&gt;"",K41,J41))</f>
        <v/>
      </c>
      <c r="M41" s="14" t="str">
        <f aca="false">IF(OR($A41="",L41=""),"",L41*G41)</f>
        <v/>
      </c>
      <c r="N41" s="14" t="str">
        <f aca="false">IF(OR(M41="",E41=""),"",(L41-E41)*G41)</f>
        <v/>
      </c>
      <c r="O41" s="8" t="str">
        <f aca="false">IF($A41="","",IF(G41&lt;=0,"Sold",IF((-SUMIFS(Transactions!$E:$E,Transactions!$O:$O,$A41,Transactions!$B:$B,"Sell call")-SUMIFS(Transactions!$E:$E,Transactions!$O:$O,$A41,Transactions!$B:$B,"Buy to close")-SUMIFS(Transactions!$E:$E,Transactions!$O:$O,$A41,Transactions!$B:$B,"Expired")-SUMIFS(Transactions!$E:$E,Transactions!$O:$O,$A41,Transactions!$B:$B,"Assigned"))&gt;0,"Covered","Free")))</f>
        <v/>
      </c>
      <c r="P41" s="26" t="str">
        <f aca="false">IF(OR(I41="",G41&lt;=0),"",CEILING(MAX(I41,N(L41)),IF(E41&lt;50,0.5,IF(E41&lt;200,1,5))))</f>
        <v/>
      </c>
      <c r="Q41" s="8" t="str">
        <f aca="true">IF(OR(N41="",G41&lt;=0),"",IF(N41&gt;=0,"",IF(COUNTIFS($B:$B,B41,$C:$C,"&gt;="&amp;(TODAY()-30),$C:$C,"&lt;="&amp;TODAY(),$A:$A,"&lt;&gt;"&amp;$A41)&gt;0,"Loss sale now = wash sale","OK to harvest loss")))</f>
        <v/>
      </c>
      <c r="R41" s="14" t="str">
        <f aca="false">IF(OR($A41="",N(F41)&lt;=0),"",SUMIFS(Transactions!$J:$J,Transactions!$O:$O,$A41,Transactions!$B:$B,"Sell shares")-E41*F41)</f>
        <v/>
      </c>
      <c r="S41" s="10" t="str">
        <f aca="false">IF(OR($A41="",N(F41)&lt;=0),"",_xlfn.MAXIFS(Transactions!$A:$A,Transactions!$O:$O,$A41,Transactions!$B:$B,"Sell shares"))</f>
        <v/>
      </c>
      <c r="T41" s="14" t="str">
        <f aca="false">IF(OR($A41="",E41=""),"",E41*G41)</f>
        <v/>
      </c>
    </row>
    <row r="42" customFormat="false" ht="15" hidden="false" customHeight="false" outlineLevel="0" collapsed="false">
      <c r="A42" s="21"/>
      <c r="B42" s="8" t="str">
        <f aca="false">IF($A42="","",IFERROR(INDEX(Transactions!$C:$C,MATCH($A42,Transactions!$O:$O,0)),""))</f>
        <v/>
      </c>
      <c r="C42" s="10" t="str">
        <f aca="false">IF($A42="","",IF(COUNTIFS(Transactions!$O:$O,$A42,Transactions!$B:$B,"Buy shares")=0,"",_xlfn.MINIFS(Transactions!$A:$A,Transactions!$O:$O,$A42,Transactions!$B:$B,"Buy shares")))</f>
        <v/>
      </c>
      <c r="D42" s="18" t="str">
        <f aca="false">IF($A42="","",SUMIFS(Transactions!$E:$E,Transactions!$O:$O,$A42,Transactions!$B:$B,"Buy shares"))</f>
        <v/>
      </c>
      <c r="E42" s="26" t="str">
        <f aca="false">IF($A42="","",IF(D42=0,"",-SUMIFS(Transactions!$J:$J,Transactions!$O:$O,$A42,Transactions!$B:$B,"Buy shares")/D42))</f>
        <v/>
      </c>
      <c r="F42" s="18" t="str">
        <f aca="false">IF($A42="","",-SUMIFS(Transactions!$E:$E,Transactions!$O:$O,$A42,Transactions!$B:$B,"Sell shares"))</f>
        <v/>
      </c>
      <c r="G42" s="18" t="str">
        <f aca="false">IF($A42="","",D42-F42)</f>
        <v/>
      </c>
      <c r="H42" s="14" t="str">
        <f aca="false">IF($A42="","",SUMIFS(Transactions!$J:$J,Transactions!$O:$O,$A42,Transactions!$B:$B,"Sell call")+SUMIFS(Transactions!$J:$J,Transactions!$O:$O,$A42,Transactions!$B:$B,"Buy to close"))</f>
        <v/>
      </c>
      <c r="I42" s="26" t="str">
        <f aca="false">IF(OR($A42="",E42=""),"",E42-H42/D42)</f>
        <v/>
      </c>
      <c r="J42" s="26" t="str">
        <f aca="false">IF($A42="","",IFERROR(INDEX(Positions!$K:$K,MATCH(B42,Positions!$B:$B,0)),""))</f>
        <v/>
      </c>
      <c r="K42" s="23"/>
      <c r="L42" s="26" t="str">
        <f aca="false">IF($A42="","",IF(K42&lt;&gt;"",K42,J42))</f>
        <v/>
      </c>
      <c r="M42" s="14" t="str">
        <f aca="false">IF(OR($A42="",L42=""),"",L42*G42)</f>
        <v/>
      </c>
      <c r="N42" s="14" t="str">
        <f aca="false">IF(OR(M42="",E42=""),"",(L42-E42)*G42)</f>
        <v/>
      </c>
      <c r="O42" s="8" t="str">
        <f aca="false">IF($A42="","",IF(G42&lt;=0,"Sold",IF((-SUMIFS(Transactions!$E:$E,Transactions!$O:$O,$A42,Transactions!$B:$B,"Sell call")-SUMIFS(Transactions!$E:$E,Transactions!$O:$O,$A42,Transactions!$B:$B,"Buy to close")-SUMIFS(Transactions!$E:$E,Transactions!$O:$O,$A42,Transactions!$B:$B,"Expired")-SUMIFS(Transactions!$E:$E,Transactions!$O:$O,$A42,Transactions!$B:$B,"Assigned"))&gt;0,"Covered","Free")))</f>
        <v/>
      </c>
      <c r="P42" s="26" t="str">
        <f aca="false">IF(OR(I42="",G42&lt;=0),"",CEILING(MAX(I42,N(L42)),IF(E42&lt;50,0.5,IF(E42&lt;200,1,5))))</f>
        <v/>
      </c>
      <c r="Q42" s="8" t="str">
        <f aca="true">IF(OR(N42="",G42&lt;=0),"",IF(N42&gt;=0,"",IF(COUNTIFS($B:$B,B42,$C:$C,"&gt;="&amp;(TODAY()-30),$C:$C,"&lt;="&amp;TODAY(),$A:$A,"&lt;&gt;"&amp;$A42)&gt;0,"Loss sale now = wash sale","OK to harvest loss")))</f>
        <v/>
      </c>
      <c r="R42" s="14" t="str">
        <f aca="false">IF(OR($A42="",N(F42)&lt;=0),"",SUMIFS(Transactions!$J:$J,Transactions!$O:$O,$A42,Transactions!$B:$B,"Sell shares")-E42*F42)</f>
        <v/>
      </c>
      <c r="S42" s="10" t="str">
        <f aca="false">IF(OR($A42="",N(F42)&lt;=0),"",_xlfn.MAXIFS(Transactions!$A:$A,Transactions!$O:$O,$A42,Transactions!$B:$B,"Sell shares"))</f>
        <v/>
      </c>
      <c r="T42" s="14" t="str">
        <f aca="false">IF(OR($A42="",E42=""),"",E42*G42)</f>
        <v/>
      </c>
    </row>
    <row r="43" customFormat="false" ht="15" hidden="false" customHeight="false" outlineLevel="0" collapsed="false">
      <c r="A43" s="21"/>
      <c r="B43" s="8" t="str">
        <f aca="false">IF($A43="","",IFERROR(INDEX(Transactions!$C:$C,MATCH($A43,Transactions!$O:$O,0)),""))</f>
        <v/>
      </c>
      <c r="C43" s="10" t="str">
        <f aca="false">IF($A43="","",IF(COUNTIFS(Transactions!$O:$O,$A43,Transactions!$B:$B,"Buy shares")=0,"",_xlfn.MINIFS(Transactions!$A:$A,Transactions!$O:$O,$A43,Transactions!$B:$B,"Buy shares")))</f>
        <v/>
      </c>
      <c r="D43" s="18" t="str">
        <f aca="false">IF($A43="","",SUMIFS(Transactions!$E:$E,Transactions!$O:$O,$A43,Transactions!$B:$B,"Buy shares"))</f>
        <v/>
      </c>
      <c r="E43" s="26" t="str">
        <f aca="false">IF($A43="","",IF(D43=0,"",-SUMIFS(Transactions!$J:$J,Transactions!$O:$O,$A43,Transactions!$B:$B,"Buy shares")/D43))</f>
        <v/>
      </c>
      <c r="F43" s="18" t="str">
        <f aca="false">IF($A43="","",-SUMIFS(Transactions!$E:$E,Transactions!$O:$O,$A43,Transactions!$B:$B,"Sell shares"))</f>
        <v/>
      </c>
      <c r="G43" s="18" t="str">
        <f aca="false">IF($A43="","",D43-F43)</f>
        <v/>
      </c>
      <c r="H43" s="14" t="str">
        <f aca="false">IF($A43="","",SUMIFS(Transactions!$J:$J,Transactions!$O:$O,$A43,Transactions!$B:$B,"Sell call")+SUMIFS(Transactions!$J:$J,Transactions!$O:$O,$A43,Transactions!$B:$B,"Buy to close"))</f>
        <v/>
      </c>
      <c r="I43" s="26" t="str">
        <f aca="false">IF(OR($A43="",E43=""),"",E43-H43/D43)</f>
        <v/>
      </c>
      <c r="J43" s="26" t="str">
        <f aca="false">IF($A43="","",IFERROR(INDEX(Positions!$K:$K,MATCH(B43,Positions!$B:$B,0)),""))</f>
        <v/>
      </c>
      <c r="K43" s="23"/>
      <c r="L43" s="26" t="str">
        <f aca="false">IF($A43="","",IF(K43&lt;&gt;"",K43,J43))</f>
        <v/>
      </c>
      <c r="M43" s="14" t="str">
        <f aca="false">IF(OR($A43="",L43=""),"",L43*G43)</f>
        <v/>
      </c>
      <c r="N43" s="14" t="str">
        <f aca="false">IF(OR(M43="",E43=""),"",(L43-E43)*G43)</f>
        <v/>
      </c>
      <c r="O43" s="8" t="str">
        <f aca="false">IF($A43="","",IF(G43&lt;=0,"Sold",IF((-SUMIFS(Transactions!$E:$E,Transactions!$O:$O,$A43,Transactions!$B:$B,"Sell call")-SUMIFS(Transactions!$E:$E,Transactions!$O:$O,$A43,Transactions!$B:$B,"Buy to close")-SUMIFS(Transactions!$E:$E,Transactions!$O:$O,$A43,Transactions!$B:$B,"Expired")-SUMIFS(Transactions!$E:$E,Transactions!$O:$O,$A43,Transactions!$B:$B,"Assigned"))&gt;0,"Covered","Free")))</f>
        <v/>
      </c>
      <c r="P43" s="26" t="str">
        <f aca="false">IF(OR(I43="",G43&lt;=0),"",CEILING(MAX(I43,N(L43)),IF(E43&lt;50,0.5,IF(E43&lt;200,1,5))))</f>
        <v/>
      </c>
      <c r="Q43" s="8" t="str">
        <f aca="true">IF(OR(N43="",G43&lt;=0),"",IF(N43&gt;=0,"",IF(COUNTIFS($B:$B,B43,$C:$C,"&gt;="&amp;(TODAY()-30),$C:$C,"&lt;="&amp;TODAY(),$A:$A,"&lt;&gt;"&amp;$A43)&gt;0,"Loss sale now = wash sale","OK to harvest loss")))</f>
        <v/>
      </c>
      <c r="R43" s="14" t="str">
        <f aca="false">IF(OR($A43="",N(F43)&lt;=0),"",SUMIFS(Transactions!$J:$J,Transactions!$O:$O,$A43,Transactions!$B:$B,"Sell shares")-E43*F43)</f>
        <v/>
      </c>
      <c r="S43" s="10" t="str">
        <f aca="false">IF(OR($A43="",N(F43)&lt;=0),"",_xlfn.MAXIFS(Transactions!$A:$A,Transactions!$O:$O,$A43,Transactions!$B:$B,"Sell shares"))</f>
        <v/>
      </c>
      <c r="T43" s="14" t="str">
        <f aca="false">IF(OR($A43="",E43=""),"",E43*G43)</f>
        <v/>
      </c>
    </row>
    <row r="44" customFormat="false" ht="15" hidden="false" customHeight="false" outlineLevel="0" collapsed="false">
      <c r="A44" s="21"/>
      <c r="B44" s="8" t="str">
        <f aca="false">IF($A44="","",IFERROR(INDEX(Transactions!$C:$C,MATCH($A44,Transactions!$O:$O,0)),""))</f>
        <v/>
      </c>
      <c r="C44" s="10" t="str">
        <f aca="false">IF($A44="","",IF(COUNTIFS(Transactions!$O:$O,$A44,Transactions!$B:$B,"Buy shares")=0,"",_xlfn.MINIFS(Transactions!$A:$A,Transactions!$O:$O,$A44,Transactions!$B:$B,"Buy shares")))</f>
        <v/>
      </c>
      <c r="D44" s="18" t="str">
        <f aca="false">IF($A44="","",SUMIFS(Transactions!$E:$E,Transactions!$O:$O,$A44,Transactions!$B:$B,"Buy shares"))</f>
        <v/>
      </c>
      <c r="E44" s="26" t="str">
        <f aca="false">IF($A44="","",IF(D44=0,"",-SUMIFS(Transactions!$J:$J,Transactions!$O:$O,$A44,Transactions!$B:$B,"Buy shares")/D44))</f>
        <v/>
      </c>
      <c r="F44" s="18" t="str">
        <f aca="false">IF($A44="","",-SUMIFS(Transactions!$E:$E,Transactions!$O:$O,$A44,Transactions!$B:$B,"Sell shares"))</f>
        <v/>
      </c>
      <c r="G44" s="18" t="str">
        <f aca="false">IF($A44="","",D44-F44)</f>
        <v/>
      </c>
      <c r="H44" s="14" t="str">
        <f aca="false">IF($A44="","",SUMIFS(Transactions!$J:$J,Transactions!$O:$O,$A44,Transactions!$B:$B,"Sell call")+SUMIFS(Transactions!$J:$J,Transactions!$O:$O,$A44,Transactions!$B:$B,"Buy to close"))</f>
        <v/>
      </c>
      <c r="I44" s="26" t="str">
        <f aca="false">IF(OR($A44="",E44=""),"",E44-H44/D44)</f>
        <v/>
      </c>
      <c r="J44" s="26" t="str">
        <f aca="false">IF($A44="","",IFERROR(INDEX(Positions!$K:$K,MATCH(B44,Positions!$B:$B,0)),""))</f>
        <v/>
      </c>
      <c r="K44" s="23"/>
      <c r="L44" s="26" t="str">
        <f aca="false">IF($A44="","",IF(K44&lt;&gt;"",K44,J44))</f>
        <v/>
      </c>
      <c r="M44" s="14" t="str">
        <f aca="false">IF(OR($A44="",L44=""),"",L44*G44)</f>
        <v/>
      </c>
      <c r="N44" s="14" t="str">
        <f aca="false">IF(OR(M44="",E44=""),"",(L44-E44)*G44)</f>
        <v/>
      </c>
      <c r="O44" s="8" t="str">
        <f aca="false">IF($A44="","",IF(G44&lt;=0,"Sold",IF((-SUMIFS(Transactions!$E:$E,Transactions!$O:$O,$A44,Transactions!$B:$B,"Sell call")-SUMIFS(Transactions!$E:$E,Transactions!$O:$O,$A44,Transactions!$B:$B,"Buy to close")-SUMIFS(Transactions!$E:$E,Transactions!$O:$O,$A44,Transactions!$B:$B,"Expired")-SUMIFS(Transactions!$E:$E,Transactions!$O:$O,$A44,Transactions!$B:$B,"Assigned"))&gt;0,"Covered","Free")))</f>
        <v/>
      </c>
      <c r="P44" s="26" t="str">
        <f aca="false">IF(OR(I44="",G44&lt;=0),"",CEILING(MAX(I44,N(L44)),IF(E44&lt;50,0.5,IF(E44&lt;200,1,5))))</f>
        <v/>
      </c>
      <c r="Q44" s="8" t="str">
        <f aca="true">IF(OR(N44="",G44&lt;=0),"",IF(N44&gt;=0,"",IF(COUNTIFS($B:$B,B44,$C:$C,"&gt;="&amp;(TODAY()-30),$C:$C,"&lt;="&amp;TODAY(),$A:$A,"&lt;&gt;"&amp;$A44)&gt;0,"Loss sale now = wash sale","OK to harvest loss")))</f>
        <v/>
      </c>
      <c r="R44" s="14" t="str">
        <f aca="false">IF(OR($A44="",N(F44)&lt;=0),"",SUMIFS(Transactions!$J:$J,Transactions!$O:$O,$A44,Transactions!$B:$B,"Sell shares")-E44*F44)</f>
        <v/>
      </c>
      <c r="S44" s="10" t="str">
        <f aca="false">IF(OR($A44="",N(F44)&lt;=0),"",_xlfn.MAXIFS(Transactions!$A:$A,Transactions!$O:$O,$A44,Transactions!$B:$B,"Sell shares"))</f>
        <v/>
      </c>
      <c r="T44" s="14" t="str">
        <f aca="false">IF(OR($A44="",E44=""),"",E44*G44)</f>
        <v/>
      </c>
    </row>
    <row r="45" customFormat="false" ht="15" hidden="false" customHeight="false" outlineLevel="0" collapsed="false">
      <c r="A45" s="21"/>
      <c r="B45" s="8" t="str">
        <f aca="false">IF($A45="","",IFERROR(INDEX(Transactions!$C:$C,MATCH($A45,Transactions!$O:$O,0)),""))</f>
        <v/>
      </c>
      <c r="C45" s="10" t="str">
        <f aca="false">IF($A45="","",IF(COUNTIFS(Transactions!$O:$O,$A45,Transactions!$B:$B,"Buy shares")=0,"",_xlfn.MINIFS(Transactions!$A:$A,Transactions!$O:$O,$A45,Transactions!$B:$B,"Buy shares")))</f>
        <v/>
      </c>
      <c r="D45" s="18" t="str">
        <f aca="false">IF($A45="","",SUMIFS(Transactions!$E:$E,Transactions!$O:$O,$A45,Transactions!$B:$B,"Buy shares"))</f>
        <v/>
      </c>
      <c r="E45" s="26" t="str">
        <f aca="false">IF($A45="","",IF(D45=0,"",-SUMIFS(Transactions!$J:$J,Transactions!$O:$O,$A45,Transactions!$B:$B,"Buy shares")/D45))</f>
        <v/>
      </c>
      <c r="F45" s="18" t="str">
        <f aca="false">IF($A45="","",-SUMIFS(Transactions!$E:$E,Transactions!$O:$O,$A45,Transactions!$B:$B,"Sell shares"))</f>
        <v/>
      </c>
      <c r="G45" s="18" t="str">
        <f aca="false">IF($A45="","",D45-F45)</f>
        <v/>
      </c>
      <c r="H45" s="14" t="str">
        <f aca="false">IF($A45="","",SUMIFS(Transactions!$J:$J,Transactions!$O:$O,$A45,Transactions!$B:$B,"Sell call")+SUMIFS(Transactions!$J:$J,Transactions!$O:$O,$A45,Transactions!$B:$B,"Buy to close"))</f>
        <v/>
      </c>
      <c r="I45" s="26" t="str">
        <f aca="false">IF(OR($A45="",E45=""),"",E45-H45/D45)</f>
        <v/>
      </c>
      <c r="J45" s="26" t="str">
        <f aca="false">IF($A45="","",IFERROR(INDEX(Positions!$K:$K,MATCH(B45,Positions!$B:$B,0)),""))</f>
        <v/>
      </c>
      <c r="K45" s="23"/>
      <c r="L45" s="26" t="str">
        <f aca="false">IF($A45="","",IF(K45&lt;&gt;"",K45,J45))</f>
        <v/>
      </c>
      <c r="M45" s="14" t="str">
        <f aca="false">IF(OR($A45="",L45=""),"",L45*G45)</f>
        <v/>
      </c>
      <c r="N45" s="14" t="str">
        <f aca="false">IF(OR(M45="",E45=""),"",(L45-E45)*G45)</f>
        <v/>
      </c>
      <c r="O45" s="8" t="str">
        <f aca="false">IF($A45="","",IF(G45&lt;=0,"Sold",IF((-SUMIFS(Transactions!$E:$E,Transactions!$O:$O,$A45,Transactions!$B:$B,"Sell call")-SUMIFS(Transactions!$E:$E,Transactions!$O:$O,$A45,Transactions!$B:$B,"Buy to close")-SUMIFS(Transactions!$E:$E,Transactions!$O:$O,$A45,Transactions!$B:$B,"Expired")-SUMIFS(Transactions!$E:$E,Transactions!$O:$O,$A45,Transactions!$B:$B,"Assigned"))&gt;0,"Covered","Free")))</f>
        <v/>
      </c>
      <c r="P45" s="26" t="str">
        <f aca="false">IF(OR(I45="",G45&lt;=0),"",CEILING(MAX(I45,N(L45)),IF(E45&lt;50,0.5,IF(E45&lt;200,1,5))))</f>
        <v/>
      </c>
      <c r="Q45" s="8" t="str">
        <f aca="true">IF(OR(N45="",G45&lt;=0),"",IF(N45&gt;=0,"",IF(COUNTIFS($B:$B,B45,$C:$C,"&gt;="&amp;(TODAY()-30),$C:$C,"&lt;="&amp;TODAY(),$A:$A,"&lt;&gt;"&amp;$A45)&gt;0,"Loss sale now = wash sale","OK to harvest loss")))</f>
        <v/>
      </c>
      <c r="R45" s="14" t="str">
        <f aca="false">IF(OR($A45="",N(F45)&lt;=0),"",SUMIFS(Transactions!$J:$J,Transactions!$O:$O,$A45,Transactions!$B:$B,"Sell shares")-E45*F45)</f>
        <v/>
      </c>
      <c r="S45" s="10" t="str">
        <f aca="false">IF(OR($A45="",N(F45)&lt;=0),"",_xlfn.MAXIFS(Transactions!$A:$A,Transactions!$O:$O,$A45,Transactions!$B:$B,"Sell shares"))</f>
        <v/>
      </c>
      <c r="T45" s="14" t="str">
        <f aca="false">IF(OR($A45="",E45=""),"",E45*G45)</f>
        <v/>
      </c>
    </row>
    <row r="46" customFormat="false" ht="15" hidden="false" customHeight="false" outlineLevel="0" collapsed="false">
      <c r="A46" s="21"/>
      <c r="B46" s="8" t="str">
        <f aca="false">IF($A46="","",IFERROR(INDEX(Transactions!$C:$C,MATCH($A46,Transactions!$O:$O,0)),""))</f>
        <v/>
      </c>
      <c r="C46" s="10" t="str">
        <f aca="false">IF($A46="","",IF(COUNTIFS(Transactions!$O:$O,$A46,Transactions!$B:$B,"Buy shares")=0,"",_xlfn.MINIFS(Transactions!$A:$A,Transactions!$O:$O,$A46,Transactions!$B:$B,"Buy shares")))</f>
        <v/>
      </c>
      <c r="D46" s="18" t="str">
        <f aca="false">IF($A46="","",SUMIFS(Transactions!$E:$E,Transactions!$O:$O,$A46,Transactions!$B:$B,"Buy shares"))</f>
        <v/>
      </c>
      <c r="E46" s="26" t="str">
        <f aca="false">IF($A46="","",IF(D46=0,"",-SUMIFS(Transactions!$J:$J,Transactions!$O:$O,$A46,Transactions!$B:$B,"Buy shares")/D46))</f>
        <v/>
      </c>
      <c r="F46" s="18" t="str">
        <f aca="false">IF($A46="","",-SUMIFS(Transactions!$E:$E,Transactions!$O:$O,$A46,Transactions!$B:$B,"Sell shares"))</f>
        <v/>
      </c>
      <c r="G46" s="18" t="str">
        <f aca="false">IF($A46="","",D46-F46)</f>
        <v/>
      </c>
      <c r="H46" s="14" t="str">
        <f aca="false">IF($A46="","",SUMIFS(Transactions!$J:$J,Transactions!$O:$O,$A46,Transactions!$B:$B,"Sell call")+SUMIFS(Transactions!$J:$J,Transactions!$O:$O,$A46,Transactions!$B:$B,"Buy to close"))</f>
        <v/>
      </c>
      <c r="I46" s="26" t="str">
        <f aca="false">IF(OR($A46="",E46=""),"",E46-H46/D46)</f>
        <v/>
      </c>
      <c r="J46" s="26" t="str">
        <f aca="false">IF($A46="","",IFERROR(INDEX(Positions!$K:$K,MATCH(B46,Positions!$B:$B,0)),""))</f>
        <v/>
      </c>
      <c r="K46" s="23"/>
      <c r="L46" s="26" t="str">
        <f aca="false">IF($A46="","",IF(K46&lt;&gt;"",K46,J46))</f>
        <v/>
      </c>
      <c r="M46" s="14" t="str">
        <f aca="false">IF(OR($A46="",L46=""),"",L46*G46)</f>
        <v/>
      </c>
      <c r="N46" s="14" t="str">
        <f aca="false">IF(OR(M46="",E46=""),"",(L46-E46)*G46)</f>
        <v/>
      </c>
      <c r="O46" s="8" t="str">
        <f aca="false">IF($A46="","",IF(G46&lt;=0,"Sold",IF((-SUMIFS(Transactions!$E:$E,Transactions!$O:$O,$A46,Transactions!$B:$B,"Sell call")-SUMIFS(Transactions!$E:$E,Transactions!$O:$O,$A46,Transactions!$B:$B,"Buy to close")-SUMIFS(Transactions!$E:$E,Transactions!$O:$O,$A46,Transactions!$B:$B,"Expired")-SUMIFS(Transactions!$E:$E,Transactions!$O:$O,$A46,Transactions!$B:$B,"Assigned"))&gt;0,"Covered","Free")))</f>
        <v/>
      </c>
      <c r="P46" s="26" t="str">
        <f aca="false">IF(OR(I46="",G46&lt;=0),"",CEILING(MAX(I46,N(L46)),IF(E46&lt;50,0.5,IF(E46&lt;200,1,5))))</f>
        <v/>
      </c>
      <c r="Q46" s="8" t="str">
        <f aca="true">IF(OR(N46="",G46&lt;=0),"",IF(N46&gt;=0,"",IF(COUNTIFS($B:$B,B46,$C:$C,"&gt;="&amp;(TODAY()-30),$C:$C,"&lt;="&amp;TODAY(),$A:$A,"&lt;&gt;"&amp;$A46)&gt;0,"Loss sale now = wash sale","OK to harvest loss")))</f>
        <v/>
      </c>
      <c r="R46" s="14" t="str">
        <f aca="false">IF(OR($A46="",N(F46)&lt;=0),"",SUMIFS(Transactions!$J:$J,Transactions!$O:$O,$A46,Transactions!$B:$B,"Sell shares")-E46*F46)</f>
        <v/>
      </c>
      <c r="S46" s="10" t="str">
        <f aca="false">IF(OR($A46="",N(F46)&lt;=0),"",_xlfn.MAXIFS(Transactions!$A:$A,Transactions!$O:$O,$A46,Transactions!$B:$B,"Sell shares"))</f>
        <v/>
      </c>
      <c r="T46" s="14" t="str">
        <f aca="false">IF(OR($A46="",E46=""),"",E46*G46)</f>
        <v/>
      </c>
    </row>
    <row r="47" customFormat="false" ht="15" hidden="false" customHeight="false" outlineLevel="0" collapsed="false">
      <c r="A47" s="21"/>
      <c r="B47" s="8" t="str">
        <f aca="false">IF($A47="","",IFERROR(INDEX(Transactions!$C:$C,MATCH($A47,Transactions!$O:$O,0)),""))</f>
        <v/>
      </c>
      <c r="C47" s="10" t="str">
        <f aca="false">IF($A47="","",IF(COUNTIFS(Transactions!$O:$O,$A47,Transactions!$B:$B,"Buy shares")=0,"",_xlfn.MINIFS(Transactions!$A:$A,Transactions!$O:$O,$A47,Transactions!$B:$B,"Buy shares")))</f>
        <v/>
      </c>
      <c r="D47" s="18" t="str">
        <f aca="false">IF($A47="","",SUMIFS(Transactions!$E:$E,Transactions!$O:$O,$A47,Transactions!$B:$B,"Buy shares"))</f>
        <v/>
      </c>
      <c r="E47" s="26" t="str">
        <f aca="false">IF($A47="","",IF(D47=0,"",-SUMIFS(Transactions!$J:$J,Transactions!$O:$O,$A47,Transactions!$B:$B,"Buy shares")/D47))</f>
        <v/>
      </c>
      <c r="F47" s="18" t="str">
        <f aca="false">IF($A47="","",-SUMIFS(Transactions!$E:$E,Transactions!$O:$O,$A47,Transactions!$B:$B,"Sell shares"))</f>
        <v/>
      </c>
      <c r="G47" s="18" t="str">
        <f aca="false">IF($A47="","",D47-F47)</f>
        <v/>
      </c>
      <c r="H47" s="14" t="str">
        <f aca="false">IF($A47="","",SUMIFS(Transactions!$J:$J,Transactions!$O:$O,$A47,Transactions!$B:$B,"Sell call")+SUMIFS(Transactions!$J:$J,Transactions!$O:$O,$A47,Transactions!$B:$B,"Buy to close"))</f>
        <v/>
      </c>
      <c r="I47" s="26" t="str">
        <f aca="false">IF(OR($A47="",E47=""),"",E47-H47/D47)</f>
        <v/>
      </c>
      <c r="J47" s="26" t="str">
        <f aca="false">IF($A47="","",IFERROR(INDEX(Positions!$K:$K,MATCH(B47,Positions!$B:$B,0)),""))</f>
        <v/>
      </c>
      <c r="K47" s="23"/>
      <c r="L47" s="26" t="str">
        <f aca="false">IF($A47="","",IF(K47&lt;&gt;"",K47,J47))</f>
        <v/>
      </c>
      <c r="M47" s="14" t="str">
        <f aca="false">IF(OR($A47="",L47=""),"",L47*G47)</f>
        <v/>
      </c>
      <c r="N47" s="14" t="str">
        <f aca="false">IF(OR(M47="",E47=""),"",(L47-E47)*G47)</f>
        <v/>
      </c>
      <c r="O47" s="8" t="str">
        <f aca="false">IF($A47="","",IF(G47&lt;=0,"Sold",IF((-SUMIFS(Transactions!$E:$E,Transactions!$O:$O,$A47,Transactions!$B:$B,"Sell call")-SUMIFS(Transactions!$E:$E,Transactions!$O:$O,$A47,Transactions!$B:$B,"Buy to close")-SUMIFS(Transactions!$E:$E,Transactions!$O:$O,$A47,Transactions!$B:$B,"Expired")-SUMIFS(Transactions!$E:$E,Transactions!$O:$O,$A47,Transactions!$B:$B,"Assigned"))&gt;0,"Covered","Free")))</f>
        <v/>
      </c>
      <c r="P47" s="26" t="str">
        <f aca="false">IF(OR(I47="",G47&lt;=0),"",CEILING(MAX(I47,N(L47)),IF(E47&lt;50,0.5,IF(E47&lt;200,1,5))))</f>
        <v/>
      </c>
      <c r="Q47" s="8" t="str">
        <f aca="true">IF(OR(N47="",G47&lt;=0),"",IF(N47&gt;=0,"",IF(COUNTIFS($B:$B,B47,$C:$C,"&gt;="&amp;(TODAY()-30),$C:$C,"&lt;="&amp;TODAY(),$A:$A,"&lt;&gt;"&amp;$A47)&gt;0,"Loss sale now = wash sale","OK to harvest loss")))</f>
        <v/>
      </c>
      <c r="R47" s="14" t="str">
        <f aca="false">IF(OR($A47="",N(F47)&lt;=0),"",SUMIFS(Transactions!$J:$J,Transactions!$O:$O,$A47,Transactions!$B:$B,"Sell shares")-E47*F47)</f>
        <v/>
      </c>
      <c r="S47" s="10" t="str">
        <f aca="false">IF(OR($A47="",N(F47)&lt;=0),"",_xlfn.MAXIFS(Transactions!$A:$A,Transactions!$O:$O,$A47,Transactions!$B:$B,"Sell shares"))</f>
        <v/>
      </c>
      <c r="T47" s="14" t="str">
        <f aca="false">IF(OR($A47="",E47=""),"",E47*G47)</f>
        <v/>
      </c>
    </row>
    <row r="48" customFormat="false" ht="15" hidden="false" customHeight="false" outlineLevel="0" collapsed="false">
      <c r="A48" s="21"/>
      <c r="B48" s="8" t="str">
        <f aca="false">IF($A48="","",IFERROR(INDEX(Transactions!$C:$C,MATCH($A48,Transactions!$O:$O,0)),""))</f>
        <v/>
      </c>
      <c r="C48" s="10" t="str">
        <f aca="false">IF($A48="","",IF(COUNTIFS(Transactions!$O:$O,$A48,Transactions!$B:$B,"Buy shares")=0,"",_xlfn.MINIFS(Transactions!$A:$A,Transactions!$O:$O,$A48,Transactions!$B:$B,"Buy shares")))</f>
        <v/>
      </c>
      <c r="D48" s="18" t="str">
        <f aca="false">IF($A48="","",SUMIFS(Transactions!$E:$E,Transactions!$O:$O,$A48,Transactions!$B:$B,"Buy shares"))</f>
        <v/>
      </c>
      <c r="E48" s="26" t="str">
        <f aca="false">IF($A48="","",IF(D48=0,"",-SUMIFS(Transactions!$J:$J,Transactions!$O:$O,$A48,Transactions!$B:$B,"Buy shares")/D48))</f>
        <v/>
      </c>
      <c r="F48" s="18" t="str">
        <f aca="false">IF($A48="","",-SUMIFS(Transactions!$E:$E,Transactions!$O:$O,$A48,Transactions!$B:$B,"Sell shares"))</f>
        <v/>
      </c>
      <c r="G48" s="18" t="str">
        <f aca="false">IF($A48="","",D48-F48)</f>
        <v/>
      </c>
      <c r="H48" s="14" t="str">
        <f aca="false">IF($A48="","",SUMIFS(Transactions!$J:$J,Transactions!$O:$O,$A48,Transactions!$B:$B,"Sell call")+SUMIFS(Transactions!$J:$J,Transactions!$O:$O,$A48,Transactions!$B:$B,"Buy to close"))</f>
        <v/>
      </c>
      <c r="I48" s="26" t="str">
        <f aca="false">IF(OR($A48="",E48=""),"",E48-H48/D48)</f>
        <v/>
      </c>
      <c r="J48" s="26" t="str">
        <f aca="false">IF($A48="","",IFERROR(INDEX(Positions!$K:$K,MATCH(B48,Positions!$B:$B,0)),""))</f>
        <v/>
      </c>
      <c r="K48" s="23"/>
      <c r="L48" s="26" t="str">
        <f aca="false">IF($A48="","",IF(K48&lt;&gt;"",K48,J48))</f>
        <v/>
      </c>
      <c r="M48" s="14" t="str">
        <f aca="false">IF(OR($A48="",L48=""),"",L48*G48)</f>
        <v/>
      </c>
      <c r="N48" s="14" t="str">
        <f aca="false">IF(OR(M48="",E48=""),"",(L48-E48)*G48)</f>
        <v/>
      </c>
      <c r="O48" s="8" t="str">
        <f aca="false">IF($A48="","",IF(G48&lt;=0,"Sold",IF((-SUMIFS(Transactions!$E:$E,Transactions!$O:$O,$A48,Transactions!$B:$B,"Sell call")-SUMIFS(Transactions!$E:$E,Transactions!$O:$O,$A48,Transactions!$B:$B,"Buy to close")-SUMIFS(Transactions!$E:$E,Transactions!$O:$O,$A48,Transactions!$B:$B,"Expired")-SUMIFS(Transactions!$E:$E,Transactions!$O:$O,$A48,Transactions!$B:$B,"Assigned"))&gt;0,"Covered","Free")))</f>
        <v/>
      </c>
      <c r="P48" s="26" t="str">
        <f aca="false">IF(OR(I48="",G48&lt;=0),"",CEILING(MAX(I48,N(L48)),IF(E48&lt;50,0.5,IF(E48&lt;200,1,5))))</f>
        <v/>
      </c>
      <c r="Q48" s="8" t="str">
        <f aca="true">IF(OR(N48="",G48&lt;=0),"",IF(N48&gt;=0,"",IF(COUNTIFS($B:$B,B48,$C:$C,"&gt;="&amp;(TODAY()-30),$C:$C,"&lt;="&amp;TODAY(),$A:$A,"&lt;&gt;"&amp;$A48)&gt;0,"Loss sale now = wash sale","OK to harvest loss")))</f>
        <v/>
      </c>
      <c r="R48" s="14" t="str">
        <f aca="false">IF(OR($A48="",N(F48)&lt;=0),"",SUMIFS(Transactions!$J:$J,Transactions!$O:$O,$A48,Transactions!$B:$B,"Sell shares")-E48*F48)</f>
        <v/>
      </c>
      <c r="S48" s="10" t="str">
        <f aca="false">IF(OR($A48="",N(F48)&lt;=0),"",_xlfn.MAXIFS(Transactions!$A:$A,Transactions!$O:$O,$A48,Transactions!$B:$B,"Sell shares"))</f>
        <v/>
      </c>
      <c r="T48" s="14" t="str">
        <f aca="false">IF(OR($A48="",E48=""),"",E48*G48)</f>
        <v/>
      </c>
    </row>
    <row r="49" customFormat="false" ht="15" hidden="false" customHeight="false" outlineLevel="0" collapsed="false">
      <c r="A49" s="21"/>
      <c r="B49" s="8" t="str">
        <f aca="false">IF($A49="","",IFERROR(INDEX(Transactions!$C:$C,MATCH($A49,Transactions!$O:$O,0)),""))</f>
        <v/>
      </c>
      <c r="C49" s="10" t="str">
        <f aca="false">IF($A49="","",IF(COUNTIFS(Transactions!$O:$O,$A49,Transactions!$B:$B,"Buy shares")=0,"",_xlfn.MINIFS(Transactions!$A:$A,Transactions!$O:$O,$A49,Transactions!$B:$B,"Buy shares")))</f>
        <v/>
      </c>
      <c r="D49" s="18" t="str">
        <f aca="false">IF($A49="","",SUMIFS(Transactions!$E:$E,Transactions!$O:$O,$A49,Transactions!$B:$B,"Buy shares"))</f>
        <v/>
      </c>
      <c r="E49" s="26" t="str">
        <f aca="false">IF($A49="","",IF(D49=0,"",-SUMIFS(Transactions!$J:$J,Transactions!$O:$O,$A49,Transactions!$B:$B,"Buy shares")/D49))</f>
        <v/>
      </c>
      <c r="F49" s="18" t="str">
        <f aca="false">IF($A49="","",-SUMIFS(Transactions!$E:$E,Transactions!$O:$O,$A49,Transactions!$B:$B,"Sell shares"))</f>
        <v/>
      </c>
      <c r="G49" s="18" t="str">
        <f aca="false">IF($A49="","",D49-F49)</f>
        <v/>
      </c>
      <c r="H49" s="14" t="str">
        <f aca="false">IF($A49="","",SUMIFS(Transactions!$J:$J,Transactions!$O:$O,$A49,Transactions!$B:$B,"Sell call")+SUMIFS(Transactions!$J:$J,Transactions!$O:$O,$A49,Transactions!$B:$B,"Buy to close"))</f>
        <v/>
      </c>
      <c r="I49" s="26" t="str">
        <f aca="false">IF(OR($A49="",E49=""),"",E49-H49/D49)</f>
        <v/>
      </c>
      <c r="J49" s="26" t="str">
        <f aca="false">IF($A49="","",IFERROR(INDEX(Positions!$K:$K,MATCH(B49,Positions!$B:$B,0)),""))</f>
        <v/>
      </c>
      <c r="K49" s="23"/>
      <c r="L49" s="26" t="str">
        <f aca="false">IF($A49="","",IF(K49&lt;&gt;"",K49,J49))</f>
        <v/>
      </c>
      <c r="M49" s="14" t="str">
        <f aca="false">IF(OR($A49="",L49=""),"",L49*G49)</f>
        <v/>
      </c>
      <c r="N49" s="14" t="str">
        <f aca="false">IF(OR(M49="",E49=""),"",(L49-E49)*G49)</f>
        <v/>
      </c>
      <c r="O49" s="8" t="str">
        <f aca="false">IF($A49="","",IF(G49&lt;=0,"Sold",IF((-SUMIFS(Transactions!$E:$E,Transactions!$O:$O,$A49,Transactions!$B:$B,"Sell call")-SUMIFS(Transactions!$E:$E,Transactions!$O:$O,$A49,Transactions!$B:$B,"Buy to close")-SUMIFS(Transactions!$E:$E,Transactions!$O:$O,$A49,Transactions!$B:$B,"Expired")-SUMIFS(Transactions!$E:$E,Transactions!$O:$O,$A49,Transactions!$B:$B,"Assigned"))&gt;0,"Covered","Free")))</f>
        <v/>
      </c>
      <c r="P49" s="26" t="str">
        <f aca="false">IF(OR(I49="",G49&lt;=0),"",CEILING(MAX(I49,N(L49)),IF(E49&lt;50,0.5,IF(E49&lt;200,1,5))))</f>
        <v/>
      </c>
      <c r="Q49" s="8" t="str">
        <f aca="true">IF(OR(N49="",G49&lt;=0),"",IF(N49&gt;=0,"",IF(COUNTIFS($B:$B,B49,$C:$C,"&gt;="&amp;(TODAY()-30),$C:$C,"&lt;="&amp;TODAY(),$A:$A,"&lt;&gt;"&amp;$A49)&gt;0,"Loss sale now = wash sale","OK to harvest loss")))</f>
        <v/>
      </c>
      <c r="R49" s="14" t="str">
        <f aca="false">IF(OR($A49="",N(F49)&lt;=0),"",SUMIFS(Transactions!$J:$J,Transactions!$O:$O,$A49,Transactions!$B:$B,"Sell shares")-E49*F49)</f>
        <v/>
      </c>
      <c r="S49" s="10" t="str">
        <f aca="false">IF(OR($A49="",N(F49)&lt;=0),"",_xlfn.MAXIFS(Transactions!$A:$A,Transactions!$O:$O,$A49,Transactions!$B:$B,"Sell shares"))</f>
        <v/>
      </c>
      <c r="T49" s="14" t="str">
        <f aca="false">IF(OR($A49="",E49=""),"",E49*G49)</f>
        <v/>
      </c>
    </row>
    <row r="50" customFormat="false" ht="15" hidden="false" customHeight="false" outlineLevel="0" collapsed="false">
      <c r="A50" s="21"/>
      <c r="B50" s="8" t="str">
        <f aca="false">IF($A50="","",IFERROR(INDEX(Transactions!$C:$C,MATCH($A50,Transactions!$O:$O,0)),""))</f>
        <v/>
      </c>
      <c r="C50" s="10" t="str">
        <f aca="false">IF($A50="","",IF(COUNTIFS(Transactions!$O:$O,$A50,Transactions!$B:$B,"Buy shares")=0,"",_xlfn.MINIFS(Transactions!$A:$A,Transactions!$O:$O,$A50,Transactions!$B:$B,"Buy shares")))</f>
        <v/>
      </c>
      <c r="D50" s="18" t="str">
        <f aca="false">IF($A50="","",SUMIFS(Transactions!$E:$E,Transactions!$O:$O,$A50,Transactions!$B:$B,"Buy shares"))</f>
        <v/>
      </c>
      <c r="E50" s="26" t="str">
        <f aca="false">IF($A50="","",IF(D50=0,"",-SUMIFS(Transactions!$J:$J,Transactions!$O:$O,$A50,Transactions!$B:$B,"Buy shares")/D50))</f>
        <v/>
      </c>
      <c r="F50" s="18" t="str">
        <f aca="false">IF($A50="","",-SUMIFS(Transactions!$E:$E,Transactions!$O:$O,$A50,Transactions!$B:$B,"Sell shares"))</f>
        <v/>
      </c>
      <c r="G50" s="18" t="str">
        <f aca="false">IF($A50="","",D50-F50)</f>
        <v/>
      </c>
      <c r="H50" s="14" t="str">
        <f aca="false">IF($A50="","",SUMIFS(Transactions!$J:$J,Transactions!$O:$O,$A50,Transactions!$B:$B,"Sell call")+SUMIFS(Transactions!$J:$J,Transactions!$O:$O,$A50,Transactions!$B:$B,"Buy to close"))</f>
        <v/>
      </c>
      <c r="I50" s="26" t="str">
        <f aca="false">IF(OR($A50="",E50=""),"",E50-H50/D50)</f>
        <v/>
      </c>
      <c r="J50" s="26" t="str">
        <f aca="false">IF($A50="","",IFERROR(INDEX(Positions!$K:$K,MATCH(B50,Positions!$B:$B,0)),""))</f>
        <v/>
      </c>
      <c r="K50" s="23"/>
      <c r="L50" s="26" t="str">
        <f aca="false">IF($A50="","",IF(K50&lt;&gt;"",K50,J50))</f>
        <v/>
      </c>
      <c r="M50" s="14" t="str">
        <f aca="false">IF(OR($A50="",L50=""),"",L50*G50)</f>
        <v/>
      </c>
      <c r="N50" s="14" t="str">
        <f aca="false">IF(OR(M50="",E50=""),"",(L50-E50)*G50)</f>
        <v/>
      </c>
      <c r="O50" s="8" t="str">
        <f aca="false">IF($A50="","",IF(G50&lt;=0,"Sold",IF((-SUMIFS(Transactions!$E:$E,Transactions!$O:$O,$A50,Transactions!$B:$B,"Sell call")-SUMIFS(Transactions!$E:$E,Transactions!$O:$O,$A50,Transactions!$B:$B,"Buy to close")-SUMIFS(Transactions!$E:$E,Transactions!$O:$O,$A50,Transactions!$B:$B,"Expired")-SUMIFS(Transactions!$E:$E,Transactions!$O:$O,$A50,Transactions!$B:$B,"Assigned"))&gt;0,"Covered","Free")))</f>
        <v/>
      </c>
      <c r="P50" s="26" t="str">
        <f aca="false">IF(OR(I50="",G50&lt;=0),"",CEILING(MAX(I50,N(L50)),IF(E50&lt;50,0.5,IF(E50&lt;200,1,5))))</f>
        <v/>
      </c>
      <c r="Q50" s="8" t="str">
        <f aca="true">IF(OR(N50="",G50&lt;=0),"",IF(N50&gt;=0,"",IF(COUNTIFS($B:$B,B50,$C:$C,"&gt;="&amp;(TODAY()-30),$C:$C,"&lt;="&amp;TODAY(),$A:$A,"&lt;&gt;"&amp;$A50)&gt;0,"Loss sale now = wash sale","OK to harvest loss")))</f>
        <v/>
      </c>
      <c r="R50" s="14" t="str">
        <f aca="false">IF(OR($A50="",N(F50)&lt;=0),"",SUMIFS(Transactions!$J:$J,Transactions!$O:$O,$A50,Transactions!$B:$B,"Sell shares")-E50*F50)</f>
        <v/>
      </c>
      <c r="S50" s="10" t="str">
        <f aca="false">IF(OR($A50="",N(F50)&lt;=0),"",_xlfn.MAXIFS(Transactions!$A:$A,Transactions!$O:$O,$A50,Transactions!$B:$B,"Sell shares"))</f>
        <v/>
      </c>
      <c r="T50" s="14" t="str">
        <f aca="false">IF(OR($A50="",E50=""),"",E50*G50)</f>
        <v/>
      </c>
    </row>
    <row r="51" customFormat="false" ht="15" hidden="false" customHeight="false" outlineLevel="0" collapsed="false">
      <c r="A51" s="21"/>
      <c r="B51" s="8" t="str">
        <f aca="false">IF($A51="","",IFERROR(INDEX(Transactions!$C:$C,MATCH($A51,Transactions!$O:$O,0)),""))</f>
        <v/>
      </c>
      <c r="C51" s="10" t="str">
        <f aca="false">IF($A51="","",IF(COUNTIFS(Transactions!$O:$O,$A51,Transactions!$B:$B,"Buy shares")=0,"",_xlfn.MINIFS(Transactions!$A:$A,Transactions!$O:$O,$A51,Transactions!$B:$B,"Buy shares")))</f>
        <v/>
      </c>
      <c r="D51" s="18" t="str">
        <f aca="false">IF($A51="","",SUMIFS(Transactions!$E:$E,Transactions!$O:$O,$A51,Transactions!$B:$B,"Buy shares"))</f>
        <v/>
      </c>
      <c r="E51" s="26" t="str">
        <f aca="false">IF($A51="","",IF(D51=0,"",-SUMIFS(Transactions!$J:$J,Transactions!$O:$O,$A51,Transactions!$B:$B,"Buy shares")/D51))</f>
        <v/>
      </c>
      <c r="F51" s="18" t="str">
        <f aca="false">IF($A51="","",-SUMIFS(Transactions!$E:$E,Transactions!$O:$O,$A51,Transactions!$B:$B,"Sell shares"))</f>
        <v/>
      </c>
      <c r="G51" s="18" t="str">
        <f aca="false">IF($A51="","",D51-F51)</f>
        <v/>
      </c>
      <c r="H51" s="14" t="str">
        <f aca="false">IF($A51="","",SUMIFS(Transactions!$J:$J,Transactions!$O:$O,$A51,Transactions!$B:$B,"Sell call")+SUMIFS(Transactions!$J:$J,Transactions!$O:$O,$A51,Transactions!$B:$B,"Buy to close"))</f>
        <v/>
      </c>
      <c r="I51" s="26" t="str">
        <f aca="false">IF(OR($A51="",E51=""),"",E51-H51/D51)</f>
        <v/>
      </c>
      <c r="J51" s="26" t="str">
        <f aca="false">IF($A51="","",IFERROR(INDEX(Positions!$K:$K,MATCH(B51,Positions!$B:$B,0)),""))</f>
        <v/>
      </c>
      <c r="K51" s="23"/>
      <c r="L51" s="26" t="str">
        <f aca="false">IF($A51="","",IF(K51&lt;&gt;"",K51,J51))</f>
        <v/>
      </c>
      <c r="M51" s="14" t="str">
        <f aca="false">IF(OR($A51="",L51=""),"",L51*G51)</f>
        <v/>
      </c>
      <c r="N51" s="14" t="str">
        <f aca="false">IF(OR(M51="",E51=""),"",(L51-E51)*G51)</f>
        <v/>
      </c>
      <c r="O51" s="8" t="str">
        <f aca="false">IF($A51="","",IF(G51&lt;=0,"Sold",IF((-SUMIFS(Transactions!$E:$E,Transactions!$O:$O,$A51,Transactions!$B:$B,"Sell call")-SUMIFS(Transactions!$E:$E,Transactions!$O:$O,$A51,Transactions!$B:$B,"Buy to close")-SUMIFS(Transactions!$E:$E,Transactions!$O:$O,$A51,Transactions!$B:$B,"Expired")-SUMIFS(Transactions!$E:$E,Transactions!$O:$O,$A51,Transactions!$B:$B,"Assigned"))&gt;0,"Covered","Free")))</f>
        <v/>
      </c>
      <c r="P51" s="26" t="str">
        <f aca="false">IF(OR(I51="",G51&lt;=0),"",CEILING(MAX(I51,N(L51)),IF(E51&lt;50,0.5,IF(E51&lt;200,1,5))))</f>
        <v/>
      </c>
      <c r="Q51" s="8" t="str">
        <f aca="true">IF(OR(N51="",G51&lt;=0),"",IF(N51&gt;=0,"",IF(COUNTIFS($B:$B,B51,$C:$C,"&gt;="&amp;(TODAY()-30),$C:$C,"&lt;="&amp;TODAY(),$A:$A,"&lt;&gt;"&amp;$A51)&gt;0,"Loss sale now = wash sale","OK to harvest loss")))</f>
        <v/>
      </c>
      <c r="R51" s="14" t="str">
        <f aca="false">IF(OR($A51="",N(F51)&lt;=0),"",SUMIFS(Transactions!$J:$J,Transactions!$O:$O,$A51,Transactions!$B:$B,"Sell shares")-E51*F51)</f>
        <v/>
      </c>
      <c r="S51" s="10" t="str">
        <f aca="false">IF(OR($A51="",N(F51)&lt;=0),"",_xlfn.MAXIFS(Transactions!$A:$A,Transactions!$O:$O,$A51,Transactions!$B:$B,"Sell shares"))</f>
        <v/>
      </c>
      <c r="T51" s="14" t="str">
        <f aca="false">IF(OR($A51="",E51=""),"",E51*G51)</f>
        <v/>
      </c>
    </row>
    <row r="52" customFormat="false" ht="15" hidden="false" customHeight="false" outlineLevel="0" collapsed="false">
      <c r="A52" s="21"/>
      <c r="B52" s="8" t="str">
        <f aca="false">IF($A52="","",IFERROR(INDEX(Transactions!$C:$C,MATCH($A52,Transactions!$O:$O,0)),""))</f>
        <v/>
      </c>
      <c r="C52" s="10" t="str">
        <f aca="false">IF($A52="","",IF(COUNTIFS(Transactions!$O:$O,$A52,Transactions!$B:$B,"Buy shares")=0,"",_xlfn.MINIFS(Transactions!$A:$A,Transactions!$O:$O,$A52,Transactions!$B:$B,"Buy shares")))</f>
        <v/>
      </c>
      <c r="D52" s="18" t="str">
        <f aca="false">IF($A52="","",SUMIFS(Transactions!$E:$E,Transactions!$O:$O,$A52,Transactions!$B:$B,"Buy shares"))</f>
        <v/>
      </c>
      <c r="E52" s="26" t="str">
        <f aca="false">IF($A52="","",IF(D52=0,"",-SUMIFS(Transactions!$J:$J,Transactions!$O:$O,$A52,Transactions!$B:$B,"Buy shares")/D52))</f>
        <v/>
      </c>
      <c r="F52" s="18" t="str">
        <f aca="false">IF($A52="","",-SUMIFS(Transactions!$E:$E,Transactions!$O:$O,$A52,Transactions!$B:$B,"Sell shares"))</f>
        <v/>
      </c>
      <c r="G52" s="18" t="str">
        <f aca="false">IF($A52="","",D52-F52)</f>
        <v/>
      </c>
      <c r="H52" s="14" t="str">
        <f aca="false">IF($A52="","",SUMIFS(Transactions!$J:$J,Transactions!$O:$O,$A52,Transactions!$B:$B,"Sell call")+SUMIFS(Transactions!$J:$J,Transactions!$O:$O,$A52,Transactions!$B:$B,"Buy to close"))</f>
        <v/>
      </c>
      <c r="I52" s="26" t="str">
        <f aca="false">IF(OR($A52="",E52=""),"",E52-H52/D52)</f>
        <v/>
      </c>
      <c r="J52" s="26" t="str">
        <f aca="false">IF($A52="","",IFERROR(INDEX(Positions!$K:$K,MATCH(B52,Positions!$B:$B,0)),""))</f>
        <v/>
      </c>
      <c r="K52" s="23"/>
      <c r="L52" s="26" t="str">
        <f aca="false">IF($A52="","",IF(K52&lt;&gt;"",K52,J52))</f>
        <v/>
      </c>
      <c r="M52" s="14" t="str">
        <f aca="false">IF(OR($A52="",L52=""),"",L52*G52)</f>
        <v/>
      </c>
      <c r="N52" s="14" t="str">
        <f aca="false">IF(OR(M52="",E52=""),"",(L52-E52)*G52)</f>
        <v/>
      </c>
      <c r="O52" s="8" t="str">
        <f aca="false">IF($A52="","",IF(G52&lt;=0,"Sold",IF((-SUMIFS(Transactions!$E:$E,Transactions!$O:$O,$A52,Transactions!$B:$B,"Sell call")-SUMIFS(Transactions!$E:$E,Transactions!$O:$O,$A52,Transactions!$B:$B,"Buy to close")-SUMIFS(Transactions!$E:$E,Transactions!$O:$O,$A52,Transactions!$B:$B,"Expired")-SUMIFS(Transactions!$E:$E,Transactions!$O:$O,$A52,Transactions!$B:$B,"Assigned"))&gt;0,"Covered","Free")))</f>
        <v/>
      </c>
      <c r="P52" s="26" t="str">
        <f aca="false">IF(OR(I52="",G52&lt;=0),"",CEILING(MAX(I52,N(L52)),IF(E52&lt;50,0.5,IF(E52&lt;200,1,5))))</f>
        <v/>
      </c>
      <c r="Q52" s="8" t="str">
        <f aca="true">IF(OR(N52="",G52&lt;=0),"",IF(N52&gt;=0,"",IF(COUNTIFS($B:$B,B52,$C:$C,"&gt;="&amp;(TODAY()-30),$C:$C,"&lt;="&amp;TODAY(),$A:$A,"&lt;&gt;"&amp;$A52)&gt;0,"Loss sale now = wash sale","OK to harvest loss")))</f>
        <v/>
      </c>
      <c r="R52" s="14" t="str">
        <f aca="false">IF(OR($A52="",N(F52)&lt;=0),"",SUMIFS(Transactions!$J:$J,Transactions!$O:$O,$A52,Transactions!$B:$B,"Sell shares")-E52*F52)</f>
        <v/>
      </c>
      <c r="S52" s="10" t="str">
        <f aca="false">IF(OR($A52="",N(F52)&lt;=0),"",_xlfn.MAXIFS(Transactions!$A:$A,Transactions!$O:$O,$A52,Transactions!$B:$B,"Sell shares"))</f>
        <v/>
      </c>
      <c r="T52" s="14" t="str">
        <f aca="false">IF(OR($A52="",E52=""),"",E52*G52)</f>
        <v/>
      </c>
    </row>
    <row r="53" customFormat="false" ht="15" hidden="false" customHeight="false" outlineLevel="0" collapsed="false">
      <c r="A53" s="21"/>
      <c r="B53" s="8" t="str">
        <f aca="false">IF($A53="","",IFERROR(INDEX(Transactions!$C:$C,MATCH($A53,Transactions!$O:$O,0)),""))</f>
        <v/>
      </c>
      <c r="C53" s="10" t="str">
        <f aca="false">IF($A53="","",IF(COUNTIFS(Transactions!$O:$O,$A53,Transactions!$B:$B,"Buy shares")=0,"",_xlfn.MINIFS(Transactions!$A:$A,Transactions!$O:$O,$A53,Transactions!$B:$B,"Buy shares")))</f>
        <v/>
      </c>
      <c r="D53" s="18" t="str">
        <f aca="false">IF($A53="","",SUMIFS(Transactions!$E:$E,Transactions!$O:$O,$A53,Transactions!$B:$B,"Buy shares"))</f>
        <v/>
      </c>
      <c r="E53" s="26" t="str">
        <f aca="false">IF($A53="","",IF(D53=0,"",-SUMIFS(Transactions!$J:$J,Transactions!$O:$O,$A53,Transactions!$B:$B,"Buy shares")/D53))</f>
        <v/>
      </c>
      <c r="F53" s="18" t="str">
        <f aca="false">IF($A53="","",-SUMIFS(Transactions!$E:$E,Transactions!$O:$O,$A53,Transactions!$B:$B,"Sell shares"))</f>
        <v/>
      </c>
      <c r="G53" s="18" t="str">
        <f aca="false">IF($A53="","",D53-F53)</f>
        <v/>
      </c>
      <c r="H53" s="14" t="str">
        <f aca="false">IF($A53="","",SUMIFS(Transactions!$J:$J,Transactions!$O:$O,$A53,Transactions!$B:$B,"Sell call")+SUMIFS(Transactions!$J:$J,Transactions!$O:$O,$A53,Transactions!$B:$B,"Buy to close"))</f>
        <v/>
      </c>
      <c r="I53" s="26" t="str">
        <f aca="false">IF(OR($A53="",E53=""),"",E53-H53/D53)</f>
        <v/>
      </c>
      <c r="J53" s="26" t="str">
        <f aca="false">IF($A53="","",IFERROR(INDEX(Positions!$K:$K,MATCH(B53,Positions!$B:$B,0)),""))</f>
        <v/>
      </c>
      <c r="K53" s="23"/>
      <c r="L53" s="26" t="str">
        <f aca="false">IF($A53="","",IF(K53&lt;&gt;"",K53,J53))</f>
        <v/>
      </c>
      <c r="M53" s="14" t="str">
        <f aca="false">IF(OR($A53="",L53=""),"",L53*G53)</f>
        <v/>
      </c>
      <c r="N53" s="14" t="str">
        <f aca="false">IF(OR(M53="",E53=""),"",(L53-E53)*G53)</f>
        <v/>
      </c>
      <c r="O53" s="8" t="str">
        <f aca="false">IF($A53="","",IF(G53&lt;=0,"Sold",IF((-SUMIFS(Transactions!$E:$E,Transactions!$O:$O,$A53,Transactions!$B:$B,"Sell call")-SUMIFS(Transactions!$E:$E,Transactions!$O:$O,$A53,Transactions!$B:$B,"Buy to close")-SUMIFS(Transactions!$E:$E,Transactions!$O:$O,$A53,Transactions!$B:$B,"Expired")-SUMIFS(Transactions!$E:$E,Transactions!$O:$O,$A53,Transactions!$B:$B,"Assigned"))&gt;0,"Covered","Free")))</f>
        <v/>
      </c>
      <c r="P53" s="26" t="str">
        <f aca="false">IF(OR(I53="",G53&lt;=0),"",CEILING(MAX(I53,N(L53)),IF(E53&lt;50,0.5,IF(E53&lt;200,1,5))))</f>
        <v/>
      </c>
      <c r="Q53" s="8" t="str">
        <f aca="true">IF(OR(N53="",G53&lt;=0),"",IF(N53&gt;=0,"",IF(COUNTIFS($B:$B,B53,$C:$C,"&gt;="&amp;(TODAY()-30),$C:$C,"&lt;="&amp;TODAY(),$A:$A,"&lt;&gt;"&amp;$A53)&gt;0,"Loss sale now = wash sale","OK to harvest loss")))</f>
        <v/>
      </c>
      <c r="R53" s="14" t="str">
        <f aca="false">IF(OR($A53="",N(F53)&lt;=0),"",SUMIFS(Transactions!$J:$J,Transactions!$O:$O,$A53,Transactions!$B:$B,"Sell shares")-E53*F53)</f>
        <v/>
      </c>
      <c r="S53" s="10" t="str">
        <f aca="false">IF(OR($A53="",N(F53)&lt;=0),"",_xlfn.MAXIFS(Transactions!$A:$A,Transactions!$O:$O,$A53,Transactions!$B:$B,"Sell shares"))</f>
        <v/>
      </c>
      <c r="T53" s="14" t="str">
        <f aca="false">IF(OR($A53="",E53=""),"",E53*G53)</f>
        <v/>
      </c>
    </row>
    <row r="54" customFormat="false" ht="15" hidden="false" customHeight="false" outlineLevel="0" collapsed="false">
      <c r="A54" s="21"/>
      <c r="B54" s="8" t="str">
        <f aca="false">IF($A54="","",IFERROR(INDEX(Transactions!$C:$C,MATCH($A54,Transactions!$O:$O,0)),""))</f>
        <v/>
      </c>
      <c r="C54" s="10" t="str">
        <f aca="false">IF($A54="","",IF(COUNTIFS(Transactions!$O:$O,$A54,Transactions!$B:$B,"Buy shares")=0,"",_xlfn.MINIFS(Transactions!$A:$A,Transactions!$O:$O,$A54,Transactions!$B:$B,"Buy shares")))</f>
        <v/>
      </c>
      <c r="D54" s="18" t="str">
        <f aca="false">IF($A54="","",SUMIFS(Transactions!$E:$E,Transactions!$O:$O,$A54,Transactions!$B:$B,"Buy shares"))</f>
        <v/>
      </c>
      <c r="E54" s="26" t="str">
        <f aca="false">IF($A54="","",IF(D54=0,"",-SUMIFS(Transactions!$J:$J,Transactions!$O:$O,$A54,Transactions!$B:$B,"Buy shares")/D54))</f>
        <v/>
      </c>
      <c r="F54" s="18" t="str">
        <f aca="false">IF($A54="","",-SUMIFS(Transactions!$E:$E,Transactions!$O:$O,$A54,Transactions!$B:$B,"Sell shares"))</f>
        <v/>
      </c>
      <c r="G54" s="18" t="str">
        <f aca="false">IF($A54="","",D54-F54)</f>
        <v/>
      </c>
      <c r="H54" s="14" t="str">
        <f aca="false">IF($A54="","",SUMIFS(Transactions!$J:$J,Transactions!$O:$O,$A54,Transactions!$B:$B,"Sell call")+SUMIFS(Transactions!$J:$J,Transactions!$O:$O,$A54,Transactions!$B:$B,"Buy to close"))</f>
        <v/>
      </c>
      <c r="I54" s="26" t="str">
        <f aca="false">IF(OR($A54="",E54=""),"",E54-H54/D54)</f>
        <v/>
      </c>
      <c r="J54" s="26" t="str">
        <f aca="false">IF($A54="","",IFERROR(INDEX(Positions!$K:$K,MATCH(B54,Positions!$B:$B,0)),""))</f>
        <v/>
      </c>
      <c r="K54" s="23"/>
      <c r="L54" s="26" t="str">
        <f aca="false">IF($A54="","",IF(K54&lt;&gt;"",K54,J54))</f>
        <v/>
      </c>
      <c r="M54" s="14" t="str">
        <f aca="false">IF(OR($A54="",L54=""),"",L54*G54)</f>
        <v/>
      </c>
      <c r="N54" s="14" t="str">
        <f aca="false">IF(OR(M54="",E54=""),"",(L54-E54)*G54)</f>
        <v/>
      </c>
      <c r="O54" s="8" t="str">
        <f aca="false">IF($A54="","",IF(G54&lt;=0,"Sold",IF((-SUMIFS(Transactions!$E:$E,Transactions!$O:$O,$A54,Transactions!$B:$B,"Sell call")-SUMIFS(Transactions!$E:$E,Transactions!$O:$O,$A54,Transactions!$B:$B,"Buy to close")-SUMIFS(Transactions!$E:$E,Transactions!$O:$O,$A54,Transactions!$B:$B,"Expired")-SUMIFS(Transactions!$E:$E,Transactions!$O:$O,$A54,Transactions!$B:$B,"Assigned"))&gt;0,"Covered","Free")))</f>
        <v/>
      </c>
      <c r="P54" s="26" t="str">
        <f aca="false">IF(OR(I54="",G54&lt;=0),"",CEILING(MAX(I54,N(L54)),IF(E54&lt;50,0.5,IF(E54&lt;200,1,5))))</f>
        <v/>
      </c>
      <c r="Q54" s="8" t="str">
        <f aca="true">IF(OR(N54="",G54&lt;=0),"",IF(N54&gt;=0,"",IF(COUNTIFS($B:$B,B54,$C:$C,"&gt;="&amp;(TODAY()-30),$C:$C,"&lt;="&amp;TODAY(),$A:$A,"&lt;&gt;"&amp;$A54)&gt;0,"Loss sale now = wash sale","OK to harvest loss")))</f>
        <v/>
      </c>
      <c r="R54" s="14" t="str">
        <f aca="false">IF(OR($A54="",N(F54)&lt;=0),"",SUMIFS(Transactions!$J:$J,Transactions!$O:$O,$A54,Transactions!$B:$B,"Sell shares")-E54*F54)</f>
        <v/>
      </c>
      <c r="S54" s="10" t="str">
        <f aca="false">IF(OR($A54="",N(F54)&lt;=0),"",_xlfn.MAXIFS(Transactions!$A:$A,Transactions!$O:$O,$A54,Transactions!$B:$B,"Sell shares"))</f>
        <v/>
      </c>
      <c r="T54" s="14" t="str">
        <f aca="false">IF(OR($A54="",E54=""),"",E54*G54)</f>
        <v/>
      </c>
    </row>
    <row r="55" customFormat="false" ht="15" hidden="false" customHeight="false" outlineLevel="0" collapsed="false">
      <c r="A55" s="21"/>
      <c r="B55" s="8" t="str">
        <f aca="false">IF($A55="","",IFERROR(INDEX(Transactions!$C:$C,MATCH($A55,Transactions!$O:$O,0)),""))</f>
        <v/>
      </c>
      <c r="C55" s="10" t="str">
        <f aca="false">IF($A55="","",IF(COUNTIFS(Transactions!$O:$O,$A55,Transactions!$B:$B,"Buy shares")=0,"",_xlfn.MINIFS(Transactions!$A:$A,Transactions!$O:$O,$A55,Transactions!$B:$B,"Buy shares")))</f>
        <v/>
      </c>
      <c r="D55" s="18" t="str">
        <f aca="false">IF($A55="","",SUMIFS(Transactions!$E:$E,Transactions!$O:$O,$A55,Transactions!$B:$B,"Buy shares"))</f>
        <v/>
      </c>
      <c r="E55" s="26" t="str">
        <f aca="false">IF($A55="","",IF(D55=0,"",-SUMIFS(Transactions!$J:$J,Transactions!$O:$O,$A55,Transactions!$B:$B,"Buy shares")/D55))</f>
        <v/>
      </c>
      <c r="F55" s="18" t="str">
        <f aca="false">IF($A55="","",-SUMIFS(Transactions!$E:$E,Transactions!$O:$O,$A55,Transactions!$B:$B,"Sell shares"))</f>
        <v/>
      </c>
      <c r="G55" s="18" t="str">
        <f aca="false">IF($A55="","",D55-F55)</f>
        <v/>
      </c>
      <c r="H55" s="14" t="str">
        <f aca="false">IF($A55="","",SUMIFS(Transactions!$J:$J,Transactions!$O:$O,$A55,Transactions!$B:$B,"Sell call")+SUMIFS(Transactions!$J:$J,Transactions!$O:$O,$A55,Transactions!$B:$B,"Buy to close"))</f>
        <v/>
      </c>
      <c r="I55" s="26" t="str">
        <f aca="false">IF(OR($A55="",E55=""),"",E55-H55/D55)</f>
        <v/>
      </c>
      <c r="J55" s="26" t="str">
        <f aca="false">IF($A55="","",IFERROR(INDEX(Positions!$K:$K,MATCH(B55,Positions!$B:$B,0)),""))</f>
        <v/>
      </c>
      <c r="K55" s="23"/>
      <c r="L55" s="26" t="str">
        <f aca="false">IF($A55="","",IF(K55&lt;&gt;"",K55,J55))</f>
        <v/>
      </c>
      <c r="M55" s="14" t="str">
        <f aca="false">IF(OR($A55="",L55=""),"",L55*G55)</f>
        <v/>
      </c>
      <c r="N55" s="14" t="str">
        <f aca="false">IF(OR(M55="",E55=""),"",(L55-E55)*G55)</f>
        <v/>
      </c>
      <c r="O55" s="8" t="str">
        <f aca="false">IF($A55="","",IF(G55&lt;=0,"Sold",IF((-SUMIFS(Transactions!$E:$E,Transactions!$O:$O,$A55,Transactions!$B:$B,"Sell call")-SUMIFS(Transactions!$E:$E,Transactions!$O:$O,$A55,Transactions!$B:$B,"Buy to close")-SUMIFS(Transactions!$E:$E,Transactions!$O:$O,$A55,Transactions!$B:$B,"Expired")-SUMIFS(Transactions!$E:$E,Transactions!$O:$O,$A55,Transactions!$B:$B,"Assigned"))&gt;0,"Covered","Free")))</f>
        <v/>
      </c>
      <c r="P55" s="26" t="str">
        <f aca="false">IF(OR(I55="",G55&lt;=0),"",CEILING(MAX(I55,N(L55)),IF(E55&lt;50,0.5,IF(E55&lt;200,1,5))))</f>
        <v/>
      </c>
      <c r="Q55" s="8" t="str">
        <f aca="true">IF(OR(N55="",G55&lt;=0),"",IF(N55&gt;=0,"",IF(COUNTIFS($B:$B,B55,$C:$C,"&gt;="&amp;(TODAY()-30),$C:$C,"&lt;="&amp;TODAY(),$A:$A,"&lt;&gt;"&amp;$A55)&gt;0,"Loss sale now = wash sale","OK to harvest loss")))</f>
        <v/>
      </c>
      <c r="R55" s="14" t="str">
        <f aca="false">IF(OR($A55="",N(F55)&lt;=0),"",SUMIFS(Transactions!$J:$J,Transactions!$O:$O,$A55,Transactions!$B:$B,"Sell shares")-E55*F55)</f>
        <v/>
      </c>
      <c r="S55" s="10" t="str">
        <f aca="false">IF(OR($A55="",N(F55)&lt;=0),"",_xlfn.MAXIFS(Transactions!$A:$A,Transactions!$O:$O,$A55,Transactions!$B:$B,"Sell shares"))</f>
        <v/>
      </c>
      <c r="T55" s="14" t="str">
        <f aca="false">IF(OR($A55="",E55=""),"",E55*G55)</f>
        <v/>
      </c>
    </row>
    <row r="56" customFormat="false" ht="15" hidden="false" customHeight="false" outlineLevel="0" collapsed="false">
      <c r="A56" s="21"/>
      <c r="B56" s="8" t="str">
        <f aca="false">IF($A56="","",IFERROR(INDEX(Transactions!$C:$C,MATCH($A56,Transactions!$O:$O,0)),""))</f>
        <v/>
      </c>
      <c r="C56" s="10" t="str">
        <f aca="false">IF($A56="","",IF(COUNTIFS(Transactions!$O:$O,$A56,Transactions!$B:$B,"Buy shares")=0,"",_xlfn.MINIFS(Transactions!$A:$A,Transactions!$O:$O,$A56,Transactions!$B:$B,"Buy shares")))</f>
        <v/>
      </c>
      <c r="D56" s="18" t="str">
        <f aca="false">IF($A56="","",SUMIFS(Transactions!$E:$E,Transactions!$O:$O,$A56,Transactions!$B:$B,"Buy shares"))</f>
        <v/>
      </c>
      <c r="E56" s="26" t="str">
        <f aca="false">IF($A56="","",IF(D56=0,"",-SUMIFS(Transactions!$J:$J,Transactions!$O:$O,$A56,Transactions!$B:$B,"Buy shares")/D56))</f>
        <v/>
      </c>
      <c r="F56" s="18" t="str">
        <f aca="false">IF($A56="","",-SUMIFS(Transactions!$E:$E,Transactions!$O:$O,$A56,Transactions!$B:$B,"Sell shares"))</f>
        <v/>
      </c>
      <c r="G56" s="18" t="str">
        <f aca="false">IF($A56="","",D56-F56)</f>
        <v/>
      </c>
      <c r="H56" s="14" t="str">
        <f aca="false">IF($A56="","",SUMIFS(Transactions!$J:$J,Transactions!$O:$O,$A56,Transactions!$B:$B,"Sell call")+SUMIFS(Transactions!$J:$J,Transactions!$O:$O,$A56,Transactions!$B:$B,"Buy to close"))</f>
        <v/>
      </c>
      <c r="I56" s="26" t="str">
        <f aca="false">IF(OR($A56="",E56=""),"",E56-H56/D56)</f>
        <v/>
      </c>
      <c r="J56" s="26" t="str">
        <f aca="false">IF($A56="","",IFERROR(INDEX(Positions!$K:$K,MATCH(B56,Positions!$B:$B,0)),""))</f>
        <v/>
      </c>
      <c r="K56" s="23"/>
      <c r="L56" s="26" t="str">
        <f aca="false">IF($A56="","",IF(K56&lt;&gt;"",K56,J56))</f>
        <v/>
      </c>
      <c r="M56" s="14" t="str">
        <f aca="false">IF(OR($A56="",L56=""),"",L56*G56)</f>
        <v/>
      </c>
      <c r="N56" s="14" t="str">
        <f aca="false">IF(OR(M56="",E56=""),"",(L56-E56)*G56)</f>
        <v/>
      </c>
      <c r="O56" s="8" t="str">
        <f aca="false">IF($A56="","",IF(G56&lt;=0,"Sold",IF((-SUMIFS(Transactions!$E:$E,Transactions!$O:$O,$A56,Transactions!$B:$B,"Sell call")-SUMIFS(Transactions!$E:$E,Transactions!$O:$O,$A56,Transactions!$B:$B,"Buy to close")-SUMIFS(Transactions!$E:$E,Transactions!$O:$O,$A56,Transactions!$B:$B,"Expired")-SUMIFS(Transactions!$E:$E,Transactions!$O:$O,$A56,Transactions!$B:$B,"Assigned"))&gt;0,"Covered","Free")))</f>
        <v/>
      </c>
      <c r="P56" s="26" t="str">
        <f aca="false">IF(OR(I56="",G56&lt;=0),"",CEILING(MAX(I56,N(L56)),IF(E56&lt;50,0.5,IF(E56&lt;200,1,5))))</f>
        <v/>
      </c>
      <c r="Q56" s="8" t="str">
        <f aca="true">IF(OR(N56="",G56&lt;=0),"",IF(N56&gt;=0,"",IF(COUNTIFS($B:$B,B56,$C:$C,"&gt;="&amp;(TODAY()-30),$C:$C,"&lt;="&amp;TODAY(),$A:$A,"&lt;&gt;"&amp;$A56)&gt;0,"Loss sale now = wash sale","OK to harvest loss")))</f>
        <v/>
      </c>
      <c r="R56" s="14" t="str">
        <f aca="false">IF(OR($A56="",N(F56)&lt;=0),"",SUMIFS(Transactions!$J:$J,Transactions!$O:$O,$A56,Transactions!$B:$B,"Sell shares")-E56*F56)</f>
        <v/>
      </c>
      <c r="S56" s="10" t="str">
        <f aca="false">IF(OR($A56="",N(F56)&lt;=0),"",_xlfn.MAXIFS(Transactions!$A:$A,Transactions!$O:$O,$A56,Transactions!$B:$B,"Sell shares"))</f>
        <v/>
      </c>
      <c r="T56" s="14" t="str">
        <f aca="false">IF(OR($A56="",E56=""),"",E56*G56)</f>
        <v/>
      </c>
    </row>
    <row r="57" customFormat="false" ht="15" hidden="false" customHeight="false" outlineLevel="0" collapsed="false">
      <c r="A57" s="21"/>
      <c r="B57" s="8" t="str">
        <f aca="false">IF($A57="","",IFERROR(INDEX(Transactions!$C:$C,MATCH($A57,Transactions!$O:$O,0)),""))</f>
        <v/>
      </c>
      <c r="C57" s="10" t="str">
        <f aca="false">IF($A57="","",IF(COUNTIFS(Transactions!$O:$O,$A57,Transactions!$B:$B,"Buy shares")=0,"",_xlfn.MINIFS(Transactions!$A:$A,Transactions!$O:$O,$A57,Transactions!$B:$B,"Buy shares")))</f>
        <v/>
      </c>
      <c r="D57" s="18" t="str">
        <f aca="false">IF($A57="","",SUMIFS(Transactions!$E:$E,Transactions!$O:$O,$A57,Transactions!$B:$B,"Buy shares"))</f>
        <v/>
      </c>
      <c r="E57" s="26" t="str">
        <f aca="false">IF($A57="","",IF(D57=0,"",-SUMIFS(Transactions!$J:$J,Transactions!$O:$O,$A57,Transactions!$B:$B,"Buy shares")/D57))</f>
        <v/>
      </c>
      <c r="F57" s="18" t="str">
        <f aca="false">IF($A57="","",-SUMIFS(Transactions!$E:$E,Transactions!$O:$O,$A57,Transactions!$B:$B,"Sell shares"))</f>
        <v/>
      </c>
      <c r="G57" s="18" t="str">
        <f aca="false">IF($A57="","",D57-F57)</f>
        <v/>
      </c>
      <c r="H57" s="14" t="str">
        <f aca="false">IF($A57="","",SUMIFS(Transactions!$J:$J,Transactions!$O:$O,$A57,Transactions!$B:$B,"Sell call")+SUMIFS(Transactions!$J:$J,Transactions!$O:$O,$A57,Transactions!$B:$B,"Buy to close"))</f>
        <v/>
      </c>
      <c r="I57" s="26" t="str">
        <f aca="false">IF(OR($A57="",E57=""),"",E57-H57/D57)</f>
        <v/>
      </c>
      <c r="J57" s="26" t="str">
        <f aca="false">IF($A57="","",IFERROR(INDEX(Positions!$K:$K,MATCH(B57,Positions!$B:$B,0)),""))</f>
        <v/>
      </c>
      <c r="K57" s="23"/>
      <c r="L57" s="26" t="str">
        <f aca="false">IF($A57="","",IF(K57&lt;&gt;"",K57,J57))</f>
        <v/>
      </c>
      <c r="M57" s="14" t="str">
        <f aca="false">IF(OR($A57="",L57=""),"",L57*G57)</f>
        <v/>
      </c>
      <c r="N57" s="14" t="str">
        <f aca="false">IF(OR(M57="",E57=""),"",(L57-E57)*G57)</f>
        <v/>
      </c>
      <c r="O57" s="8" t="str">
        <f aca="false">IF($A57="","",IF(G57&lt;=0,"Sold",IF((-SUMIFS(Transactions!$E:$E,Transactions!$O:$O,$A57,Transactions!$B:$B,"Sell call")-SUMIFS(Transactions!$E:$E,Transactions!$O:$O,$A57,Transactions!$B:$B,"Buy to close")-SUMIFS(Transactions!$E:$E,Transactions!$O:$O,$A57,Transactions!$B:$B,"Expired")-SUMIFS(Transactions!$E:$E,Transactions!$O:$O,$A57,Transactions!$B:$B,"Assigned"))&gt;0,"Covered","Free")))</f>
        <v/>
      </c>
      <c r="P57" s="26" t="str">
        <f aca="false">IF(OR(I57="",G57&lt;=0),"",CEILING(MAX(I57,N(L57)),IF(E57&lt;50,0.5,IF(E57&lt;200,1,5))))</f>
        <v/>
      </c>
      <c r="Q57" s="8" t="str">
        <f aca="true">IF(OR(N57="",G57&lt;=0),"",IF(N57&gt;=0,"",IF(COUNTIFS($B:$B,B57,$C:$C,"&gt;="&amp;(TODAY()-30),$C:$C,"&lt;="&amp;TODAY(),$A:$A,"&lt;&gt;"&amp;$A57)&gt;0,"Loss sale now = wash sale","OK to harvest loss")))</f>
        <v/>
      </c>
      <c r="R57" s="14" t="str">
        <f aca="false">IF(OR($A57="",N(F57)&lt;=0),"",SUMIFS(Transactions!$J:$J,Transactions!$O:$O,$A57,Transactions!$B:$B,"Sell shares")-E57*F57)</f>
        <v/>
      </c>
      <c r="S57" s="10" t="str">
        <f aca="false">IF(OR($A57="",N(F57)&lt;=0),"",_xlfn.MAXIFS(Transactions!$A:$A,Transactions!$O:$O,$A57,Transactions!$B:$B,"Sell shares"))</f>
        <v/>
      </c>
      <c r="T57" s="14" t="str">
        <f aca="false">IF(OR($A57="",E57=""),"",E57*G57)</f>
        <v/>
      </c>
    </row>
    <row r="58" customFormat="false" ht="15" hidden="false" customHeight="false" outlineLevel="0" collapsed="false">
      <c r="A58" s="21"/>
      <c r="B58" s="8" t="str">
        <f aca="false">IF($A58="","",IFERROR(INDEX(Transactions!$C:$C,MATCH($A58,Transactions!$O:$O,0)),""))</f>
        <v/>
      </c>
      <c r="C58" s="10" t="str">
        <f aca="false">IF($A58="","",IF(COUNTIFS(Transactions!$O:$O,$A58,Transactions!$B:$B,"Buy shares")=0,"",_xlfn.MINIFS(Transactions!$A:$A,Transactions!$O:$O,$A58,Transactions!$B:$B,"Buy shares")))</f>
        <v/>
      </c>
      <c r="D58" s="18" t="str">
        <f aca="false">IF($A58="","",SUMIFS(Transactions!$E:$E,Transactions!$O:$O,$A58,Transactions!$B:$B,"Buy shares"))</f>
        <v/>
      </c>
      <c r="E58" s="26" t="str">
        <f aca="false">IF($A58="","",IF(D58=0,"",-SUMIFS(Transactions!$J:$J,Transactions!$O:$O,$A58,Transactions!$B:$B,"Buy shares")/D58))</f>
        <v/>
      </c>
      <c r="F58" s="18" t="str">
        <f aca="false">IF($A58="","",-SUMIFS(Transactions!$E:$E,Transactions!$O:$O,$A58,Transactions!$B:$B,"Sell shares"))</f>
        <v/>
      </c>
      <c r="G58" s="18" t="str">
        <f aca="false">IF($A58="","",D58-F58)</f>
        <v/>
      </c>
      <c r="H58" s="14" t="str">
        <f aca="false">IF($A58="","",SUMIFS(Transactions!$J:$J,Transactions!$O:$O,$A58,Transactions!$B:$B,"Sell call")+SUMIFS(Transactions!$J:$J,Transactions!$O:$O,$A58,Transactions!$B:$B,"Buy to close"))</f>
        <v/>
      </c>
      <c r="I58" s="26" t="str">
        <f aca="false">IF(OR($A58="",E58=""),"",E58-H58/D58)</f>
        <v/>
      </c>
      <c r="J58" s="26" t="str">
        <f aca="false">IF($A58="","",IFERROR(INDEX(Positions!$K:$K,MATCH(B58,Positions!$B:$B,0)),""))</f>
        <v/>
      </c>
      <c r="K58" s="23"/>
      <c r="L58" s="26" t="str">
        <f aca="false">IF($A58="","",IF(K58&lt;&gt;"",K58,J58))</f>
        <v/>
      </c>
      <c r="M58" s="14" t="str">
        <f aca="false">IF(OR($A58="",L58=""),"",L58*G58)</f>
        <v/>
      </c>
      <c r="N58" s="14" t="str">
        <f aca="false">IF(OR(M58="",E58=""),"",(L58-E58)*G58)</f>
        <v/>
      </c>
      <c r="O58" s="8" t="str">
        <f aca="false">IF($A58="","",IF(G58&lt;=0,"Sold",IF((-SUMIFS(Transactions!$E:$E,Transactions!$O:$O,$A58,Transactions!$B:$B,"Sell call")-SUMIFS(Transactions!$E:$E,Transactions!$O:$O,$A58,Transactions!$B:$B,"Buy to close")-SUMIFS(Transactions!$E:$E,Transactions!$O:$O,$A58,Transactions!$B:$B,"Expired")-SUMIFS(Transactions!$E:$E,Transactions!$O:$O,$A58,Transactions!$B:$B,"Assigned"))&gt;0,"Covered","Free")))</f>
        <v/>
      </c>
      <c r="P58" s="26" t="str">
        <f aca="false">IF(OR(I58="",G58&lt;=0),"",CEILING(MAX(I58,N(L58)),IF(E58&lt;50,0.5,IF(E58&lt;200,1,5))))</f>
        <v/>
      </c>
      <c r="Q58" s="8" t="str">
        <f aca="true">IF(OR(N58="",G58&lt;=0),"",IF(N58&gt;=0,"",IF(COUNTIFS($B:$B,B58,$C:$C,"&gt;="&amp;(TODAY()-30),$C:$C,"&lt;="&amp;TODAY(),$A:$A,"&lt;&gt;"&amp;$A58)&gt;0,"Loss sale now = wash sale","OK to harvest loss")))</f>
        <v/>
      </c>
      <c r="R58" s="14" t="str">
        <f aca="false">IF(OR($A58="",N(F58)&lt;=0),"",SUMIFS(Transactions!$J:$J,Transactions!$O:$O,$A58,Transactions!$B:$B,"Sell shares")-E58*F58)</f>
        <v/>
      </c>
      <c r="S58" s="10" t="str">
        <f aca="false">IF(OR($A58="",N(F58)&lt;=0),"",_xlfn.MAXIFS(Transactions!$A:$A,Transactions!$O:$O,$A58,Transactions!$B:$B,"Sell shares"))</f>
        <v/>
      </c>
      <c r="T58" s="14" t="str">
        <f aca="false">IF(OR($A58="",E58=""),"",E58*G58)</f>
        <v/>
      </c>
    </row>
    <row r="59" customFormat="false" ht="15" hidden="false" customHeight="false" outlineLevel="0" collapsed="false">
      <c r="A59" s="21"/>
      <c r="B59" s="8" t="str">
        <f aca="false">IF($A59="","",IFERROR(INDEX(Transactions!$C:$C,MATCH($A59,Transactions!$O:$O,0)),""))</f>
        <v/>
      </c>
      <c r="C59" s="10" t="str">
        <f aca="false">IF($A59="","",IF(COUNTIFS(Transactions!$O:$O,$A59,Transactions!$B:$B,"Buy shares")=0,"",_xlfn.MINIFS(Transactions!$A:$A,Transactions!$O:$O,$A59,Transactions!$B:$B,"Buy shares")))</f>
        <v/>
      </c>
      <c r="D59" s="18" t="str">
        <f aca="false">IF($A59="","",SUMIFS(Transactions!$E:$E,Transactions!$O:$O,$A59,Transactions!$B:$B,"Buy shares"))</f>
        <v/>
      </c>
      <c r="E59" s="26" t="str">
        <f aca="false">IF($A59="","",IF(D59=0,"",-SUMIFS(Transactions!$J:$J,Transactions!$O:$O,$A59,Transactions!$B:$B,"Buy shares")/D59))</f>
        <v/>
      </c>
      <c r="F59" s="18" t="str">
        <f aca="false">IF($A59="","",-SUMIFS(Transactions!$E:$E,Transactions!$O:$O,$A59,Transactions!$B:$B,"Sell shares"))</f>
        <v/>
      </c>
      <c r="G59" s="18" t="str">
        <f aca="false">IF($A59="","",D59-F59)</f>
        <v/>
      </c>
      <c r="H59" s="14" t="str">
        <f aca="false">IF($A59="","",SUMIFS(Transactions!$J:$J,Transactions!$O:$O,$A59,Transactions!$B:$B,"Sell call")+SUMIFS(Transactions!$J:$J,Transactions!$O:$O,$A59,Transactions!$B:$B,"Buy to close"))</f>
        <v/>
      </c>
      <c r="I59" s="26" t="str">
        <f aca="false">IF(OR($A59="",E59=""),"",E59-H59/D59)</f>
        <v/>
      </c>
      <c r="J59" s="26" t="str">
        <f aca="false">IF($A59="","",IFERROR(INDEX(Positions!$K:$K,MATCH(B59,Positions!$B:$B,0)),""))</f>
        <v/>
      </c>
      <c r="K59" s="23"/>
      <c r="L59" s="26" t="str">
        <f aca="false">IF($A59="","",IF(K59&lt;&gt;"",K59,J59))</f>
        <v/>
      </c>
      <c r="M59" s="14" t="str">
        <f aca="false">IF(OR($A59="",L59=""),"",L59*G59)</f>
        <v/>
      </c>
      <c r="N59" s="14" t="str">
        <f aca="false">IF(OR(M59="",E59=""),"",(L59-E59)*G59)</f>
        <v/>
      </c>
      <c r="O59" s="8" t="str">
        <f aca="false">IF($A59="","",IF(G59&lt;=0,"Sold",IF((-SUMIFS(Transactions!$E:$E,Transactions!$O:$O,$A59,Transactions!$B:$B,"Sell call")-SUMIFS(Transactions!$E:$E,Transactions!$O:$O,$A59,Transactions!$B:$B,"Buy to close")-SUMIFS(Transactions!$E:$E,Transactions!$O:$O,$A59,Transactions!$B:$B,"Expired")-SUMIFS(Transactions!$E:$E,Transactions!$O:$O,$A59,Transactions!$B:$B,"Assigned"))&gt;0,"Covered","Free")))</f>
        <v/>
      </c>
      <c r="P59" s="26" t="str">
        <f aca="false">IF(OR(I59="",G59&lt;=0),"",CEILING(MAX(I59,N(L59)),IF(E59&lt;50,0.5,IF(E59&lt;200,1,5))))</f>
        <v/>
      </c>
      <c r="Q59" s="8" t="str">
        <f aca="true">IF(OR(N59="",G59&lt;=0),"",IF(N59&gt;=0,"",IF(COUNTIFS($B:$B,B59,$C:$C,"&gt;="&amp;(TODAY()-30),$C:$C,"&lt;="&amp;TODAY(),$A:$A,"&lt;&gt;"&amp;$A59)&gt;0,"Loss sale now = wash sale","OK to harvest loss")))</f>
        <v/>
      </c>
      <c r="R59" s="14" t="str">
        <f aca="false">IF(OR($A59="",N(F59)&lt;=0),"",SUMIFS(Transactions!$J:$J,Transactions!$O:$O,$A59,Transactions!$B:$B,"Sell shares")-E59*F59)</f>
        <v/>
      </c>
      <c r="S59" s="10" t="str">
        <f aca="false">IF(OR($A59="",N(F59)&lt;=0),"",_xlfn.MAXIFS(Transactions!$A:$A,Transactions!$O:$O,$A59,Transactions!$B:$B,"Sell shares"))</f>
        <v/>
      </c>
      <c r="T59" s="14" t="str">
        <f aca="false">IF(OR($A59="",E59=""),"",E59*G59)</f>
        <v/>
      </c>
    </row>
    <row r="60" customFormat="false" ht="15" hidden="false" customHeight="false" outlineLevel="0" collapsed="false">
      <c r="A60" s="21"/>
      <c r="B60" s="8" t="str">
        <f aca="false">IF($A60="","",IFERROR(INDEX(Transactions!$C:$C,MATCH($A60,Transactions!$O:$O,0)),""))</f>
        <v/>
      </c>
      <c r="C60" s="10" t="str">
        <f aca="false">IF($A60="","",IF(COUNTIFS(Transactions!$O:$O,$A60,Transactions!$B:$B,"Buy shares")=0,"",_xlfn.MINIFS(Transactions!$A:$A,Transactions!$O:$O,$A60,Transactions!$B:$B,"Buy shares")))</f>
        <v/>
      </c>
      <c r="D60" s="18" t="str">
        <f aca="false">IF($A60="","",SUMIFS(Transactions!$E:$E,Transactions!$O:$O,$A60,Transactions!$B:$B,"Buy shares"))</f>
        <v/>
      </c>
      <c r="E60" s="26" t="str">
        <f aca="false">IF($A60="","",IF(D60=0,"",-SUMIFS(Transactions!$J:$J,Transactions!$O:$O,$A60,Transactions!$B:$B,"Buy shares")/D60))</f>
        <v/>
      </c>
      <c r="F60" s="18" t="str">
        <f aca="false">IF($A60="","",-SUMIFS(Transactions!$E:$E,Transactions!$O:$O,$A60,Transactions!$B:$B,"Sell shares"))</f>
        <v/>
      </c>
      <c r="G60" s="18" t="str">
        <f aca="false">IF($A60="","",D60-F60)</f>
        <v/>
      </c>
      <c r="H60" s="14" t="str">
        <f aca="false">IF($A60="","",SUMIFS(Transactions!$J:$J,Transactions!$O:$O,$A60,Transactions!$B:$B,"Sell call")+SUMIFS(Transactions!$J:$J,Transactions!$O:$O,$A60,Transactions!$B:$B,"Buy to close"))</f>
        <v/>
      </c>
      <c r="I60" s="26" t="str">
        <f aca="false">IF(OR($A60="",E60=""),"",E60-H60/D60)</f>
        <v/>
      </c>
      <c r="J60" s="26" t="str">
        <f aca="false">IF($A60="","",IFERROR(INDEX(Positions!$K:$K,MATCH(B60,Positions!$B:$B,0)),""))</f>
        <v/>
      </c>
      <c r="K60" s="23"/>
      <c r="L60" s="26" t="str">
        <f aca="false">IF($A60="","",IF(K60&lt;&gt;"",K60,J60))</f>
        <v/>
      </c>
      <c r="M60" s="14" t="str">
        <f aca="false">IF(OR($A60="",L60=""),"",L60*G60)</f>
        <v/>
      </c>
      <c r="N60" s="14" t="str">
        <f aca="false">IF(OR(M60="",E60=""),"",(L60-E60)*G60)</f>
        <v/>
      </c>
      <c r="O60" s="8" t="str">
        <f aca="false">IF($A60="","",IF(G60&lt;=0,"Sold",IF((-SUMIFS(Transactions!$E:$E,Transactions!$O:$O,$A60,Transactions!$B:$B,"Sell call")-SUMIFS(Transactions!$E:$E,Transactions!$O:$O,$A60,Transactions!$B:$B,"Buy to close")-SUMIFS(Transactions!$E:$E,Transactions!$O:$O,$A60,Transactions!$B:$B,"Expired")-SUMIFS(Transactions!$E:$E,Transactions!$O:$O,$A60,Transactions!$B:$B,"Assigned"))&gt;0,"Covered","Free")))</f>
        <v/>
      </c>
      <c r="P60" s="26" t="str">
        <f aca="false">IF(OR(I60="",G60&lt;=0),"",CEILING(MAX(I60,N(L60)),IF(E60&lt;50,0.5,IF(E60&lt;200,1,5))))</f>
        <v/>
      </c>
      <c r="Q60" s="8" t="str">
        <f aca="true">IF(OR(N60="",G60&lt;=0),"",IF(N60&gt;=0,"",IF(COUNTIFS($B:$B,B60,$C:$C,"&gt;="&amp;(TODAY()-30),$C:$C,"&lt;="&amp;TODAY(),$A:$A,"&lt;&gt;"&amp;$A60)&gt;0,"Loss sale now = wash sale","OK to harvest loss")))</f>
        <v/>
      </c>
      <c r="R60" s="14" t="str">
        <f aca="false">IF(OR($A60="",N(F60)&lt;=0),"",SUMIFS(Transactions!$J:$J,Transactions!$O:$O,$A60,Transactions!$B:$B,"Sell shares")-E60*F60)</f>
        <v/>
      </c>
      <c r="S60" s="10" t="str">
        <f aca="false">IF(OR($A60="",N(F60)&lt;=0),"",_xlfn.MAXIFS(Transactions!$A:$A,Transactions!$O:$O,$A60,Transactions!$B:$B,"Sell shares"))</f>
        <v/>
      </c>
      <c r="T60" s="14" t="str">
        <f aca="false">IF(OR($A60="",E60=""),"",E60*G60)</f>
        <v/>
      </c>
    </row>
    <row r="61" customFormat="false" ht="15" hidden="false" customHeight="false" outlineLevel="0" collapsed="false">
      <c r="A61" s="21"/>
      <c r="B61" s="8" t="str">
        <f aca="false">IF($A61="","",IFERROR(INDEX(Transactions!$C:$C,MATCH($A61,Transactions!$O:$O,0)),""))</f>
        <v/>
      </c>
      <c r="C61" s="10" t="str">
        <f aca="false">IF($A61="","",IF(COUNTIFS(Transactions!$O:$O,$A61,Transactions!$B:$B,"Buy shares")=0,"",_xlfn.MINIFS(Transactions!$A:$A,Transactions!$O:$O,$A61,Transactions!$B:$B,"Buy shares")))</f>
        <v/>
      </c>
      <c r="D61" s="18" t="str">
        <f aca="false">IF($A61="","",SUMIFS(Transactions!$E:$E,Transactions!$O:$O,$A61,Transactions!$B:$B,"Buy shares"))</f>
        <v/>
      </c>
      <c r="E61" s="26" t="str">
        <f aca="false">IF($A61="","",IF(D61=0,"",-SUMIFS(Transactions!$J:$J,Transactions!$O:$O,$A61,Transactions!$B:$B,"Buy shares")/D61))</f>
        <v/>
      </c>
      <c r="F61" s="18" t="str">
        <f aca="false">IF($A61="","",-SUMIFS(Transactions!$E:$E,Transactions!$O:$O,$A61,Transactions!$B:$B,"Sell shares"))</f>
        <v/>
      </c>
      <c r="G61" s="18" t="str">
        <f aca="false">IF($A61="","",D61-F61)</f>
        <v/>
      </c>
      <c r="H61" s="14" t="str">
        <f aca="false">IF($A61="","",SUMIFS(Transactions!$J:$J,Transactions!$O:$O,$A61,Transactions!$B:$B,"Sell call")+SUMIFS(Transactions!$J:$J,Transactions!$O:$O,$A61,Transactions!$B:$B,"Buy to close"))</f>
        <v/>
      </c>
      <c r="I61" s="26" t="str">
        <f aca="false">IF(OR($A61="",E61=""),"",E61-H61/D61)</f>
        <v/>
      </c>
      <c r="J61" s="26" t="str">
        <f aca="false">IF($A61="","",IFERROR(INDEX(Positions!$K:$K,MATCH(B61,Positions!$B:$B,0)),""))</f>
        <v/>
      </c>
      <c r="K61" s="23"/>
      <c r="L61" s="26" t="str">
        <f aca="false">IF($A61="","",IF(K61&lt;&gt;"",K61,J61))</f>
        <v/>
      </c>
      <c r="M61" s="14" t="str">
        <f aca="false">IF(OR($A61="",L61=""),"",L61*G61)</f>
        <v/>
      </c>
      <c r="N61" s="14" t="str">
        <f aca="false">IF(OR(M61="",E61=""),"",(L61-E61)*G61)</f>
        <v/>
      </c>
      <c r="O61" s="8" t="str">
        <f aca="false">IF($A61="","",IF(G61&lt;=0,"Sold",IF((-SUMIFS(Transactions!$E:$E,Transactions!$O:$O,$A61,Transactions!$B:$B,"Sell call")-SUMIFS(Transactions!$E:$E,Transactions!$O:$O,$A61,Transactions!$B:$B,"Buy to close")-SUMIFS(Transactions!$E:$E,Transactions!$O:$O,$A61,Transactions!$B:$B,"Expired")-SUMIFS(Transactions!$E:$E,Transactions!$O:$O,$A61,Transactions!$B:$B,"Assigned"))&gt;0,"Covered","Free")))</f>
        <v/>
      </c>
      <c r="P61" s="26" t="str">
        <f aca="false">IF(OR(I61="",G61&lt;=0),"",CEILING(MAX(I61,N(L61)),IF(E61&lt;50,0.5,IF(E61&lt;200,1,5))))</f>
        <v/>
      </c>
      <c r="Q61" s="8" t="str">
        <f aca="true">IF(OR(N61="",G61&lt;=0),"",IF(N61&gt;=0,"",IF(COUNTIFS($B:$B,B61,$C:$C,"&gt;="&amp;(TODAY()-30),$C:$C,"&lt;="&amp;TODAY(),$A:$A,"&lt;&gt;"&amp;$A61)&gt;0,"Loss sale now = wash sale","OK to harvest loss")))</f>
        <v/>
      </c>
      <c r="R61" s="14" t="str">
        <f aca="false">IF(OR($A61="",N(F61)&lt;=0),"",SUMIFS(Transactions!$J:$J,Transactions!$O:$O,$A61,Transactions!$B:$B,"Sell shares")-E61*F61)</f>
        <v/>
      </c>
      <c r="S61" s="10" t="str">
        <f aca="false">IF(OR($A61="",N(F61)&lt;=0),"",_xlfn.MAXIFS(Transactions!$A:$A,Transactions!$O:$O,$A61,Transactions!$B:$B,"Sell shares"))</f>
        <v/>
      </c>
      <c r="T61" s="14" t="str">
        <f aca="false">IF(OR($A61="",E61=""),"",E61*G61)</f>
        <v/>
      </c>
    </row>
    <row r="62" customFormat="false" ht="15" hidden="false" customHeight="false" outlineLevel="0" collapsed="false">
      <c r="A62" s="21"/>
      <c r="B62" s="8" t="str">
        <f aca="false">IF($A62="","",IFERROR(INDEX(Transactions!$C:$C,MATCH($A62,Transactions!$O:$O,0)),""))</f>
        <v/>
      </c>
      <c r="C62" s="10" t="str">
        <f aca="false">IF($A62="","",IF(COUNTIFS(Transactions!$O:$O,$A62,Transactions!$B:$B,"Buy shares")=0,"",_xlfn.MINIFS(Transactions!$A:$A,Transactions!$O:$O,$A62,Transactions!$B:$B,"Buy shares")))</f>
        <v/>
      </c>
      <c r="D62" s="18" t="str">
        <f aca="false">IF($A62="","",SUMIFS(Transactions!$E:$E,Transactions!$O:$O,$A62,Transactions!$B:$B,"Buy shares"))</f>
        <v/>
      </c>
      <c r="E62" s="26" t="str">
        <f aca="false">IF($A62="","",IF(D62=0,"",-SUMIFS(Transactions!$J:$J,Transactions!$O:$O,$A62,Transactions!$B:$B,"Buy shares")/D62))</f>
        <v/>
      </c>
      <c r="F62" s="18" t="str">
        <f aca="false">IF($A62="","",-SUMIFS(Transactions!$E:$E,Transactions!$O:$O,$A62,Transactions!$B:$B,"Sell shares"))</f>
        <v/>
      </c>
      <c r="G62" s="18" t="str">
        <f aca="false">IF($A62="","",D62-F62)</f>
        <v/>
      </c>
      <c r="H62" s="14" t="str">
        <f aca="false">IF($A62="","",SUMIFS(Transactions!$J:$J,Transactions!$O:$O,$A62,Transactions!$B:$B,"Sell call")+SUMIFS(Transactions!$J:$J,Transactions!$O:$O,$A62,Transactions!$B:$B,"Buy to close"))</f>
        <v/>
      </c>
      <c r="I62" s="26" t="str">
        <f aca="false">IF(OR($A62="",E62=""),"",E62-H62/D62)</f>
        <v/>
      </c>
      <c r="J62" s="26" t="str">
        <f aca="false">IF($A62="","",IFERROR(INDEX(Positions!$K:$K,MATCH(B62,Positions!$B:$B,0)),""))</f>
        <v/>
      </c>
      <c r="K62" s="23"/>
      <c r="L62" s="26" t="str">
        <f aca="false">IF($A62="","",IF(K62&lt;&gt;"",K62,J62))</f>
        <v/>
      </c>
      <c r="M62" s="14" t="str">
        <f aca="false">IF(OR($A62="",L62=""),"",L62*G62)</f>
        <v/>
      </c>
      <c r="N62" s="14" t="str">
        <f aca="false">IF(OR(M62="",E62=""),"",(L62-E62)*G62)</f>
        <v/>
      </c>
      <c r="O62" s="8" t="str">
        <f aca="false">IF($A62="","",IF(G62&lt;=0,"Sold",IF((-SUMIFS(Transactions!$E:$E,Transactions!$O:$O,$A62,Transactions!$B:$B,"Sell call")-SUMIFS(Transactions!$E:$E,Transactions!$O:$O,$A62,Transactions!$B:$B,"Buy to close")-SUMIFS(Transactions!$E:$E,Transactions!$O:$O,$A62,Transactions!$B:$B,"Expired")-SUMIFS(Transactions!$E:$E,Transactions!$O:$O,$A62,Transactions!$B:$B,"Assigned"))&gt;0,"Covered","Free")))</f>
        <v/>
      </c>
      <c r="P62" s="26" t="str">
        <f aca="false">IF(OR(I62="",G62&lt;=0),"",CEILING(MAX(I62,N(L62)),IF(E62&lt;50,0.5,IF(E62&lt;200,1,5))))</f>
        <v/>
      </c>
      <c r="Q62" s="8" t="str">
        <f aca="true">IF(OR(N62="",G62&lt;=0),"",IF(N62&gt;=0,"",IF(COUNTIFS($B:$B,B62,$C:$C,"&gt;="&amp;(TODAY()-30),$C:$C,"&lt;="&amp;TODAY(),$A:$A,"&lt;&gt;"&amp;$A62)&gt;0,"Loss sale now = wash sale","OK to harvest loss")))</f>
        <v/>
      </c>
      <c r="R62" s="14" t="str">
        <f aca="false">IF(OR($A62="",N(F62)&lt;=0),"",SUMIFS(Transactions!$J:$J,Transactions!$O:$O,$A62,Transactions!$B:$B,"Sell shares")-E62*F62)</f>
        <v/>
      </c>
      <c r="S62" s="10" t="str">
        <f aca="false">IF(OR($A62="",N(F62)&lt;=0),"",_xlfn.MAXIFS(Transactions!$A:$A,Transactions!$O:$O,$A62,Transactions!$B:$B,"Sell shares"))</f>
        <v/>
      </c>
      <c r="T62" s="14" t="str">
        <f aca="false">IF(OR($A62="",E62=""),"",E62*G62)</f>
        <v/>
      </c>
    </row>
    <row r="63" customFormat="false" ht="15" hidden="false" customHeight="false" outlineLevel="0" collapsed="false">
      <c r="A63" s="21"/>
      <c r="B63" s="8" t="str">
        <f aca="false">IF($A63="","",IFERROR(INDEX(Transactions!$C:$C,MATCH($A63,Transactions!$O:$O,0)),""))</f>
        <v/>
      </c>
      <c r="C63" s="10" t="str">
        <f aca="false">IF($A63="","",IF(COUNTIFS(Transactions!$O:$O,$A63,Transactions!$B:$B,"Buy shares")=0,"",_xlfn.MINIFS(Transactions!$A:$A,Transactions!$O:$O,$A63,Transactions!$B:$B,"Buy shares")))</f>
        <v/>
      </c>
      <c r="D63" s="18" t="str">
        <f aca="false">IF($A63="","",SUMIFS(Transactions!$E:$E,Transactions!$O:$O,$A63,Transactions!$B:$B,"Buy shares"))</f>
        <v/>
      </c>
      <c r="E63" s="26" t="str">
        <f aca="false">IF($A63="","",IF(D63=0,"",-SUMIFS(Transactions!$J:$J,Transactions!$O:$O,$A63,Transactions!$B:$B,"Buy shares")/D63))</f>
        <v/>
      </c>
      <c r="F63" s="18" t="str">
        <f aca="false">IF($A63="","",-SUMIFS(Transactions!$E:$E,Transactions!$O:$O,$A63,Transactions!$B:$B,"Sell shares"))</f>
        <v/>
      </c>
      <c r="G63" s="18" t="str">
        <f aca="false">IF($A63="","",D63-F63)</f>
        <v/>
      </c>
      <c r="H63" s="14" t="str">
        <f aca="false">IF($A63="","",SUMIFS(Transactions!$J:$J,Transactions!$O:$O,$A63,Transactions!$B:$B,"Sell call")+SUMIFS(Transactions!$J:$J,Transactions!$O:$O,$A63,Transactions!$B:$B,"Buy to close"))</f>
        <v/>
      </c>
      <c r="I63" s="26" t="str">
        <f aca="false">IF(OR($A63="",E63=""),"",E63-H63/D63)</f>
        <v/>
      </c>
      <c r="J63" s="26" t="str">
        <f aca="false">IF($A63="","",IFERROR(INDEX(Positions!$K:$K,MATCH(B63,Positions!$B:$B,0)),""))</f>
        <v/>
      </c>
      <c r="K63" s="23"/>
      <c r="L63" s="26" t="str">
        <f aca="false">IF($A63="","",IF(K63&lt;&gt;"",K63,J63))</f>
        <v/>
      </c>
      <c r="M63" s="14" t="str">
        <f aca="false">IF(OR($A63="",L63=""),"",L63*G63)</f>
        <v/>
      </c>
      <c r="N63" s="14" t="str">
        <f aca="false">IF(OR(M63="",E63=""),"",(L63-E63)*G63)</f>
        <v/>
      </c>
      <c r="O63" s="8" t="str">
        <f aca="false">IF($A63="","",IF(G63&lt;=0,"Sold",IF((-SUMIFS(Transactions!$E:$E,Transactions!$O:$O,$A63,Transactions!$B:$B,"Sell call")-SUMIFS(Transactions!$E:$E,Transactions!$O:$O,$A63,Transactions!$B:$B,"Buy to close")-SUMIFS(Transactions!$E:$E,Transactions!$O:$O,$A63,Transactions!$B:$B,"Expired")-SUMIFS(Transactions!$E:$E,Transactions!$O:$O,$A63,Transactions!$B:$B,"Assigned"))&gt;0,"Covered","Free")))</f>
        <v/>
      </c>
      <c r="P63" s="26" t="str">
        <f aca="false">IF(OR(I63="",G63&lt;=0),"",CEILING(MAX(I63,N(L63)),IF(E63&lt;50,0.5,IF(E63&lt;200,1,5))))</f>
        <v/>
      </c>
      <c r="Q63" s="8" t="str">
        <f aca="true">IF(OR(N63="",G63&lt;=0),"",IF(N63&gt;=0,"",IF(COUNTIFS($B:$B,B63,$C:$C,"&gt;="&amp;(TODAY()-30),$C:$C,"&lt;="&amp;TODAY(),$A:$A,"&lt;&gt;"&amp;$A63)&gt;0,"Loss sale now = wash sale","OK to harvest loss")))</f>
        <v/>
      </c>
      <c r="R63" s="14" t="str">
        <f aca="false">IF(OR($A63="",N(F63)&lt;=0),"",SUMIFS(Transactions!$J:$J,Transactions!$O:$O,$A63,Transactions!$B:$B,"Sell shares")-E63*F63)</f>
        <v/>
      </c>
      <c r="S63" s="10" t="str">
        <f aca="false">IF(OR($A63="",N(F63)&lt;=0),"",_xlfn.MAXIFS(Transactions!$A:$A,Transactions!$O:$O,$A63,Transactions!$B:$B,"Sell shares"))</f>
        <v/>
      </c>
      <c r="T63" s="14" t="str">
        <f aca="false">IF(OR($A63="",E63=""),"",E63*G63)</f>
        <v/>
      </c>
    </row>
    <row r="64" customFormat="false" ht="15" hidden="false" customHeight="false" outlineLevel="0" collapsed="false">
      <c r="A64" s="21"/>
      <c r="B64" s="8" t="str">
        <f aca="false">IF($A64="","",IFERROR(INDEX(Transactions!$C:$C,MATCH($A64,Transactions!$O:$O,0)),""))</f>
        <v/>
      </c>
      <c r="C64" s="10" t="str">
        <f aca="false">IF($A64="","",IF(COUNTIFS(Transactions!$O:$O,$A64,Transactions!$B:$B,"Buy shares")=0,"",_xlfn.MINIFS(Transactions!$A:$A,Transactions!$O:$O,$A64,Transactions!$B:$B,"Buy shares")))</f>
        <v/>
      </c>
      <c r="D64" s="18" t="str">
        <f aca="false">IF($A64="","",SUMIFS(Transactions!$E:$E,Transactions!$O:$O,$A64,Transactions!$B:$B,"Buy shares"))</f>
        <v/>
      </c>
      <c r="E64" s="26" t="str">
        <f aca="false">IF($A64="","",IF(D64=0,"",-SUMIFS(Transactions!$J:$J,Transactions!$O:$O,$A64,Transactions!$B:$B,"Buy shares")/D64))</f>
        <v/>
      </c>
      <c r="F64" s="18" t="str">
        <f aca="false">IF($A64="","",-SUMIFS(Transactions!$E:$E,Transactions!$O:$O,$A64,Transactions!$B:$B,"Sell shares"))</f>
        <v/>
      </c>
      <c r="G64" s="18" t="str">
        <f aca="false">IF($A64="","",D64-F64)</f>
        <v/>
      </c>
      <c r="H64" s="14" t="str">
        <f aca="false">IF($A64="","",SUMIFS(Transactions!$J:$J,Transactions!$O:$O,$A64,Transactions!$B:$B,"Sell call")+SUMIFS(Transactions!$J:$J,Transactions!$O:$O,$A64,Transactions!$B:$B,"Buy to close"))</f>
        <v/>
      </c>
      <c r="I64" s="26" t="str">
        <f aca="false">IF(OR($A64="",E64=""),"",E64-H64/D64)</f>
        <v/>
      </c>
      <c r="J64" s="26" t="str">
        <f aca="false">IF($A64="","",IFERROR(INDEX(Positions!$K:$K,MATCH(B64,Positions!$B:$B,0)),""))</f>
        <v/>
      </c>
      <c r="K64" s="23"/>
      <c r="L64" s="26" t="str">
        <f aca="false">IF($A64="","",IF(K64&lt;&gt;"",K64,J64))</f>
        <v/>
      </c>
      <c r="M64" s="14" t="str">
        <f aca="false">IF(OR($A64="",L64=""),"",L64*G64)</f>
        <v/>
      </c>
      <c r="N64" s="14" t="str">
        <f aca="false">IF(OR(M64="",E64=""),"",(L64-E64)*G64)</f>
        <v/>
      </c>
      <c r="O64" s="8" t="str">
        <f aca="false">IF($A64="","",IF(G64&lt;=0,"Sold",IF((-SUMIFS(Transactions!$E:$E,Transactions!$O:$O,$A64,Transactions!$B:$B,"Sell call")-SUMIFS(Transactions!$E:$E,Transactions!$O:$O,$A64,Transactions!$B:$B,"Buy to close")-SUMIFS(Transactions!$E:$E,Transactions!$O:$O,$A64,Transactions!$B:$B,"Expired")-SUMIFS(Transactions!$E:$E,Transactions!$O:$O,$A64,Transactions!$B:$B,"Assigned"))&gt;0,"Covered","Free")))</f>
        <v/>
      </c>
      <c r="P64" s="26" t="str">
        <f aca="false">IF(OR(I64="",G64&lt;=0),"",CEILING(MAX(I64,N(L64)),IF(E64&lt;50,0.5,IF(E64&lt;200,1,5))))</f>
        <v/>
      </c>
      <c r="Q64" s="8" t="str">
        <f aca="true">IF(OR(N64="",G64&lt;=0),"",IF(N64&gt;=0,"",IF(COUNTIFS($B:$B,B64,$C:$C,"&gt;="&amp;(TODAY()-30),$C:$C,"&lt;="&amp;TODAY(),$A:$A,"&lt;&gt;"&amp;$A64)&gt;0,"Loss sale now = wash sale","OK to harvest loss")))</f>
        <v/>
      </c>
      <c r="R64" s="14" t="str">
        <f aca="false">IF(OR($A64="",N(F64)&lt;=0),"",SUMIFS(Transactions!$J:$J,Transactions!$O:$O,$A64,Transactions!$B:$B,"Sell shares")-E64*F64)</f>
        <v/>
      </c>
      <c r="S64" s="10" t="str">
        <f aca="false">IF(OR($A64="",N(F64)&lt;=0),"",_xlfn.MAXIFS(Transactions!$A:$A,Transactions!$O:$O,$A64,Transactions!$B:$B,"Sell shares"))</f>
        <v/>
      </c>
      <c r="T64" s="14" t="str">
        <f aca="false">IF(OR($A64="",E64=""),"",E64*G64)</f>
        <v/>
      </c>
    </row>
    <row r="65" customFormat="false" ht="15" hidden="false" customHeight="false" outlineLevel="0" collapsed="false">
      <c r="A65" s="21"/>
      <c r="B65" s="8" t="str">
        <f aca="false">IF($A65="","",IFERROR(INDEX(Transactions!$C:$C,MATCH($A65,Transactions!$O:$O,0)),""))</f>
        <v/>
      </c>
      <c r="C65" s="10" t="str">
        <f aca="false">IF($A65="","",IF(COUNTIFS(Transactions!$O:$O,$A65,Transactions!$B:$B,"Buy shares")=0,"",_xlfn.MINIFS(Transactions!$A:$A,Transactions!$O:$O,$A65,Transactions!$B:$B,"Buy shares")))</f>
        <v/>
      </c>
      <c r="D65" s="18" t="str">
        <f aca="false">IF($A65="","",SUMIFS(Transactions!$E:$E,Transactions!$O:$O,$A65,Transactions!$B:$B,"Buy shares"))</f>
        <v/>
      </c>
      <c r="E65" s="26" t="str">
        <f aca="false">IF($A65="","",IF(D65=0,"",-SUMIFS(Transactions!$J:$J,Transactions!$O:$O,$A65,Transactions!$B:$B,"Buy shares")/D65))</f>
        <v/>
      </c>
      <c r="F65" s="18" t="str">
        <f aca="false">IF($A65="","",-SUMIFS(Transactions!$E:$E,Transactions!$O:$O,$A65,Transactions!$B:$B,"Sell shares"))</f>
        <v/>
      </c>
      <c r="G65" s="18" t="str">
        <f aca="false">IF($A65="","",D65-F65)</f>
        <v/>
      </c>
      <c r="H65" s="14" t="str">
        <f aca="false">IF($A65="","",SUMIFS(Transactions!$J:$J,Transactions!$O:$O,$A65,Transactions!$B:$B,"Sell call")+SUMIFS(Transactions!$J:$J,Transactions!$O:$O,$A65,Transactions!$B:$B,"Buy to close"))</f>
        <v/>
      </c>
      <c r="I65" s="26" t="str">
        <f aca="false">IF(OR($A65="",E65=""),"",E65-H65/D65)</f>
        <v/>
      </c>
      <c r="J65" s="26" t="str">
        <f aca="false">IF($A65="","",IFERROR(INDEX(Positions!$K:$K,MATCH(B65,Positions!$B:$B,0)),""))</f>
        <v/>
      </c>
      <c r="K65" s="23"/>
      <c r="L65" s="26" t="str">
        <f aca="false">IF($A65="","",IF(K65&lt;&gt;"",K65,J65))</f>
        <v/>
      </c>
      <c r="M65" s="14" t="str">
        <f aca="false">IF(OR($A65="",L65=""),"",L65*G65)</f>
        <v/>
      </c>
      <c r="N65" s="14" t="str">
        <f aca="false">IF(OR(M65="",E65=""),"",(L65-E65)*G65)</f>
        <v/>
      </c>
      <c r="O65" s="8" t="str">
        <f aca="false">IF($A65="","",IF(G65&lt;=0,"Sold",IF((-SUMIFS(Transactions!$E:$E,Transactions!$O:$O,$A65,Transactions!$B:$B,"Sell call")-SUMIFS(Transactions!$E:$E,Transactions!$O:$O,$A65,Transactions!$B:$B,"Buy to close")-SUMIFS(Transactions!$E:$E,Transactions!$O:$O,$A65,Transactions!$B:$B,"Expired")-SUMIFS(Transactions!$E:$E,Transactions!$O:$O,$A65,Transactions!$B:$B,"Assigned"))&gt;0,"Covered","Free")))</f>
        <v/>
      </c>
      <c r="P65" s="26" t="str">
        <f aca="false">IF(OR(I65="",G65&lt;=0),"",CEILING(MAX(I65,N(L65)),IF(E65&lt;50,0.5,IF(E65&lt;200,1,5))))</f>
        <v/>
      </c>
      <c r="Q65" s="8" t="str">
        <f aca="true">IF(OR(N65="",G65&lt;=0),"",IF(N65&gt;=0,"",IF(COUNTIFS($B:$B,B65,$C:$C,"&gt;="&amp;(TODAY()-30),$C:$C,"&lt;="&amp;TODAY(),$A:$A,"&lt;&gt;"&amp;$A65)&gt;0,"Loss sale now = wash sale","OK to harvest loss")))</f>
        <v/>
      </c>
      <c r="R65" s="14" t="str">
        <f aca="false">IF(OR($A65="",N(F65)&lt;=0),"",SUMIFS(Transactions!$J:$J,Transactions!$O:$O,$A65,Transactions!$B:$B,"Sell shares")-E65*F65)</f>
        <v/>
      </c>
      <c r="S65" s="10" t="str">
        <f aca="false">IF(OR($A65="",N(F65)&lt;=0),"",_xlfn.MAXIFS(Transactions!$A:$A,Transactions!$O:$O,$A65,Transactions!$B:$B,"Sell shares"))</f>
        <v/>
      </c>
      <c r="T65" s="14" t="str">
        <f aca="false">IF(OR($A65="",E65=""),"",E65*G65)</f>
        <v/>
      </c>
    </row>
    <row r="66" customFormat="false" ht="15" hidden="false" customHeight="false" outlineLevel="0" collapsed="false">
      <c r="A66" s="21"/>
      <c r="B66" s="8" t="str">
        <f aca="false">IF($A66="","",IFERROR(INDEX(Transactions!$C:$C,MATCH($A66,Transactions!$O:$O,0)),""))</f>
        <v/>
      </c>
      <c r="C66" s="10" t="str">
        <f aca="false">IF($A66="","",IF(COUNTIFS(Transactions!$O:$O,$A66,Transactions!$B:$B,"Buy shares")=0,"",_xlfn.MINIFS(Transactions!$A:$A,Transactions!$O:$O,$A66,Transactions!$B:$B,"Buy shares")))</f>
        <v/>
      </c>
      <c r="D66" s="18" t="str">
        <f aca="false">IF($A66="","",SUMIFS(Transactions!$E:$E,Transactions!$O:$O,$A66,Transactions!$B:$B,"Buy shares"))</f>
        <v/>
      </c>
      <c r="E66" s="26" t="str">
        <f aca="false">IF($A66="","",IF(D66=0,"",-SUMIFS(Transactions!$J:$J,Transactions!$O:$O,$A66,Transactions!$B:$B,"Buy shares")/D66))</f>
        <v/>
      </c>
      <c r="F66" s="18" t="str">
        <f aca="false">IF($A66="","",-SUMIFS(Transactions!$E:$E,Transactions!$O:$O,$A66,Transactions!$B:$B,"Sell shares"))</f>
        <v/>
      </c>
      <c r="G66" s="18" t="str">
        <f aca="false">IF($A66="","",D66-F66)</f>
        <v/>
      </c>
      <c r="H66" s="14" t="str">
        <f aca="false">IF($A66="","",SUMIFS(Transactions!$J:$J,Transactions!$O:$O,$A66,Transactions!$B:$B,"Sell call")+SUMIFS(Transactions!$J:$J,Transactions!$O:$O,$A66,Transactions!$B:$B,"Buy to close"))</f>
        <v/>
      </c>
      <c r="I66" s="26" t="str">
        <f aca="false">IF(OR($A66="",E66=""),"",E66-H66/D66)</f>
        <v/>
      </c>
      <c r="J66" s="26" t="str">
        <f aca="false">IF($A66="","",IFERROR(INDEX(Positions!$K:$K,MATCH(B66,Positions!$B:$B,0)),""))</f>
        <v/>
      </c>
      <c r="K66" s="23"/>
      <c r="L66" s="26" t="str">
        <f aca="false">IF($A66="","",IF(K66&lt;&gt;"",K66,J66))</f>
        <v/>
      </c>
      <c r="M66" s="14" t="str">
        <f aca="false">IF(OR($A66="",L66=""),"",L66*G66)</f>
        <v/>
      </c>
      <c r="N66" s="14" t="str">
        <f aca="false">IF(OR(M66="",E66=""),"",(L66-E66)*G66)</f>
        <v/>
      </c>
      <c r="O66" s="8" t="str">
        <f aca="false">IF($A66="","",IF(G66&lt;=0,"Sold",IF((-SUMIFS(Transactions!$E:$E,Transactions!$O:$O,$A66,Transactions!$B:$B,"Sell call")-SUMIFS(Transactions!$E:$E,Transactions!$O:$O,$A66,Transactions!$B:$B,"Buy to close")-SUMIFS(Transactions!$E:$E,Transactions!$O:$O,$A66,Transactions!$B:$B,"Expired")-SUMIFS(Transactions!$E:$E,Transactions!$O:$O,$A66,Transactions!$B:$B,"Assigned"))&gt;0,"Covered","Free")))</f>
        <v/>
      </c>
      <c r="P66" s="26" t="str">
        <f aca="false">IF(OR(I66="",G66&lt;=0),"",CEILING(MAX(I66,N(L66)),IF(E66&lt;50,0.5,IF(E66&lt;200,1,5))))</f>
        <v/>
      </c>
      <c r="Q66" s="8" t="str">
        <f aca="true">IF(OR(N66="",G66&lt;=0),"",IF(N66&gt;=0,"",IF(COUNTIFS($B:$B,B66,$C:$C,"&gt;="&amp;(TODAY()-30),$C:$C,"&lt;="&amp;TODAY(),$A:$A,"&lt;&gt;"&amp;$A66)&gt;0,"Loss sale now = wash sale","OK to harvest loss")))</f>
        <v/>
      </c>
      <c r="R66" s="14" t="str">
        <f aca="false">IF(OR($A66="",N(F66)&lt;=0),"",SUMIFS(Transactions!$J:$J,Transactions!$O:$O,$A66,Transactions!$B:$B,"Sell shares")-E66*F66)</f>
        <v/>
      </c>
      <c r="S66" s="10" t="str">
        <f aca="false">IF(OR($A66="",N(F66)&lt;=0),"",_xlfn.MAXIFS(Transactions!$A:$A,Transactions!$O:$O,$A66,Transactions!$B:$B,"Sell shares"))</f>
        <v/>
      </c>
      <c r="T66" s="14" t="str">
        <f aca="false">IF(OR($A66="",E66=""),"",E66*G66)</f>
        <v/>
      </c>
    </row>
    <row r="67" customFormat="false" ht="15" hidden="false" customHeight="false" outlineLevel="0" collapsed="false">
      <c r="A67" s="21"/>
      <c r="B67" s="8" t="str">
        <f aca="false">IF($A67="","",IFERROR(INDEX(Transactions!$C:$C,MATCH($A67,Transactions!$O:$O,0)),""))</f>
        <v/>
      </c>
      <c r="C67" s="10" t="str">
        <f aca="false">IF($A67="","",IF(COUNTIFS(Transactions!$O:$O,$A67,Transactions!$B:$B,"Buy shares")=0,"",_xlfn.MINIFS(Transactions!$A:$A,Transactions!$O:$O,$A67,Transactions!$B:$B,"Buy shares")))</f>
        <v/>
      </c>
      <c r="D67" s="18" t="str">
        <f aca="false">IF($A67="","",SUMIFS(Transactions!$E:$E,Transactions!$O:$O,$A67,Transactions!$B:$B,"Buy shares"))</f>
        <v/>
      </c>
      <c r="E67" s="26" t="str">
        <f aca="false">IF($A67="","",IF(D67=0,"",-SUMIFS(Transactions!$J:$J,Transactions!$O:$O,$A67,Transactions!$B:$B,"Buy shares")/D67))</f>
        <v/>
      </c>
      <c r="F67" s="18" t="str">
        <f aca="false">IF($A67="","",-SUMIFS(Transactions!$E:$E,Transactions!$O:$O,$A67,Transactions!$B:$B,"Sell shares"))</f>
        <v/>
      </c>
      <c r="G67" s="18" t="str">
        <f aca="false">IF($A67="","",D67-F67)</f>
        <v/>
      </c>
      <c r="H67" s="14" t="str">
        <f aca="false">IF($A67="","",SUMIFS(Transactions!$J:$J,Transactions!$O:$O,$A67,Transactions!$B:$B,"Sell call")+SUMIFS(Transactions!$J:$J,Transactions!$O:$O,$A67,Transactions!$B:$B,"Buy to close"))</f>
        <v/>
      </c>
      <c r="I67" s="26" t="str">
        <f aca="false">IF(OR($A67="",E67=""),"",E67-H67/D67)</f>
        <v/>
      </c>
      <c r="J67" s="26" t="str">
        <f aca="false">IF($A67="","",IFERROR(INDEX(Positions!$K:$K,MATCH(B67,Positions!$B:$B,0)),""))</f>
        <v/>
      </c>
      <c r="K67" s="23"/>
      <c r="L67" s="26" t="str">
        <f aca="false">IF($A67="","",IF(K67&lt;&gt;"",K67,J67))</f>
        <v/>
      </c>
      <c r="M67" s="14" t="str">
        <f aca="false">IF(OR($A67="",L67=""),"",L67*G67)</f>
        <v/>
      </c>
      <c r="N67" s="14" t="str">
        <f aca="false">IF(OR(M67="",E67=""),"",(L67-E67)*G67)</f>
        <v/>
      </c>
      <c r="O67" s="8" t="str">
        <f aca="false">IF($A67="","",IF(G67&lt;=0,"Sold",IF((-SUMIFS(Transactions!$E:$E,Transactions!$O:$O,$A67,Transactions!$B:$B,"Sell call")-SUMIFS(Transactions!$E:$E,Transactions!$O:$O,$A67,Transactions!$B:$B,"Buy to close")-SUMIFS(Transactions!$E:$E,Transactions!$O:$O,$A67,Transactions!$B:$B,"Expired")-SUMIFS(Transactions!$E:$E,Transactions!$O:$O,$A67,Transactions!$B:$B,"Assigned"))&gt;0,"Covered","Free")))</f>
        <v/>
      </c>
      <c r="P67" s="26" t="str">
        <f aca="false">IF(OR(I67="",G67&lt;=0),"",CEILING(MAX(I67,N(L67)),IF(E67&lt;50,0.5,IF(E67&lt;200,1,5))))</f>
        <v/>
      </c>
      <c r="Q67" s="8" t="str">
        <f aca="true">IF(OR(N67="",G67&lt;=0),"",IF(N67&gt;=0,"",IF(COUNTIFS($B:$B,B67,$C:$C,"&gt;="&amp;(TODAY()-30),$C:$C,"&lt;="&amp;TODAY(),$A:$A,"&lt;&gt;"&amp;$A67)&gt;0,"Loss sale now = wash sale","OK to harvest loss")))</f>
        <v/>
      </c>
      <c r="R67" s="14" t="str">
        <f aca="false">IF(OR($A67="",N(F67)&lt;=0),"",SUMIFS(Transactions!$J:$J,Transactions!$O:$O,$A67,Transactions!$B:$B,"Sell shares")-E67*F67)</f>
        <v/>
      </c>
      <c r="S67" s="10" t="str">
        <f aca="false">IF(OR($A67="",N(F67)&lt;=0),"",_xlfn.MAXIFS(Transactions!$A:$A,Transactions!$O:$O,$A67,Transactions!$B:$B,"Sell shares"))</f>
        <v/>
      </c>
      <c r="T67" s="14" t="str">
        <f aca="false">IF(OR($A67="",E67=""),"",E67*G67)</f>
        <v/>
      </c>
    </row>
    <row r="68" customFormat="false" ht="15" hidden="false" customHeight="false" outlineLevel="0" collapsed="false">
      <c r="A68" s="21"/>
      <c r="B68" s="8" t="str">
        <f aca="false">IF($A68="","",IFERROR(INDEX(Transactions!$C:$C,MATCH($A68,Transactions!$O:$O,0)),""))</f>
        <v/>
      </c>
      <c r="C68" s="10" t="str">
        <f aca="false">IF($A68="","",IF(COUNTIFS(Transactions!$O:$O,$A68,Transactions!$B:$B,"Buy shares")=0,"",_xlfn.MINIFS(Transactions!$A:$A,Transactions!$O:$O,$A68,Transactions!$B:$B,"Buy shares")))</f>
        <v/>
      </c>
      <c r="D68" s="18" t="str">
        <f aca="false">IF($A68="","",SUMIFS(Transactions!$E:$E,Transactions!$O:$O,$A68,Transactions!$B:$B,"Buy shares"))</f>
        <v/>
      </c>
      <c r="E68" s="26" t="str">
        <f aca="false">IF($A68="","",IF(D68=0,"",-SUMIFS(Transactions!$J:$J,Transactions!$O:$O,$A68,Transactions!$B:$B,"Buy shares")/D68))</f>
        <v/>
      </c>
      <c r="F68" s="18" t="str">
        <f aca="false">IF($A68="","",-SUMIFS(Transactions!$E:$E,Transactions!$O:$O,$A68,Transactions!$B:$B,"Sell shares"))</f>
        <v/>
      </c>
      <c r="G68" s="18" t="str">
        <f aca="false">IF($A68="","",D68-F68)</f>
        <v/>
      </c>
      <c r="H68" s="14" t="str">
        <f aca="false">IF($A68="","",SUMIFS(Transactions!$J:$J,Transactions!$O:$O,$A68,Transactions!$B:$B,"Sell call")+SUMIFS(Transactions!$J:$J,Transactions!$O:$O,$A68,Transactions!$B:$B,"Buy to close"))</f>
        <v/>
      </c>
      <c r="I68" s="26" t="str">
        <f aca="false">IF(OR($A68="",E68=""),"",E68-H68/D68)</f>
        <v/>
      </c>
      <c r="J68" s="26" t="str">
        <f aca="false">IF($A68="","",IFERROR(INDEX(Positions!$K:$K,MATCH(B68,Positions!$B:$B,0)),""))</f>
        <v/>
      </c>
      <c r="K68" s="23"/>
      <c r="L68" s="26" t="str">
        <f aca="false">IF($A68="","",IF(K68&lt;&gt;"",K68,J68))</f>
        <v/>
      </c>
      <c r="M68" s="14" t="str">
        <f aca="false">IF(OR($A68="",L68=""),"",L68*G68)</f>
        <v/>
      </c>
      <c r="N68" s="14" t="str">
        <f aca="false">IF(OR(M68="",E68=""),"",(L68-E68)*G68)</f>
        <v/>
      </c>
      <c r="O68" s="8" t="str">
        <f aca="false">IF($A68="","",IF(G68&lt;=0,"Sold",IF((-SUMIFS(Transactions!$E:$E,Transactions!$O:$O,$A68,Transactions!$B:$B,"Sell call")-SUMIFS(Transactions!$E:$E,Transactions!$O:$O,$A68,Transactions!$B:$B,"Buy to close")-SUMIFS(Transactions!$E:$E,Transactions!$O:$O,$A68,Transactions!$B:$B,"Expired")-SUMIFS(Transactions!$E:$E,Transactions!$O:$O,$A68,Transactions!$B:$B,"Assigned"))&gt;0,"Covered","Free")))</f>
        <v/>
      </c>
      <c r="P68" s="26" t="str">
        <f aca="false">IF(OR(I68="",G68&lt;=0),"",CEILING(MAX(I68,N(L68)),IF(E68&lt;50,0.5,IF(E68&lt;200,1,5))))</f>
        <v/>
      </c>
      <c r="Q68" s="8" t="str">
        <f aca="true">IF(OR(N68="",G68&lt;=0),"",IF(N68&gt;=0,"",IF(COUNTIFS($B:$B,B68,$C:$C,"&gt;="&amp;(TODAY()-30),$C:$C,"&lt;="&amp;TODAY(),$A:$A,"&lt;&gt;"&amp;$A68)&gt;0,"Loss sale now = wash sale","OK to harvest loss")))</f>
        <v/>
      </c>
      <c r="R68" s="14" t="str">
        <f aca="false">IF(OR($A68="",N(F68)&lt;=0),"",SUMIFS(Transactions!$J:$J,Transactions!$O:$O,$A68,Transactions!$B:$B,"Sell shares")-E68*F68)</f>
        <v/>
      </c>
      <c r="S68" s="10" t="str">
        <f aca="false">IF(OR($A68="",N(F68)&lt;=0),"",_xlfn.MAXIFS(Transactions!$A:$A,Transactions!$O:$O,$A68,Transactions!$B:$B,"Sell shares"))</f>
        <v/>
      </c>
      <c r="T68" s="14" t="str">
        <f aca="false">IF(OR($A68="",E68=""),"",E68*G68)</f>
        <v/>
      </c>
    </row>
    <row r="69" customFormat="false" ht="15" hidden="false" customHeight="false" outlineLevel="0" collapsed="false">
      <c r="A69" s="21"/>
      <c r="B69" s="8" t="str">
        <f aca="false">IF($A69="","",IFERROR(INDEX(Transactions!$C:$C,MATCH($A69,Transactions!$O:$O,0)),""))</f>
        <v/>
      </c>
      <c r="C69" s="10" t="str">
        <f aca="false">IF($A69="","",IF(COUNTIFS(Transactions!$O:$O,$A69,Transactions!$B:$B,"Buy shares")=0,"",_xlfn.MINIFS(Transactions!$A:$A,Transactions!$O:$O,$A69,Transactions!$B:$B,"Buy shares")))</f>
        <v/>
      </c>
      <c r="D69" s="18" t="str">
        <f aca="false">IF($A69="","",SUMIFS(Transactions!$E:$E,Transactions!$O:$O,$A69,Transactions!$B:$B,"Buy shares"))</f>
        <v/>
      </c>
      <c r="E69" s="26" t="str">
        <f aca="false">IF($A69="","",IF(D69=0,"",-SUMIFS(Transactions!$J:$J,Transactions!$O:$O,$A69,Transactions!$B:$B,"Buy shares")/D69))</f>
        <v/>
      </c>
      <c r="F69" s="18" t="str">
        <f aca="false">IF($A69="","",-SUMIFS(Transactions!$E:$E,Transactions!$O:$O,$A69,Transactions!$B:$B,"Sell shares"))</f>
        <v/>
      </c>
      <c r="G69" s="18" t="str">
        <f aca="false">IF($A69="","",D69-F69)</f>
        <v/>
      </c>
      <c r="H69" s="14" t="str">
        <f aca="false">IF($A69="","",SUMIFS(Transactions!$J:$J,Transactions!$O:$O,$A69,Transactions!$B:$B,"Sell call")+SUMIFS(Transactions!$J:$J,Transactions!$O:$O,$A69,Transactions!$B:$B,"Buy to close"))</f>
        <v/>
      </c>
      <c r="I69" s="26" t="str">
        <f aca="false">IF(OR($A69="",E69=""),"",E69-H69/D69)</f>
        <v/>
      </c>
      <c r="J69" s="26" t="str">
        <f aca="false">IF($A69="","",IFERROR(INDEX(Positions!$K:$K,MATCH(B69,Positions!$B:$B,0)),""))</f>
        <v/>
      </c>
      <c r="K69" s="23"/>
      <c r="L69" s="26" t="str">
        <f aca="false">IF($A69="","",IF(K69&lt;&gt;"",K69,J69))</f>
        <v/>
      </c>
      <c r="M69" s="14" t="str">
        <f aca="false">IF(OR($A69="",L69=""),"",L69*G69)</f>
        <v/>
      </c>
      <c r="N69" s="14" t="str">
        <f aca="false">IF(OR(M69="",E69=""),"",(L69-E69)*G69)</f>
        <v/>
      </c>
      <c r="O69" s="8" t="str">
        <f aca="false">IF($A69="","",IF(G69&lt;=0,"Sold",IF((-SUMIFS(Transactions!$E:$E,Transactions!$O:$O,$A69,Transactions!$B:$B,"Sell call")-SUMIFS(Transactions!$E:$E,Transactions!$O:$O,$A69,Transactions!$B:$B,"Buy to close")-SUMIFS(Transactions!$E:$E,Transactions!$O:$O,$A69,Transactions!$B:$B,"Expired")-SUMIFS(Transactions!$E:$E,Transactions!$O:$O,$A69,Transactions!$B:$B,"Assigned"))&gt;0,"Covered","Free")))</f>
        <v/>
      </c>
      <c r="P69" s="26" t="str">
        <f aca="false">IF(OR(I69="",G69&lt;=0),"",CEILING(MAX(I69,N(L69)),IF(E69&lt;50,0.5,IF(E69&lt;200,1,5))))</f>
        <v/>
      </c>
      <c r="Q69" s="8" t="str">
        <f aca="true">IF(OR(N69="",G69&lt;=0),"",IF(N69&gt;=0,"",IF(COUNTIFS($B:$B,B69,$C:$C,"&gt;="&amp;(TODAY()-30),$C:$C,"&lt;="&amp;TODAY(),$A:$A,"&lt;&gt;"&amp;$A69)&gt;0,"Loss sale now = wash sale","OK to harvest loss")))</f>
        <v/>
      </c>
      <c r="R69" s="14" t="str">
        <f aca="false">IF(OR($A69="",N(F69)&lt;=0),"",SUMIFS(Transactions!$J:$J,Transactions!$O:$O,$A69,Transactions!$B:$B,"Sell shares")-E69*F69)</f>
        <v/>
      </c>
      <c r="S69" s="10" t="str">
        <f aca="false">IF(OR($A69="",N(F69)&lt;=0),"",_xlfn.MAXIFS(Transactions!$A:$A,Transactions!$O:$O,$A69,Transactions!$B:$B,"Sell shares"))</f>
        <v/>
      </c>
      <c r="T69" s="14" t="str">
        <f aca="false">IF(OR($A69="",E69=""),"",E69*G69)</f>
        <v/>
      </c>
    </row>
    <row r="70" customFormat="false" ht="15" hidden="false" customHeight="false" outlineLevel="0" collapsed="false">
      <c r="A70" s="21"/>
      <c r="B70" s="8" t="str">
        <f aca="false">IF($A70="","",IFERROR(INDEX(Transactions!$C:$C,MATCH($A70,Transactions!$O:$O,0)),""))</f>
        <v/>
      </c>
      <c r="C70" s="10" t="str">
        <f aca="false">IF($A70="","",IF(COUNTIFS(Transactions!$O:$O,$A70,Transactions!$B:$B,"Buy shares")=0,"",_xlfn.MINIFS(Transactions!$A:$A,Transactions!$O:$O,$A70,Transactions!$B:$B,"Buy shares")))</f>
        <v/>
      </c>
      <c r="D70" s="18" t="str">
        <f aca="false">IF($A70="","",SUMIFS(Transactions!$E:$E,Transactions!$O:$O,$A70,Transactions!$B:$B,"Buy shares"))</f>
        <v/>
      </c>
      <c r="E70" s="26" t="str">
        <f aca="false">IF($A70="","",IF(D70=0,"",-SUMIFS(Transactions!$J:$J,Transactions!$O:$O,$A70,Transactions!$B:$B,"Buy shares")/D70))</f>
        <v/>
      </c>
      <c r="F70" s="18" t="str">
        <f aca="false">IF($A70="","",-SUMIFS(Transactions!$E:$E,Transactions!$O:$O,$A70,Transactions!$B:$B,"Sell shares"))</f>
        <v/>
      </c>
      <c r="G70" s="18" t="str">
        <f aca="false">IF($A70="","",D70-F70)</f>
        <v/>
      </c>
      <c r="H70" s="14" t="str">
        <f aca="false">IF($A70="","",SUMIFS(Transactions!$J:$J,Transactions!$O:$O,$A70,Transactions!$B:$B,"Sell call")+SUMIFS(Transactions!$J:$J,Transactions!$O:$O,$A70,Transactions!$B:$B,"Buy to close"))</f>
        <v/>
      </c>
      <c r="I70" s="26" t="str">
        <f aca="false">IF(OR($A70="",E70=""),"",E70-H70/D70)</f>
        <v/>
      </c>
      <c r="J70" s="26" t="str">
        <f aca="false">IF($A70="","",IFERROR(INDEX(Positions!$K:$K,MATCH(B70,Positions!$B:$B,0)),""))</f>
        <v/>
      </c>
      <c r="K70" s="23"/>
      <c r="L70" s="26" t="str">
        <f aca="false">IF($A70="","",IF(K70&lt;&gt;"",K70,J70))</f>
        <v/>
      </c>
      <c r="M70" s="14" t="str">
        <f aca="false">IF(OR($A70="",L70=""),"",L70*G70)</f>
        <v/>
      </c>
      <c r="N70" s="14" t="str">
        <f aca="false">IF(OR(M70="",E70=""),"",(L70-E70)*G70)</f>
        <v/>
      </c>
      <c r="O70" s="8" t="str">
        <f aca="false">IF($A70="","",IF(G70&lt;=0,"Sold",IF((-SUMIFS(Transactions!$E:$E,Transactions!$O:$O,$A70,Transactions!$B:$B,"Sell call")-SUMIFS(Transactions!$E:$E,Transactions!$O:$O,$A70,Transactions!$B:$B,"Buy to close")-SUMIFS(Transactions!$E:$E,Transactions!$O:$O,$A70,Transactions!$B:$B,"Expired")-SUMIFS(Transactions!$E:$E,Transactions!$O:$O,$A70,Transactions!$B:$B,"Assigned"))&gt;0,"Covered","Free")))</f>
        <v/>
      </c>
      <c r="P70" s="26" t="str">
        <f aca="false">IF(OR(I70="",G70&lt;=0),"",CEILING(MAX(I70,N(L70)),IF(E70&lt;50,0.5,IF(E70&lt;200,1,5))))</f>
        <v/>
      </c>
      <c r="Q70" s="8" t="str">
        <f aca="true">IF(OR(N70="",G70&lt;=0),"",IF(N70&gt;=0,"",IF(COUNTIFS($B:$B,B70,$C:$C,"&gt;="&amp;(TODAY()-30),$C:$C,"&lt;="&amp;TODAY(),$A:$A,"&lt;&gt;"&amp;$A70)&gt;0,"Loss sale now = wash sale","OK to harvest loss")))</f>
        <v/>
      </c>
      <c r="R70" s="14" t="str">
        <f aca="false">IF(OR($A70="",N(F70)&lt;=0),"",SUMIFS(Transactions!$J:$J,Transactions!$O:$O,$A70,Transactions!$B:$B,"Sell shares")-E70*F70)</f>
        <v/>
      </c>
      <c r="S70" s="10" t="str">
        <f aca="false">IF(OR($A70="",N(F70)&lt;=0),"",_xlfn.MAXIFS(Transactions!$A:$A,Transactions!$O:$O,$A70,Transactions!$B:$B,"Sell shares"))</f>
        <v/>
      </c>
      <c r="T70" s="14" t="str">
        <f aca="false">IF(OR($A70="",E70=""),"",E70*G70)</f>
        <v/>
      </c>
    </row>
    <row r="71" customFormat="false" ht="15" hidden="false" customHeight="false" outlineLevel="0" collapsed="false">
      <c r="A71" s="21"/>
      <c r="B71" s="8" t="str">
        <f aca="false">IF($A71="","",IFERROR(INDEX(Transactions!$C:$C,MATCH($A71,Transactions!$O:$O,0)),""))</f>
        <v/>
      </c>
      <c r="C71" s="10" t="str">
        <f aca="false">IF($A71="","",IF(COUNTIFS(Transactions!$O:$O,$A71,Transactions!$B:$B,"Buy shares")=0,"",_xlfn.MINIFS(Transactions!$A:$A,Transactions!$O:$O,$A71,Transactions!$B:$B,"Buy shares")))</f>
        <v/>
      </c>
      <c r="D71" s="18" t="str">
        <f aca="false">IF($A71="","",SUMIFS(Transactions!$E:$E,Transactions!$O:$O,$A71,Transactions!$B:$B,"Buy shares"))</f>
        <v/>
      </c>
      <c r="E71" s="26" t="str">
        <f aca="false">IF($A71="","",IF(D71=0,"",-SUMIFS(Transactions!$J:$J,Transactions!$O:$O,$A71,Transactions!$B:$B,"Buy shares")/D71))</f>
        <v/>
      </c>
      <c r="F71" s="18" t="str">
        <f aca="false">IF($A71="","",-SUMIFS(Transactions!$E:$E,Transactions!$O:$O,$A71,Transactions!$B:$B,"Sell shares"))</f>
        <v/>
      </c>
      <c r="G71" s="18" t="str">
        <f aca="false">IF($A71="","",D71-F71)</f>
        <v/>
      </c>
      <c r="H71" s="14" t="str">
        <f aca="false">IF($A71="","",SUMIFS(Transactions!$J:$J,Transactions!$O:$O,$A71,Transactions!$B:$B,"Sell call")+SUMIFS(Transactions!$J:$J,Transactions!$O:$O,$A71,Transactions!$B:$B,"Buy to close"))</f>
        <v/>
      </c>
      <c r="I71" s="26" t="str">
        <f aca="false">IF(OR($A71="",E71=""),"",E71-H71/D71)</f>
        <v/>
      </c>
      <c r="J71" s="26" t="str">
        <f aca="false">IF($A71="","",IFERROR(INDEX(Positions!$K:$K,MATCH(B71,Positions!$B:$B,0)),""))</f>
        <v/>
      </c>
      <c r="K71" s="23"/>
      <c r="L71" s="26" t="str">
        <f aca="false">IF($A71="","",IF(K71&lt;&gt;"",K71,J71))</f>
        <v/>
      </c>
      <c r="M71" s="14" t="str">
        <f aca="false">IF(OR($A71="",L71=""),"",L71*G71)</f>
        <v/>
      </c>
      <c r="N71" s="14" t="str">
        <f aca="false">IF(OR(M71="",E71=""),"",(L71-E71)*G71)</f>
        <v/>
      </c>
      <c r="O71" s="8" t="str">
        <f aca="false">IF($A71="","",IF(G71&lt;=0,"Sold",IF((-SUMIFS(Transactions!$E:$E,Transactions!$O:$O,$A71,Transactions!$B:$B,"Sell call")-SUMIFS(Transactions!$E:$E,Transactions!$O:$O,$A71,Transactions!$B:$B,"Buy to close")-SUMIFS(Transactions!$E:$E,Transactions!$O:$O,$A71,Transactions!$B:$B,"Expired")-SUMIFS(Transactions!$E:$E,Transactions!$O:$O,$A71,Transactions!$B:$B,"Assigned"))&gt;0,"Covered","Free")))</f>
        <v/>
      </c>
      <c r="P71" s="26" t="str">
        <f aca="false">IF(OR(I71="",G71&lt;=0),"",CEILING(MAX(I71,N(L71)),IF(E71&lt;50,0.5,IF(E71&lt;200,1,5))))</f>
        <v/>
      </c>
      <c r="Q71" s="8" t="str">
        <f aca="true">IF(OR(N71="",G71&lt;=0),"",IF(N71&gt;=0,"",IF(COUNTIFS($B:$B,B71,$C:$C,"&gt;="&amp;(TODAY()-30),$C:$C,"&lt;="&amp;TODAY(),$A:$A,"&lt;&gt;"&amp;$A71)&gt;0,"Loss sale now = wash sale","OK to harvest loss")))</f>
        <v/>
      </c>
      <c r="R71" s="14" t="str">
        <f aca="false">IF(OR($A71="",N(F71)&lt;=0),"",SUMIFS(Transactions!$J:$J,Transactions!$O:$O,$A71,Transactions!$B:$B,"Sell shares")-E71*F71)</f>
        <v/>
      </c>
      <c r="S71" s="10" t="str">
        <f aca="false">IF(OR($A71="",N(F71)&lt;=0),"",_xlfn.MAXIFS(Transactions!$A:$A,Transactions!$O:$O,$A71,Transactions!$B:$B,"Sell shares"))</f>
        <v/>
      </c>
      <c r="T71" s="14" t="str">
        <f aca="false">IF(OR($A71="",E71=""),"",E71*G71)</f>
        <v/>
      </c>
    </row>
    <row r="72" customFormat="false" ht="15" hidden="false" customHeight="false" outlineLevel="0" collapsed="false">
      <c r="A72" s="21"/>
      <c r="B72" s="8" t="str">
        <f aca="false">IF($A72="","",IFERROR(INDEX(Transactions!$C:$C,MATCH($A72,Transactions!$O:$O,0)),""))</f>
        <v/>
      </c>
      <c r="C72" s="10" t="str">
        <f aca="false">IF($A72="","",IF(COUNTIFS(Transactions!$O:$O,$A72,Transactions!$B:$B,"Buy shares")=0,"",_xlfn.MINIFS(Transactions!$A:$A,Transactions!$O:$O,$A72,Transactions!$B:$B,"Buy shares")))</f>
        <v/>
      </c>
      <c r="D72" s="18" t="str">
        <f aca="false">IF($A72="","",SUMIFS(Transactions!$E:$E,Transactions!$O:$O,$A72,Transactions!$B:$B,"Buy shares"))</f>
        <v/>
      </c>
      <c r="E72" s="26" t="str">
        <f aca="false">IF($A72="","",IF(D72=0,"",-SUMIFS(Transactions!$J:$J,Transactions!$O:$O,$A72,Transactions!$B:$B,"Buy shares")/D72))</f>
        <v/>
      </c>
      <c r="F72" s="18" t="str">
        <f aca="false">IF($A72="","",-SUMIFS(Transactions!$E:$E,Transactions!$O:$O,$A72,Transactions!$B:$B,"Sell shares"))</f>
        <v/>
      </c>
      <c r="G72" s="18" t="str">
        <f aca="false">IF($A72="","",D72-F72)</f>
        <v/>
      </c>
      <c r="H72" s="14" t="str">
        <f aca="false">IF($A72="","",SUMIFS(Transactions!$J:$J,Transactions!$O:$O,$A72,Transactions!$B:$B,"Sell call")+SUMIFS(Transactions!$J:$J,Transactions!$O:$O,$A72,Transactions!$B:$B,"Buy to close"))</f>
        <v/>
      </c>
      <c r="I72" s="26" t="str">
        <f aca="false">IF(OR($A72="",E72=""),"",E72-H72/D72)</f>
        <v/>
      </c>
      <c r="J72" s="26" t="str">
        <f aca="false">IF($A72="","",IFERROR(INDEX(Positions!$K:$K,MATCH(B72,Positions!$B:$B,0)),""))</f>
        <v/>
      </c>
      <c r="K72" s="23"/>
      <c r="L72" s="26" t="str">
        <f aca="false">IF($A72="","",IF(K72&lt;&gt;"",K72,J72))</f>
        <v/>
      </c>
      <c r="M72" s="14" t="str">
        <f aca="false">IF(OR($A72="",L72=""),"",L72*G72)</f>
        <v/>
      </c>
      <c r="N72" s="14" t="str">
        <f aca="false">IF(OR(M72="",E72=""),"",(L72-E72)*G72)</f>
        <v/>
      </c>
      <c r="O72" s="8" t="str">
        <f aca="false">IF($A72="","",IF(G72&lt;=0,"Sold",IF((-SUMIFS(Transactions!$E:$E,Transactions!$O:$O,$A72,Transactions!$B:$B,"Sell call")-SUMIFS(Transactions!$E:$E,Transactions!$O:$O,$A72,Transactions!$B:$B,"Buy to close")-SUMIFS(Transactions!$E:$E,Transactions!$O:$O,$A72,Transactions!$B:$B,"Expired")-SUMIFS(Transactions!$E:$E,Transactions!$O:$O,$A72,Transactions!$B:$B,"Assigned"))&gt;0,"Covered","Free")))</f>
        <v/>
      </c>
      <c r="P72" s="26" t="str">
        <f aca="false">IF(OR(I72="",G72&lt;=0),"",CEILING(MAX(I72,N(L72)),IF(E72&lt;50,0.5,IF(E72&lt;200,1,5))))</f>
        <v/>
      </c>
      <c r="Q72" s="8" t="str">
        <f aca="true">IF(OR(N72="",G72&lt;=0),"",IF(N72&gt;=0,"",IF(COUNTIFS($B:$B,B72,$C:$C,"&gt;="&amp;(TODAY()-30),$C:$C,"&lt;="&amp;TODAY(),$A:$A,"&lt;&gt;"&amp;$A72)&gt;0,"Loss sale now = wash sale","OK to harvest loss")))</f>
        <v/>
      </c>
      <c r="R72" s="14" t="str">
        <f aca="false">IF(OR($A72="",N(F72)&lt;=0),"",SUMIFS(Transactions!$J:$J,Transactions!$O:$O,$A72,Transactions!$B:$B,"Sell shares")-E72*F72)</f>
        <v/>
      </c>
      <c r="S72" s="10" t="str">
        <f aca="false">IF(OR($A72="",N(F72)&lt;=0),"",_xlfn.MAXIFS(Transactions!$A:$A,Transactions!$O:$O,$A72,Transactions!$B:$B,"Sell shares"))</f>
        <v/>
      </c>
      <c r="T72" s="14" t="str">
        <f aca="false">IF(OR($A72="",E72=""),"",E72*G72)</f>
        <v/>
      </c>
    </row>
    <row r="73" customFormat="false" ht="15" hidden="false" customHeight="false" outlineLevel="0" collapsed="false">
      <c r="A73" s="21"/>
      <c r="B73" s="8" t="str">
        <f aca="false">IF($A73="","",IFERROR(INDEX(Transactions!$C:$C,MATCH($A73,Transactions!$O:$O,0)),""))</f>
        <v/>
      </c>
      <c r="C73" s="10" t="str">
        <f aca="false">IF($A73="","",IF(COUNTIFS(Transactions!$O:$O,$A73,Transactions!$B:$B,"Buy shares")=0,"",_xlfn.MINIFS(Transactions!$A:$A,Transactions!$O:$O,$A73,Transactions!$B:$B,"Buy shares")))</f>
        <v/>
      </c>
      <c r="D73" s="18" t="str">
        <f aca="false">IF($A73="","",SUMIFS(Transactions!$E:$E,Transactions!$O:$O,$A73,Transactions!$B:$B,"Buy shares"))</f>
        <v/>
      </c>
      <c r="E73" s="26" t="str">
        <f aca="false">IF($A73="","",IF(D73=0,"",-SUMIFS(Transactions!$J:$J,Transactions!$O:$O,$A73,Transactions!$B:$B,"Buy shares")/D73))</f>
        <v/>
      </c>
      <c r="F73" s="18" t="str">
        <f aca="false">IF($A73="","",-SUMIFS(Transactions!$E:$E,Transactions!$O:$O,$A73,Transactions!$B:$B,"Sell shares"))</f>
        <v/>
      </c>
      <c r="G73" s="18" t="str">
        <f aca="false">IF($A73="","",D73-F73)</f>
        <v/>
      </c>
      <c r="H73" s="14" t="str">
        <f aca="false">IF($A73="","",SUMIFS(Transactions!$J:$J,Transactions!$O:$O,$A73,Transactions!$B:$B,"Sell call")+SUMIFS(Transactions!$J:$J,Transactions!$O:$O,$A73,Transactions!$B:$B,"Buy to close"))</f>
        <v/>
      </c>
      <c r="I73" s="26" t="str">
        <f aca="false">IF(OR($A73="",E73=""),"",E73-H73/D73)</f>
        <v/>
      </c>
      <c r="J73" s="26" t="str">
        <f aca="false">IF($A73="","",IFERROR(INDEX(Positions!$K:$K,MATCH(B73,Positions!$B:$B,0)),""))</f>
        <v/>
      </c>
      <c r="K73" s="23"/>
      <c r="L73" s="26" t="str">
        <f aca="false">IF($A73="","",IF(K73&lt;&gt;"",K73,J73))</f>
        <v/>
      </c>
      <c r="M73" s="14" t="str">
        <f aca="false">IF(OR($A73="",L73=""),"",L73*G73)</f>
        <v/>
      </c>
      <c r="N73" s="14" t="str">
        <f aca="false">IF(OR(M73="",E73=""),"",(L73-E73)*G73)</f>
        <v/>
      </c>
      <c r="O73" s="8" t="str">
        <f aca="false">IF($A73="","",IF(G73&lt;=0,"Sold",IF((-SUMIFS(Transactions!$E:$E,Transactions!$O:$O,$A73,Transactions!$B:$B,"Sell call")-SUMIFS(Transactions!$E:$E,Transactions!$O:$O,$A73,Transactions!$B:$B,"Buy to close")-SUMIFS(Transactions!$E:$E,Transactions!$O:$O,$A73,Transactions!$B:$B,"Expired")-SUMIFS(Transactions!$E:$E,Transactions!$O:$O,$A73,Transactions!$B:$B,"Assigned"))&gt;0,"Covered","Free")))</f>
        <v/>
      </c>
      <c r="P73" s="26" t="str">
        <f aca="false">IF(OR(I73="",G73&lt;=0),"",CEILING(MAX(I73,N(L73)),IF(E73&lt;50,0.5,IF(E73&lt;200,1,5))))</f>
        <v/>
      </c>
      <c r="Q73" s="8" t="str">
        <f aca="true">IF(OR(N73="",G73&lt;=0),"",IF(N73&gt;=0,"",IF(COUNTIFS($B:$B,B73,$C:$C,"&gt;="&amp;(TODAY()-30),$C:$C,"&lt;="&amp;TODAY(),$A:$A,"&lt;&gt;"&amp;$A73)&gt;0,"Loss sale now = wash sale","OK to harvest loss")))</f>
        <v/>
      </c>
      <c r="R73" s="14" t="str">
        <f aca="false">IF(OR($A73="",N(F73)&lt;=0),"",SUMIFS(Transactions!$J:$J,Transactions!$O:$O,$A73,Transactions!$B:$B,"Sell shares")-E73*F73)</f>
        <v/>
      </c>
      <c r="S73" s="10" t="str">
        <f aca="false">IF(OR($A73="",N(F73)&lt;=0),"",_xlfn.MAXIFS(Transactions!$A:$A,Transactions!$O:$O,$A73,Transactions!$B:$B,"Sell shares"))</f>
        <v/>
      </c>
      <c r="T73" s="14" t="str">
        <f aca="false">IF(OR($A73="",E73=""),"",E73*G73)</f>
        <v/>
      </c>
    </row>
    <row r="74" customFormat="false" ht="15" hidden="false" customHeight="false" outlineLevel="0" collapsed="false">
      <c r="A74" s="21"/>
      <c r="B74" s="8" t="str">
        <f aca="false">IF($A74="","",IFERROR(INDEX(Transactions!$C:$C,MATCH($A74,Transactions!$O:$O,0)),""))</f>
        <v/>
      </c>
      <c r="C74" s="10" t="str">
        <f aca="false">IF($A74="","",IF(COUNTIFS(Transactions!$O:$O,$A74,Transactions!$B:$B,"Buy shares")=0,"",_xlfn.MINIFS(Transactions!$A:$A,Transactions!$O:$O,$A74,Transactions!$B:$B,"Buy shares")))</f>
        <v/>
      </c>
      <c r="D74" s="18" t="str">
        <f aca="false">IF($A74="","",SUMIFS(Transactions!$E:$E,Transactions!$O:$O,$A74,Transactions!$B:$B,"Buy shares"))</f>
        <v/>
      </c>
      <c r="E74" s="26" t="str">
        <f aca="false">IF($A74="","",IF(D74=0,"",-SUMIFS(Transactions!$J:$J,Transactions!$O:$O,$A74,Transactions!$B:$B,"Buy shares")/D74))</f>
        <v/>
      </c>
      <c r="F74" s="18" t="str">
        <f aca="false">IF($A74="","",-SUMIFS(Transactions!$E:$E,Transactions!$O:$O,$A74,Transactions!$B:$B,"Sell shares"))</f>
        <v/>
      </c>
      <c r="G74" s="18" t="str">
        <f aca="false">IF($A74="","",D74-F74)</f>
        <v/>
      </c>
      <c r="H74" s="14" t="str">
        <f aca="false">IF($A74="","",SUMIFS(Transactions!$J:$J,Transactions!$O:$O,$A74,Transactions!$B:$B,"Sell call")+SUMIFS(Transactions!$J:$J,Transactions!$O:$O,$A74,Transactions!$B:$B,"Buy to close"))</f>
        <v/>
      </c>
      <c r="I74" s="26" t="str">
        <f aca="false">IF(OR($A74="",E74=""),"",E74-H74/D74)</f>
        <v/>
      </c>
      <c r="J74" s="26" t="str">
        <f aca="false">IF($A74="","",IFERROR(INDEX(Positions!$K:$K,MATCH(B74,Positions!$B:$B,0)),""))</f>
        <v/>
      </c>
      <c r="K74" s="23"/>
      <c r="L74" s="26" t="str">
        <f aca="false">IF($A74="","",IF(K74&lt;&gt;"",K74,J74))</f>
        <v/>
      </c>
      <c r="M74" s="14" t="str">
        <f aca="false">IF(OR($A74="",L74=""),"",L74*G74)</f>
        <v/>
      </c>
      <c r="N74" s="14" t="str">
        <f aca="false">IF(OR(M74="",E74=""),"",(L74-E74)*G74)</f>
        <v/>
      </c>
      <c r="O74" s="8" t="str">
        <f aca="false">IF($A74="","",IF(G74&lt;=0,"Sold",IF((-SUMIFS(Transactions!$E:$E,Transactions!$O:$O,$A74,Transactions!$B:$B,"Sell call")-SUMIFS(Transactions!$E:$E,Transactions!$O:$O,$A74,Transactions!$B:$B,"Buy to close")-SUMIFS(Transactions!$E:$E,Transactions!$O:$O,$A74,Transactions!$B:$B,"Expired")-SUMIFS(Transactions!$E:$E,Transactions!$O:$O,$A74,Transactions!$B:$B,"Assigned"))&gt;0,"Covered","Free")))</f>
        <v/>
      </c>
      <c r="P74" s="26" t="str">
        <f aca="false">IF(OR(I74="",G74&lt;=0),"",CEILING(MAX(I74,N(L74)),IF(E74&lt;50,0.5,IF(E74&lt;200,1,5))))</f>
        <v/>
      </c>
      <c r="Q74" s="8" t="str">
        <f aca="true">IF(OR(N74="",G74&lt;=0),"",IF(N74&gt;=0,"",IF(COUNTIFS($B:$B,B74,$C:$C,"&gt;="&amp;(TODAY()-30),$C:$C,"&lt;="&amp;TODAY(),$A:$A,"&lt;&gt;"&amp;$A74)&gt;0,"Loss sale now = wash sale","OK to harvest loss")))</f>
        <v/>
      </c>
      <c r="R74" s="14" t="str">
        <f aca="false">IF(OR($A74="",N(F74)&lt;=0),"",SUMIFS(Transactions!$J:$J,Transactions!$O:$O,$A74,Transactions!$B:$B,"Sell shares")-E74*F74)</f>
        <v/>
      </c>
      <c r="S74" s="10" t="str">
        <f aca="false">IF(OR($A74="",N(F74)&lt;=0),"",_xlfn.MAXIFS(Transactions!$A:$A,Transactions!$O:$O,$A74,Transactions!$B:$B,"Sell shares"))</f>
        <v/>
      </c>
      <c r="T74" s="14" t="str">
        <f aca="false">IF(OR($A74="",E74=""),"",E74*G74)</f>
        <v/>
      </c>
    </row>
    <row r="75" customFormat="false" ht="15" hidden="false" customHeight="false" outlineLevel="0" collapsed="false">
      <c r="A75" s="21"/>
      <c r="B75" s="8" t="str">
        <f aca="false">IF($A75="","",IFERROR(INDEX(Transactions!$C:$C,MATCH($A75,Transactions!$O:$O,0)),""))</f>
        <v/>
      </c>
      <c r="C75" s="10" t="str">
        <f aca="false">IF($A75="","",IF(COUNTIFS(Transactions!$O:$O,$A75,Transactions!$B:$B,"Buy shares")=0,"",_xlfn.MINIFS(Transactions!$A:$A,Transactions!$O:$O,$A75,Transactions!$B:$B,"Buy shares")))</f>
        <v/>
      </c>
      <c r="D75" s="18" t="str">
        <f aca="false">IF($A75="","",SUMIFS(Transactions!$E:$E,Transactions!$O:$O,$A75,Transactions!$B:$B,"Buy shares"))</f>
        <v/>
      </c>
      <c r="E75" s="26" t="str">
        <f aca="false">IF($A75="","",IF(D75=0,"",-SUMIFS(Transactions!$J:$J,Transactions!$O:$O,$A75,Transactions!$B:$B,"Buy shares")/D75))</f>
        <v/>
      </c>
      <c r="F75" s="18" t="str">
        <f aca="false">IF($A75="","",-SUMIFS(Transactions!$E:$E,Transactions!$O:$O,$A75,Transactions!$B:$B,"Sell shares"))</f>
        <v/>
      </c>
      <c r="G75" s="18" t="str">
        <f aca="false">IF($A75="","",D75-F75)</f>
        <v/>
      </c>
      <c r="H75" s="14" t="str">
        <f aca="false">IF($A75="","",SUMIFS(Transactions!$J:$J,Transactions!$O:$O,$A75,Transactions!$B:$B,"Sell call")+SUMIFS(Transactions!$J:$J,Transactions!$O:$O,$A75,Transactions!$B:$B,"Buy to close"))</f>
        <v/>
      </c>
      <c r="I75" s="26" t="str">
        <f aca="false">IF(OR($A75="",E75=""),"",E75-H75/D75)</f>
        <v/>
      </c>
      <c r="J75" s="26" t="str">
        <f aca="false">IF($A75="","",IFERROR(INDEX(Positions!$K:$K,MATCH(B75,Positions!$B:$B,0)),""))</f>
        <v/>
      </c>
      <c r="K75" s="23"/>
      <c r="L75" s="26" t="str">
        <f aca="false">IF($A75="","",IF(K75&lt;&gt;"",K75,J75))</f>
        <v/>
      </c>
      <c r="M75" s="14" t="str">
        <f aca="false">IF(OR($A75="",L75=""),"",L75*G75)</f>
        <v/>
      </c>
      <c r="N75" s="14" t="str">
        <f aca="false">IF(OR(M75="",E75=""),"",(L75-E75)*G75)</f>
        <v/>
      </c>
      <c r="O75" s="8" t="str">
        <f aca="false">IF($A75="","",IF(G75&lt;=0,"Sold",IF((-SUMIFS(Transactions!$E:$E,Transactions!$O:$O,$A75,Transactions!$B:$B,"Sell call")-SUMIFS(Transactions!$E:$E,Transactions!$O:$O,$A75,Transactions!$B:$B,"Buy to close")-SUMIFS(Transactions!$E:$E,Transactions!$O:$O,$A75,Transactions!$B:$B,"Expired")-SUMIFS(Transactions!$E:$E,Transactions!$O:$O,$A75,Transactions!$B:$B,"Assigned"))&gt;0,"Covered","Free")))</f>
        <v/>
      </c>
      <c r="P75" s="26" t="str">
        <f aca="false">IF(OR(I75="",G75&lt;=0),"",CEILING(MAX(I75,N(L75)),IF(E75&lt;50,0.5,IF(E75&lt;200,1,5))))</f>
        <v/>
      </c>
      <c r="Q75" s="8" t="str">
        <f aca="true">IF(OR(N75="",G75&lt;=0),"",IF(N75&gt;=0,"",IF(COUNTIFS($B:$B,B75,$C:$C,"&gt;="&amp;(TODAY()-30),$C:$C,"&lt;="&amp;TODAY(),$A:$A,"&lt;&gt;"&amp;$A75)&gt;0,"Loss sale now = wash sale","OK to harvest loss")))</f>
        <v/>
      </c>
      <c r="R75" s="14" t="str">
        <f aca="false">IF(OR($A75="",N(F75)&lt;=0),"",SUMIFS(Transactions!$J:$J,Transactions!$O:$O,$A75,Transactions!$B:$B,"Sell shares")-E75*F75)</f>
        <v/>
      </c>
      <c r="S75" s="10" t="str">
        <f aca="false">IF(OR($A75="",N(F75)&lt;=0),"",_xlfn.MAXIFS(Transactions!$A:$A,Transactions!$O:$O,$A75,Transactions!$B:$B,"Sell shares"))</f>
        <v/>
      </c>
      <c r="T75" s="14" t="str">
        <f aca="false">IF(OR($A75="",E75=""),"",E75*G75)</f>
        <v/>
      </c>
    </row>
    <row r="76" customFormat="false" ht="15" hidden="false" customHeight="false" outlineLevel="0" collapsed="false">
      <c r="A76" s="21"/>
      <c r="B76" s="8" t="str">
        <f aca="false">IF($A76="","",IFERROR(INDEX(Transactions!$C:$C,MATCH($A76,Transactions!$O:$O,0)),""))</f>
        <v/>
      </c>
      <c r="C76" s="10" t="str">
        <f aca="false">IF($A76="","",IF(COUNTIFS(Transactions!$O:$O,$A76,Transactions!$B:$B,"Buy shares")=0,"",_xlfn.MINIFS(Transactions!$A:$A,Transactions!$O:$O,$A76,Transactions!$B:$B,"Buy shares")))</f>
        <v/>
      </c>
      <c r="D76" s="18" t="str">
        <f aca="false">IF($A76="","",SUMIFS(Transactions!$E:$E,Transactions!$O:$O,$A76,Transactions!$B:$B,"Buy shares"))</f>
        <v/>
      </c>
      <c r="E76" s="26" t="str">
        <f aca="false">IF($A76="","",IF(D76=0,"",-SUMIFS(Transactions!$J:$J,Transactions!$O:$O,$A76,Transactions!$B:$B,"Buy shares")/D76))</f>
        <v/>
      </c>
      <c r="F76" s="18" t="str">
        <f aca="false">IF($A76="","",-SUMIFS(Transactions!$E:$E,Transactions!$O:$O,$A76,Transactions!$B:$B,"Sell shares"))</f>
        <v/>
      </c>
      <c r="G76" s="18" t="str">
        <f aca="false">IF($A76="","",D76-F76)</f>
        <v/>
      </c>
      <c r="H76" s="14" t="str">
        <f aca="false">IF($A76="","",SUMIFS(Transactions!$J:$J,Transactions!$O:$O,$A76,Transactions!$B:$B,"Sell call")+SUMIFS(Transactions!$J:$J,Transactions!$O:$O,$A76,Transactions!$B:$B,"Buy to close"))</f>
        <v/>
      </c>
      <c r="I76" s="26" t="str">
        <f aca="false">IF(OR($A76="",E76=""),"",E76-H76/D76)</f>
        <v/>
      </c>
      <c r="J76" s="26" t="str">
        <f aca="false">IF($A76="","",IFERROR(INDEX(Positions!$K:$K,MATCH(B76,Positions!$B:$B,0)),""))</f>
        <v/>
      </c>
      <c r="K76" s="23"/>
      <c r="L76" s="26" t="str">
        <f aca="false">IF($A76="","",IF(K76&lt;&gt;"",K76,J76))</f>
        <v/>
      </c>
      <c r="M76" s="14" t="str">
        <f aca="false">IF(OR($A76="",L76=""),"",L76*G76)</f>
        <v/>
      </c>
      <c r="N76" s="14" t="str">
        <f aca="false">IF(OR(M76="",E76=""),"",(L76-E76)*G76)</f>
        <v/>
      </c>
      <c r="O76" s="8" t="str">
        <f aca="false">IF($A76="","",IF(G76&lt;=0,"Sold",IF((-SUMIFS(Transactions!$E:$E,Transactions!$O:$O,$A76,Transactions!$B:$B,"Sell call")-SUMIFS(Transactions!$E:$E,Transactions!$O:$O,$A76,Transactions!$B:$B,"Buy to close")-SUMIFS(Transactions!$E:$E,Transactions!$O:$O,$A76,Transactions!$B:$B,"Expired")-SUMIFS(Transactions!$E:$E,Transactions!$O:$O,$A76,Transactions!$B:$B,"Assigned"))&gt;0,"Covered","Free")))</f>
        <v/>
      </c>
      <c r="P76" s="26" t="str">
        <f aca="false">IF(OR(I76="",G76&lt;=0),"",CEILING(MAX(I76,N(L76)),IF(E76&lt;50,0.5,IF(E76&lt;200,1,5))))</f>
        <v/>
      </c>
      <c r="Q76" s="8" t="str">
        <f aca="true">IF(OR(N76="",G76&lt;=0),"",IF(N76&gt;=0,"",IF(COUNTIFS($B:$B,B76,$C:$C,"&gt;="&amp;(TODAY()-30),$C:$C,"&lt;="&amp;TODAY(),$A:$A,"&lt;&gt;"&amp;$A76)&gt;0,"Loss sale now = wash sale","OK to harvest loss")))</f>
        <v/>
      </c>
      <c r="R76" s="14" t="str">
        <f aca="false">IF(OR($A76="",N(F76)&lt;=0),"",SUMIFS(Transactions!$J:$J,Transactions!$O:$O,$A76,Transactions!$B:$B,"Sell shares")-E76*F76)</f>
        <v/>
      </c>
      <c r="S76" s="10" t="str">
        <f aca="false">IF(OR($A76="",N(F76)&lt;=0),"",_xlfn.MAXIFS(Transactions!$A:$A,Transactions!$O:$O,$A76,Transactions!$B:$B,"Sell shares"))</f>
        <v/>
      </c>
      <c r="T76" s="14" t="str">
        <f aca="false">IF(OR($A76="",E76=""),"",E76*G76)</f>
        <v/>
      </c>
    </row>
    <row r="77" customFormat="false" ht="15" hidden="false" customHeight="false" outlineLevel="0" collapsed="false">
      <c r="A77" s="21"/>
      <c r="B77" s="8" t="str">
        <f aca="false">IF($A77="","",IFERROR(INDEX(Transactions!$C:$C,MATCH($A77,Transactions!$O:$O,0)),""))</f>
        <v/>
      </c>
      <c r="C77" s="10" t="str">
        <f aca="false">IF($A77="","",IF(COUNTIFS(Transactions!$O:$O,$A77,Transactions!$B:$B,"Buy shares")=0,"",_xlfn.MINIFS(Transactions!$A:$A,Transactions!$O:$O,$A77,Transactions!$B:$B,"Buy shares")))</f>
        <v/>
      </c>
      <c r="D77" s="18" t="str">
        <f aca="false">IF($A77="","",SUMIFS(Transactions!$E:$E,Transactions!$O:$O,$A77,Transactions!$B:$B,"Buy shares"))</f>
        <v/>
      </c>
      <c r="E77" s="26" t="str">
        <f aca="false">IF($A77="","",IF(D77=0,"",-SUMIFS(Transactions!$J:$J,Transactions!$O:$O,$A77,Transactions!$B:$B,"Buy shares")/D77))</f>
        <v/>
      </c>
      <c r="F77" s="18" t="str">
        <f aca="false">IF($A77="","",-SUMIFS(Transactions!$E:$E,Transactions!$O:$O,$A77,Transactions!$B:$B,"Sell shares"))</f>
        <v/>
      </c>
      <c r="G77" s="18" t="str">
        <f aca="false">IF($A77="","",D77-F77)</f>
        <v/>
      </c>
      <c r="H77" s="14" t="str">
        <f aca="false">IF($A77="","",SUMIFS(Transactions!$J:$J,Transactions!$O:$O,$A77,Transactions!$B:$B,"Sell call")+SUMIFS(Transactions!$J:$J,Transactions!$O:$O,$A77,Transactions!$B:$B,"Buy to close"))</f>
        <v/>
      </c>
      <c r="I77" s="26" t="str">
        <f aca="false">IF(OR($A77="",E77=""),"",E77-H77/D77)</f>
        <v/>
      </c>
      <c r="J77" s="26" t="str">
        <f aca="false">IF($A77="","",IFERROR(INDEX(Positions!$K:$K,MATCH(B77,Positions!$B:$B,0)),""))</f>
        <v/>
      </c>
      <c r="K77" s="23"/>
      <c r="L77" s="26" t="str">
        <f aca="false">IF($A77="","",IF(K77&lt;&gt;"",K77,J77))</f>
        <v/>
      </c>
      <c r="M77" s="14" t="str">
        <f aca="false">IF(OR($A77="",L77=""),"",L77*G77)</f>
        <v/>
      </c>
      <c r="N77" s="14" t="str">
        <f aca="false">IF(OR(M77="",E77=""),"",(L77-E77)*G77)</f>
        <v/>
      </c>
      <c r="O77" s="8" t="str">
        <f aca="false">IF($A77="","",IF(G77&lt;=0,"Sold",IF((-SUMIFS(Transactions!$E:$E,Transactions!$O:$O,$A77,Transactions!$B:$B,"Sell call")-SUMIFS(Transactions!$E:$E,Transactions!$O:$O,$A77,Transactions!$B:$B,"Buy to close")-SUMIFS(Transactions!$E:$E,Transactions!$O:$O,$A77,Transactions!$B:$B,"Expired")-SUMIFS(Transactions!$E:$E,Transactions!$O:$O,$A77,Transactions!$B:$B,"Assigned"))&gt;0,"Covered","Free")))</f>
        <v/>
      </c>
      <c r="P77" s="26" t="str">
        <f aca="false">IF(OR(I77="",G77&lt;=0),"",CEILING(MAX(I77,N(L77)),IF(E77&lt;50,0.5,IF(E77&lt;200,1,5))))</f>
        <v/>
      </c>
      <c r="Q77" s="8" t="str">
        <f aca="true">IF(OR(N77="",G77&lt;=0),"",IF(N77&gt;=0,"",IF(COUNTIFS($B:$B,B77,$C:$C,"&gt;="&amp;(TODAY()-30),$C:$C,"&lt;="&amp;TODAY(),$A:$A,"&lt;&gt;"&amp;$A77)&gt;0,"Loss sale now = wash sale","OK to harvest loss")))</f>
        <v/>
      </c>
      <c r="R77" s="14" t="str">
        <f aca="false">IF(OR($A77="",N(F77)&lt;=0),"",SUMIFS(Transactions!$J:$J,Transactions!$O:$O,$A77,Transactions!$B:$B,"Sell shares")-E77*F77)</f>
        <v/>
      </c>
      <c r="S77" s="10" t="str">
        <f aca="false">IF(OR($A77="",N(F77)&lt;=0),"",_xlfn.MAXIFS(Transactions!$A:$A,Transactions!$O:$O,$A77,Transactions!$B:$B,"Sell shares"))</f>
        <v/>
      </c>
      <c r="T77" s="14" t="str">
        <f aca="false">IF(OR($A77="",E77=""),"",E77*G77)</f>
        <v/>
      </c>
    </row>
    <row r="78" customFormat="false" ht="15" hidden="false" customHeight="false" outlineLevel="0" collapsed="false">
      <c r="A78" s="21"/>
      <c r="B78" s="8" t="str">
        <f aca="false">IF($A78="","",IFERROR(INDEX(Transactions!$C:$C,MATCH($A78,Transactions!$O:$O,0)),""))</f>
        <v/>
      </c>
      <c r="C78" s="10" t="str">
        <f aca="false">IF($A78="","",IF(COUNTIFS(Transactions!$O:$O,$A78,Transactions!$B:$B,"Buy shares")=0,"",_xlfn.MINIFS(Transactions!$A:$A,Transactions!$O:$O,$A78,Transactions!$B:$B,"Buy shares")))</f>
        <v/>
      </c>
      <c r="D78" s="18" t="str">
        <f aca="false">IF($A78="","",SUMIFS(Transactions!$E:$E,Transactions!$O:$O,$A78,Transactions!$B:$B,"Buy shares"))</f>
        <v/>
      </c>
      <c r="E78" s="26" t="str">
        <f aca="false">IF($A78="","",IF(D78=0,"",-SUMIFS(Transactions!$J:$J,Transactions!$O:$O,$A78,Transactions!$B:$B,"Buy shares")/D78))</f>
        <v/>
      </c>
      <c r="F78" s="18" t="str">
        <f aca="false">IF($A78="","",-SUMIFS(Transactions!$E:$E,Transactions!$O:$O,$A78,Transactions!$B:$B,"Sell shares"))</f>
        <v/>
      </c>
      <c r="G78" s="18" t="str">
        <f aca="false">IF($A78="","",D78-F78)</f>
        <v/>
      </c>
      <c r="H78" s="14" t="str">
        <f aca="false">IF($A78="","",SUMIFS(Transactions!$J:$J,Transactions!$O:$O,$A78,Transactions!$B:$B,"Sell call")+SUMIFS(Transactions!$J:$J,Transactions!$O:$O,$A78,Transactions!$B:$B,"Buy to close"))</f>
        <v/>
      </c>
      <c r="I78" s="26" t="str">
        <f aca="false">IF(OR($A78="",E78=""),"",E78-H78/D78)</f>
        <v/>
      </c>
      <c r="J78" s="26" t="str">
        <f aca="false">IF($A78="","",IFERROR(INDEX(Positions!$K:$K,MATCH(B78,Positions!$B:$B,0)),""))</f>
        <v/>
      </c>
      <c r="K78" s="23"/>
      <c r="L78" s="26" t="str">
        <f aca="false">IF($A78="","",IF(K78&lt;&gt;"",K78,J78))</f>
        <v/>
      </c>
      <c r="M78" s="14" t="str">
        <f aca="false">IF(OR($A78="",L78=""),"",L78*G78)</f>
        <v/>
      </c>
      <c r="N78" s="14" t="str">
        <f aca="false">IF(OR(M78="",E78=""),"",(L78-E78)*G78)</f>
        <v/>
      </c>
      <c r="O78" s="8" t="str">
        <f aca="false">IF($A78="","",IF(G78&lt;=0,"Sold",IF((-SUMIFS(Transactions!$E:$E,Transactions!$O:$O,$A78,Transactions!$B:$B,"Sell call")-SUMIFS(Transactions!$E:$E,Transactions!$O:$O,$A78,Transactions!$B:$B,"Buy to close")-SUMIFS(Transactions!$E:$E,Transactions!$O:$O,$A78,Transactions!$B:$B,"Expired")-SUMIFS(Transactions!$E:$E,Transactions!$O:$O,$A78,Transactions!$B:$B,"Assigned"))&gt;0,"Covered","Free")))</f>
        <v/>
      </c>
      <c r="P78" s="26" t="str">
        <f aca="false">IF(OR(I78="",G78&lt;=0),"",CEILING(MAX(I78,N(L78)),IF(E78&lt;50,0.5,IF(E78&lt;200,1,5))))</f>
        <v/>
      </c>
      <c r="Q78" s="8" t="str">
        <f aca="true">IF(OR(N78="",G78&lt;=0),"",IF(N78&gt;=0,"",IF(COUNTIFS($B:$B,B78,$C:$C,"&gt;="&amp;(TODAY()-30),$C:$C,"&lt;="&amp;TODAY(),$A:$A,"&lt;&gt;"&amp;$A78)&gt;0,"Loss sale now = wash sale","OK to harvest loss")))</f>
        <v/>
      </c>
      <c r="R78" s="14" t="str">
        <f aca="false">IF(OR($A78="",N(F78)&lt;=0),"",SUMIFS(Transactions!$J:$J,Transactions!$O:$O,$A78,Transactions!$B:$B,"Sell shares")-E78*F78)</f>
        <v/>
      </c>
      <c r="S78" s="10" t="str">
        <f aca="false">IF(OR($A78="",N(F78)&lt;=0),"",_xlfn.MAXIFS(Transactions!$A:$A,Transactions!$O:$O,$A78,Transactions!$B:$B,"Sell shares"))</f>
        <v/>
      </c>
      <c r="T78" s="14" t="str">
        <f aca="false">IF(OR($A78="",E78=""),"",E78*G78)</f>
        <v/>
      </c>
    </row>
    <row r="79" customFormat="false" ht="15" hidden="false" customHeight="false" outlineLevel="0" collapsed="false">
      <c r="A79" s="21"/>
      <c r="B79" s="8" t="str">
        <f aca="false">IF($A79="","",IFERROR(INDEX(Transactions!$C:$C,MATCH($A79,Transactions!$O:$O,0)),""))</f>
        <v/>
      </c>
      <c r="C79" s="10" t="str">
        <f aca="false">IF($A79="","",IF(COUNTIFS(Transactions!$O:$O,$A79,Transactions!$B:$B,"Buy shares")=0,"",_xlfn.MINIFS(Transactions!$A:$A,Transactions!$O:$O,$A79,Transactions!$B:$B,"Buy shares")))</f>
        <v/>
      </c>
      <c r="D79" s="18" t="str">
        <f aca="false">IF($A79="","",SUMIFS(Transactions!$E:$E,Transactions!$O:$O,$A79,Transactions!$B:$B,"Buy shares"))</f>
        <v/>
      </c>
      <c r="E79" s="26" t="str">
        <f aca="false">IF($A79="","",IF(D79=0,"",-SUMIFS(Transactions!$J:$J,Transactions!$O:$O,$A79,Transactions!$B:$B,"Buy shares")/D79))</f>
        <v/>
      </c>
      <c r="F79" s="18" t="str">
        <f aca="false">IF($A79="","",-SUMIFS(Transactions!$E:$E,Transactions!$O:$O,$A79,Transactions!$B:$B,"Sell shares"))</f>
        <v/>
      </c>
      <c r="G79" s="18" t="str">
        <f aca="false">IF($A79="","",D79-F79)</f>
        <v/>
      </c>
      <c r="H79" s="14" t="str">
        <f aca="false">IF($A79="","",SUMIFS(Transactions!$J:$J,Transactions!$O:$O,$A79,Transactions!$B:$B,"Sell call")+SUMIFS(Transactions!$J:$J,Transactions!$O:$O,$A79,Transactions!$B:$B,"Buy to close"))</f>
        <v/>
      </c>
      <c r="I79" s="26" t="str">
        <f aca="false">IF(OR($A79="",E79=""),"",E79-H79/D79)</f>
        <v/>
      </c>
      <c r="J79" s="26" t="str">
        <f aca="false">IF($A79="","",IFERROR(INDEX(Positions!$K:$K,MATCH(B79,Positions!$B:$B,0)),""))</f>
        <v/>
      </c>
      <c r="K79" s="23"/>
      <c r="L79" s="26" t="str">
        <f aca="false">IF($A79="","",IF(K79&lt;&gt;"",K79,J79))</f>
        <v/>
      </c>
      <c r="M79" s="14" t="str">
        <f aca="false">IF(OR($A79="",L79=""),"",L79*G79)</f>
        <v/>
      </c>
      <c r="N79" s="14" t="str">
        <f aca="false">IF(OR(M79="",E79=""),"",(L79-E79)*G79)</f>
        <v/>
      </c>
      <c r="O79" s="8" t="str">
        <f aca="false">IF($A79="","",IF(G79&lt;=0,"Sold",IF((-SUMIFS(Transactions!$E:$E,Transactions!$O:$O,$A79,Transactions!$B:$B,"Sell call")-SUMIFS(Transactions!$E:$E,Transactions!$O:$O,$A79,Transactions!$B:$B,"Buy to close")-SUMIFS(Transactions!$E:$E,Transactions!$O:$O,$A79,Transactions!$B:$B,"Expired")-SUMIFS(Transactions!$E:$E,Transactions!$O:$O,$A79,Transactions!$B:$B,"Assigned"))&gt;0,"Covered","Free")))</f>
        <v/>
      </c>
      <c r="P79" s="26" t="str">
        <f aca="false">IF(OR(I79="",G79&lt;=0),"",CEILING(MAX(I79,N(L79)),IF(E79&lt;50,0.5,IF(E79&lt;200,1,5))))</f>
        <v/>
      </c>
      <c r="Q79" s="8" t="str">
        <f aca="true">IF(OR(N79="",G79&lt;=0),"",IF(N79&gt;=0,"",IF(COUNTIFS($B:$B,B79,$C:$C,"&gt;="&amp;(TODAY()-30),$C:$C,"&lt;="&amp;TODAY(),$A:$A,"&lt;&gt;"&amp;$A79)&gt;0,"Loss sale now = wash sale","OK to harvest loss")))</f>
        <v/>
      </c>
      <c r="R79" s="14" t="str">
        <f aca="false">IF(OR($A79="",N(F79)&lt;=0),"",SUMIFS(Transactions!$J:$J,Transactions!$O:$O,$A79,Transactions!$B:$B,"Sell shares")-E79*F79)</f>
        <v/>
      </c>
      <c r="S79" s="10" t="str">
        <f aca="false">IF(OR($A79="",N(F79)&lt;=0),"",_xlfn.MAXIFS(Transactions!$A:$A,Transactions!$O:$O,$A79,Transactions!$B:$B,"Sell shares"))</f>
        <v/>
      </c>
      <c r="T79" s="14" t="str">
        <f aca="false">IF(OR($A79="",E79=""),"",E79*G79)</f>
        <v/>
      </c>
    </row>
    <row r="80" customFormat="false" ht="15" hidden="false" customHeight="false" outlineLevel="0" collapsed="false">
      <c r="A80" s="21"/>
      <c r="B80" s="8" t="str">
        <f aca="false">IF($A80="","",IFERROR(INDEX(Transactions!$C:$C,MATCH($A80,Transactions!$O:$O,0)),""))</f>
        <v/>
      </c>
      <c r="C80" s="10" t="str">
        <f aca="false">IF($A80="","",IF(COUNTIFS(Transactions!$O:$O,$A80,Transactions!$B:$B,"Buy shares")=0,"",_xlfn.MINIFS(Transactions!$A:$A,Transactions!$O:$O,$A80,Transactions!$B:$B,"Buy shares")))</f>
        <v/>
      </c>
      <c r="D80" s="18" t="str">
        <f aca="false">IF($A80="","",SUMIFS(Transactions!$E:$E,Transactions!$O:$O,$A80,Transactions!$B:$B,"Buy shares"))</f>
        <v/>
      </c>
      <c r="E80" s="26" t="str">
        <f aca="false">IF($A80="","",IF(D80=0,"",-SUMIFS(Transactions!$J:$J,Transactions!$O:$O,$A80,Transactions!$B:$B,"Buy shares")/D80))</f>
        <v/>
      </c>
      <c r="F80" s="18" t="str">
        <f aca="false">IF($A80="","",-SUMIFS(Transactions!$E:$E,Transactions!$O:$O,$A80,Transactions!$B:$B,"Sell shares"))</f>
        <v/>
      </c>
      <c r="G80" s="18" t="str">
        <f aca="false">IF($A80="","",D80-F80)</f>
        <v/>
      </c>
      <c r="H80" s="14" t="str">
        <f aca="false">IF($A80="","",SUMIFS(Transactions!$J:$J,Transactions!$O:$O,$A80,Transactions!$B:$B,"Sell call")+SUMIFS(Transactions!$J:$J,Transactions!$O:$O,$A80,Transactions!$B:$B,"Buy to close"))</f>
        <v/>
      </c>
      <c r="I80" s="26" t="str">
        <f aca="false">IF(OR($A80="",E80=""),"",E80-H80/D80)</f>
        <v/>
      </c>
      <c r="J80" s="26" t="str">
        <f aca="false">IF($A80="","",IFERROR(INDEX(Positions!$K:$K,MATCH(B80,Positions!$B:$B,0)),""))</f>
        <v/>
      </c>
      <c r="K80" s="23"/>
      <c r="L80" s="26" t="str">
        <f aca="false">IF($A80="","",IF(K80&lt;&gt;"",K80,J80))</f>
        <v/>
      </c>
      <c r="M80" s="14" t="str">
        <f aca="false">IF(OR($A80="",L80=""),"",L80*G80)</f>
        <v/>
      </c>
      <c r="N80" s="14" t="str">
        <f aca="false">IF(OR(M80="",E80=""),"",(L80-E80)*G80)</f>
        <v/>
      </c>
      <c r="O80" s="8" t="str">
        <f aca="false">IF($A80="","",IF(G80&lt;=0,"Sold",IF((-SUMIFS(Transactions!$E:$E,Transactions!$O:$O,$A80,Transactions!$B:$B,"Sell call")-SUMIFS(Transactions!$E:$E,Transactions!$O:$O,$A80,Transactions!$B:$B,"Buy to close")-SUMIFS(Transactions!$E:$E,Transactions!$O:$O,$A80,Transactions!$B:$B,"Expired")-SUMIFS(Transactions!$E:$E,Transactions!$O:$O,$A80,Transactions!$B:$B,"Assigned"))&gt;0,"Covered","Free")))</f>
        <v/>
      </c>
      <c r="P80" s="26" t="str">
        <f aca="false">IF(OR(I80="",G80&lt;=0),"",CEILING(MAX(I80,N(L80)),IF(E80&lt;50,0.5,IF(E80&lt;200,1,5))))</f>
        <v/>
      </c>
      <c r="Q80" s="8" t="str">
        <f aca="true">IF(OR(N80="",G80&lt;=0),"",IF(N80&gt;=0,"",IF(COUNTIFS($B:$B,B80,$C:$C,"&gt;="&amp;(TODAY()-30),$C:$C,"&lt;="&amp;TODAY(),$A:$A,"&lt;&gt;"&amp;$A80)&gt;0,"Loss sale now = wash sale","OK to harvest loss")))</f>
        <v/>
      </c>
      <c r="R80" s="14" t="str">
        <f aca="false">IF(OR($A80="",N(F80)&lt;=0),"",SUMIFS(Transactions!$J:$J,Transactions!$O:$O,$A80,Transactions!$B:$B,"Sell shares")-E80*F80)</f>
        <v/>
      </c>
      <c r="S80" s="10" t="str">
        <f aca="false">IF(OR($A80="",N(F80)&lt;=0),"",_xlfn.MAXIFS(Transactions!$A:$A,Transactions!$O:$O,$A80,Transactions!$B:$B,"Sell shares"))</f>
        <v/>
      </c>
      <c r="T80" s="14" t="str">
        <f aca="false">IF(OR($A80="",E80=""),"",E80*G80)</f>
        <v/>
      </c>
    </row>
    <row r="81" customFormat="false" ht="15" hidden="false" customHeight="false" outlineLevel="0" collapsed="false">
      <c r="A81" s="21"/>
      <c r="B81" s="8" t="str">
        <f aca="false">IF($A81="","",IFERROR(INDEX(Transactions!$C:$C,MATCH($A81,Transactions!$O:$O,0)),""))</f>
        <v/>
      </c>
      <c r="C81" s="10" t="str">
        <f aca="false">IF($A81="","",IF(COUNTIFS(Transactions!$O:$O,$A81,Transactions!$B:$B,"Buy shares")=0,"",_xlfn.MINIFS(Transactions!$A:$A,Transactions!$O:$O,$A81,Transactions!$B:$B,"Buy shares")))</f>
        <v/>
      </c>
      <c r="D81" s="18" t="str">
        <f aca="false">IF($A81="","",SUMIFS(Transactions!$E:$E,Transactions!$O:$O,$A81,Transactions!$B:$B,"Buy shares"))</f>
        <v/>
      </c>
      <c r="E81" s="26" t="str">
        <f aca="false">IF($A81="","",IF(D81=0,"",-SUMIFS(Transactions!$J:$J,Transactions!$O:$O,$A81,Transactions!$B:$B,"Buy shares")/D81))</f>
        <v/>
      </c>
      <c r="F81" s="18" t="str">
        <f aca="false">IF($A81="","",-SUMIFS(Transactions!$E:$E,Transactions!$O:$O,$A81,Transactions!$B:$B,"Sell shares"))</f>
        <v/>
      </c>
      <c r="G81" s="18" t="str">
        <f aca="false">IF($A81="","",D81-F81)</f>
        <v/>
      </c>
      <c r="H81" s="14" t="str">
        <f aca="false">IF($A81="","",SUMIFS(Transactions!$J:$J,Transactions!$O:$O,$A81,Transactions!$B:$B,"Sell call")+SUMIFS(Transactions!$J:$J,Transactions!$O:$O,$A81,Transactions!$B:$B,"Buy to close"))</f>
        <v/>
      </c>
      <c r="I81" s="26" t="str">
        <f aca="false">IF(OR($A81="",E81=""),"",E81-H81/D81)</f>
        <v/>
      </c>
      <c r="J81" s="26" t="str">
        <f aca="false">IF($A81="","",IFERROR(INDEX(Positions!$K:$K,MATCH(B81,Positions!$B:$B,0)),""))</f>
        <v/>
      </c>
      <c r="K81" s="23"/>
      <c r="L81" s="26" t="str">
        <f aca="false">IF($A81="","",IF(K81&lt;&gt;"",K81,J81))</f>
        <v/>
      </c>
      <c r="M81" s="14" t="str">
        <f aca="false">IF(OR($A81="",L81=""),"",L81*G81)</f>
        <v/>
      </c>
      <c r="N81" s="14" t="str">
        <f aca="false">IF(OR(M81="",E81=""),"",(L81-E81)*G81)</f>
        <v/>
      </c>
      <c r="O81" s="8" t="str">
        <f aca="false">IF($A81="","",IF(G81&lt;=0,"Sold",IF((-SUMIFS(Transactions!$E:$E,Transactions!$O:$O,$A81,Transactions!$B:$B,"Sell call")-SUMIFS(Transactions!$E:$E,Transactions!$O:$O,$A81,Transactions!$B:$B,"Buy to close")-SUMIFS(Transactions!$E:$E,Transactions!$O:$O,$A81,Transactions!$B:$B,"Expired")-SUMIFS(Transactions!$E:$E,Transactions!$O:$O,$A81,Transactions!$B:$B,"Assigned"))&gt;0,"Covered","Free")))</f>
        <v/>
      </c>
      <c r="P81" s="26" t="str">
        <f aca="false">IF(OR(I81="",G81&lt;=0),"",CEILING(MAX(I81,N(L81)),IF(E81&lt;50,0.5,IF(E81&lt;200,1,5))))</f>
        <v/>
      </c>
      <c r="Q81" s="8" t="str">
        <f aca="true">IF(OR(N81="",G81&lt;=0),"",IF(N81&gt;=0,"",IF(COUNTIFS($B:$B,B81,$C:$C,"&gt;="&amp;(TODAY()-30),$C:$C,"&lt;="&amp;TODAY(),$A:$A,"&lt;&gt;"&amp;$A81)&gt;0,"Loss sale now = wash sale","OK to harvest loss")))</f>
        <v/>
      </c>
      <c r="R81" s="14" t="str">
        <f aca="false">IF(OR($A81="",N(F81)&lt;=0),"",SUMIFS(Transactions!$J:$J,Transactions!$O:$O,$A81,Transactions!$B:$B,"Sell shares")-E81*F81)</f>
        <v/>
      </c>
      <c r="S81" s="10" t="str">
        <f aca="false">IF(OR($A81="",N(F81)&lt;=0),"",_xlfn.MAXIFS(Transactions!$A:$A,Transactions!$O:$O,$A81,Transactions!$B:$B,"Sell shares"))</f>
        <v/>
      </c>
      <c r="T81" s="14" t="str">
        <f aca="false">IF(OR($A81="",E81=""),"",E81*G81)</f>
        <v/>
      </c>
    </row>
    <row r="82" customFormat="false" ht="15" hidden="false" customHeight="false" outlineLevel="0" collapsed="false">
      <c r="A82" s="21"/>
      <c r="B82" s="8" t="str">
        <f aca="false">IF($A82="","",IFERROR(INDEX(Transactions!$C:$C,MATCH($A82,Transactions!$O:$O,0)),""))</f>
        <v/>
      </c>
      <c r="C82" s="10" t="str">
        <f aca="false">IF($A82="","",IF(COUNTIFS(Transactions!$O:$O,$A82,Transactions!$B:$B,"Buy shares")=0,"",_xlfn.MINIFS(Transactions!$A:$A,Transactions!$O:$O,$A82,Transactions!$B:$B,"Buy shares")))</f>
        <v/>
      </c>
      <c r="D82" s="18" t="str">
        <f aca="false">IF($A82="","",SUMIFS(Transactions!$E:$E,Transactions!$O:$O,$A82,Transactions!$B:$B,"Buy shares"))</f>
        <v/>
      </c>
      <c r="E82" s="26" t="str">
        <f aca="false">IF($A82="","",IF(D82=0,"",-SUMIFS(Transactions!$J:$J,Transactions!$O:$O,$A82,Transactions!$B:$B,"Buy shares")/D82))</f>
        <v/>
      </c>
      <c r="F82" s="18" t="str">
        <f aca="false">IF($A82="","",-SUMIFS(Transactions!$E:$E,Transactions!$O:$O,$A82,Transactions!$B:$B,"Sell shares"))</f>
        <v/>
      </c>
      <c r="G82" s="18" t="str">
        <f aca="false">IF($A82="","",D82-F82)</f>
        <v/>
      </c>
      <c r="H82" s="14" t="str">
        <f aca="false">IF($A82="","",SUMIFS(Transactions!$J:$J,Transactions!$O:$O,$A82,Transactions!$B:$B,"Sell call")+SUMIFS(Transactions!$J:$J,Transactions!$O:$O,$A82,Transactions!$B:$B,"Buy to close"))</f>
        <v/>
      </c>
      <c r="I82" s="26" t="str">
        <f aca="false">IF(OR($A82="",E82=""),"",E82-H82/D82)</f>
        <v/>
      </c>
      <c r="J82" s="26" t="str">
        <f aca="false">IF($A82="","",IFERROR(INDEX(Positions!$K:$K,MATCH(B82,Positions!$B:$B,0)),""))</f>
        <v/>
      </c>
      <c r="K82" s="23"/>
      <c r="L82" s="26" t="str">
        <f aca="false">IF($A82="","",IF(K82&lt;&gt;"",K82,J82))</f>
        <v/>
      </c>
      <c r="M82" s="14" t="str">
        <f aca="false">IF(OR($A82="",L82=""),"",L82*G82)</f>
        <v/>
      </c>
      <c r="N82" s="14" t="str">
        <f aca="false">IF(OR(M82="",E82=""),"",(L82-E82)*G82)</f>
        <v/>
      </c>
      <c r="O82" s="8" t="str">
        <f aca="false">IF($A82="","",IF(G82&lt;=0,"Sold",IF((-SUMIFS(Transactions!$E:$E,Transactions!$O:$O,$A82,Transactions!$B:$B,"Sell call")-SUMIFS(Transactions!$E:$E,Transactions!$O:$O,$A82,Transactions!$B:$B,"Buy to close")-SUMIFS(Transactions!$E:$E,Transactions!$O:$O,$A82,Transactions!$B:$B,"Expired")-SUMIFS(Transactions!$E:$E,Transactions!$O:$O,$A82,Transactions!$B:$B,"Assigned"))&gt;0,"Covered","Free")))</f>
        <v/>
      </c>
      <c r="P82" s="26" t="str">
        <f aca="false">IF(OR(I82="",G82&lt;=0),"",CEILING(MAX(I82,N(L82)),IF(E82&lt;50,0.5,IF(E82&lt;200,1,5))))</f>
        <v/>
      </c>
      <c r="Q82" s="8" t="str">
        <f aca="true">IF(OR(N82="",G82&lt;=0),"",IF(N82&gt;=0,"",IF(COUNTIFS($B:$B,B82,$C:$C,"&gt;="&amp;(TODAY()-30),$C:$C,"&lt;="&amp;TODAY(),$A:$A,"&lt;&gt;"&amp;$A82)&gt;0,"Loss sale now = wash sale","OK to harvest loss")))</f>
        <v/>
      </c>
      <c r="R82" s="14" t="str">
        <f aca="false">IF(OR($A82="",N(F82)&lt;=0),"",SUMIFS(Transactions!$J:$J,Transactions!$O:$O,$A82,Transactions!$B:$B,"Sell shares")-E82*F82)</f>
        <v/>
      </c>
      <c r="S82" s="10" t="str">
        <f aca="false">IF(OR($A82="",N(F82)&lt;=0),"",_xlfn.MAXIFS(Transactions!$A:$A,Transactions!$O:$O,$A82,Transactions!$B:$B,"Sell shares"))</f>
        <v/>
      </c>
      <c r="T82" s="14" t="str">
        <f aca="false">IF(OR($A82="",E82=""),"",E82*G82)</f>
        <v/>
      </c>
    </row>
    <row r="83" customFormat="false" ht="15" hidden="false" customHeight="false" outlineLevel="0" collapsed="false">
      <c r="A83" s="21"/>
      <c r="B83" s="8" t="str">
        <f aca="false">IF($A83="","",IFERROR(INDEX(Transactions!$C:$C,MATCH($A83,Transactions!$O:$O,0)),""))</f>
        <v/>
      </c>
      <c r="C83" s="10" t="str">
        <f aca="false">IF($A83="","",IF(COUNTIFS(Transactions!$O:$O,$A83,Transactions!$B:$B,"Buy shares")=0,"",_xlfn.MINIFS(Transactions!$A:$A,Transactions!$O:$O,$A83,Transactions!$B:$B,"Buy shares")))</f>
        <v/>
      </c>
      <c r="D83" s="18" t="str">
        <f aca="false">IF($A83="","",SUMIFS(Transactions!$E:$E,Transactions!$O:$O,$A83,Transactions!$B:$B,"Buy shares"))</f>
        <v/>
      </c>
      <c r="E83" s="26" t="str">
        <f aca="false">IF($A83="","",IF(D83=0,"",-SUMIFS(Transactions!$J:$J,Transactions!$O:$O,$A83,Transactions!$B:$B,"Buy shares")/D83))</f>
        <v/>
      </c>
      <c r="F83" s="18" t="str">
        <f aca="false">IF($A83="","",-SUMIFS(Transactions!$E:$E,Transactions!$O:$O,$A83,Transactions!$B:$B,"Sell shares"))</f>
        <v/>
      </c>
      <c r="G83" s="18" t="str">
        <f aca="false">IF($A83="","",D83-F83)</f>
        <v/>
      </c>
      <c r="H83" s="14" t="str">
        <f aca="false">IF($A83="","",SUMIFS(Transactions!$J:$J,Transactions!$O:$O,$A83,Transactions!$B:$B,"Sell call")+SUMIFS(Transactions!$J:$J,Transactions!$O:$O,$A83,Transactions!$B:$B,"Buy to close"))</f>
        <v/>
      </c>
      <c r="I83" s="26" t="str">
        <f aca="false">IF(OR($A83="",E83=""),"",E83-H83/D83)</f>
        <v/>
      </c>
      <c r="J83" s="26" t="str">
        <f aca="false">IF($A83="","",IFERROR(INDEX(Positions!$K:$K,MATCH(B83,Positions!$B:$B,0)),""))</f>
        <v/>
      </c>
      <c r="K83" s="23"/>
      <c r="L83" s="26" t="str">
        <f aca="false">IF($A83="","",IF(K83&lt;&gt;"",K83,J83))</f>
        <v/>
      </c>
      <c r="M83" s="14" t="str">
        <f aca="false">IF(OR($A83="",L83=""),"",L83*G83)</f>
        <v/>
      </c>
      <c r="N83" s="14" t="str">
        <f aca="false">IF(OR(M83="",E83=""),"",(L83-E83)*G83)</f>
        <v/>
      </c>
      <c r="O83" s="8" t="str">
        <f aca="false">IF($A83="","",IF(G83&lt;=0,"Sold",IF((-SUMIFS(Transactions!$E:$E,Transactions!$O:$O,$A83,Transactions!$B:$B,"Sell call")-SUMIFS(Transactions!$E:$E,Transactions!$O:$O,$A83,Transactions!$B:$B,"Buy to close")-SUMIFS(Transactions!$E:$E,Transactions!$O:$O,$A83,Transactions!$B:$B,"Expired")-SUMIFS(Transactions!$E:$E,Transactions!$O:$O,$A83,Transactions!$B:$B,"Assigned"))&gt;0,"Covered","Free")))</f>
        <v/>
      </c>
      <c r="P83" s="26" t="str">
        <f aca="false">IF(OR(I83="",G83&lt;=0),"",CEILING(MAX(I83,N(L83)),IF(E83&lt;50,0.5,IF(E83&lt;200,1,5))))</f>
        <v/>
      </c>
      <c r="Q83" s="8" t="str">
        <f aca="true">IF(OR(N83="",G83&lt;=0),"",IF(N83&gt;=0,"",IF(COUNTIFS($B:$B,B83,$C:$C,"&gt;="&amp;(TODAY()-30),$C:$C,"&lt;="&amp;TODAY(),$A:$A,"&lt;&gt;"&amp;$A83)&gt;0,"Loss sale now = wash sale","OK to harvest loss")))</f>
        <v/>
      </c>
      <c r="R83" s="14" t="str">
        <f aca="false">IF(OR($A83="",N(F83)&lt;=0),"",SUMIFS(Transactions!$J:$J,Transactions!$O:$O,$A83,Transactions!$B:$B,"Sell shares")-E83*F83)</f>
        <v/>
      </c>
      <c r="S83" s="10" t="str">
        <f aca="false">IF(OR($A83="",N(F83)&lt;=0),"",_xlfn.MAXIFS(Transactions!$A:$A,Transactions!$O:$O,$A83,Transactions!$B:$B,"Sell shares"))</f>
        <v/>
      </c>
      <c r="T83" s="14" t="str">
        <f aca="false">IF(OR($A83="",E83=""),"",E83*G83)</f>
        <v/>
      </c>
    </row>
    <row r="84" customFormat="false" ht="15" hidden="false" customHeight="false" outlineLevel="0" collapsed="false">
      <c r="A84" s="21"/>
      <c r="B84" s="8" t="str">
        <f aca="false">IF($A84="","",IFERROR(INDEX(Transactions!$C:$C,MATCH($A84,Transactions!$O:$O,0)),""))</f>
        <v/>
      </c>
      <c r="C84" s="10" t="str">
        <f aca="false">IF($A84="","",IF(COUNTIFS(Transactions!$O:$O,$A84,Transactions!$B:$B,"Buy shares")=0,"",_xlfn.MINIFS(Transactions!$A:$A,Transactions!$O:$O,$A84,Transactions!$B:$B,"Buy shares")))</f>
        <v/>
      </c>
      <c r="D84" s="18" t="str">
        <f aca="false">IF($A84="","",SUMIFS(Transactions!$E:$E,Transactions!$O:$O,$A84,Transactions!$B:$B,"Buy shares"))</f>
        <v/>
      </c>
      <c r="E84" s="26" t="str">
        <f aca="false">IF($A84="","",IF(D84=0,"",-SUMIFS(Transactions!$J:$J,Transactions!$O:$O,$A84,Transactions!$B:$B,"Buy shares")/D84))</f>
        <v/>
      </c>
      <c r="F84" s="18" t="str">
        <f aca="false">IF($A84="","",-SUMIFS(Transactions!$E:$E,Transactions!$O:$O,$A84,Transactions!$B:$B,"Sell shares"))</f>
        <v/>
      </c>
      <c r="G84" s="18" t="str">
        <f aca="false">IF($A84="","",D84-F84)</f>
        <v/>
      </c>
      <c r="H84" s="14" t="str">
        <f aca="false">IF($A84="","",SUMIFS(Transactions!$J:$J,Transactions!$O:$O,$A84,Transactions!$B:$B,"Sell call")+SUMIFS(Transactions!$J:$J,Transactions!$O:$O,$A84,Transactions!$B:$B,"Buy to close"))</f>
        <v/>
      </c>
      <c r="I84" s="26" t="str">
        <f aca="false">IF(OR($A84="",E84=""),"",E84-H84/D84)</f>
        <v/>
      </c>
      <c r="J84" s="26" t="str">
        <f aca="false">IF($A84="","",IFERROR(INDEX(Positions!$K:$K,MATCH(B84,Positions!$B:$B,0)),""))</f>
        <v/>
      </c>
      <c r="K84" s="23"/>
      <c r="L84" s="26" t="str">
        <f aca="false">IF($A84="","",IF(K84&lt;&gt;"",K84,J84))</f>
        <v/>
      </c>
      <c r="M84" s="14" t="str">
        <f aca="false">IF(OR($A84="",L84=""),"",L84*G84)</f>
        <v/>
      </c>
      <c r="N84" s="14" t="str">
        <f aca="false">IF(OR(M84="",E84=""),"",(L84-E84)*G84)</f>
        <v/>
      </c>
      <c r="O84" s="8" t="str">
        <f aca="false">IF($A84="","",IF(G84&lt;=0,"Sold",IF((-SUMIFS(Transactions!$E:$E,Transactions!$O:$O,$A84,Transactions!$B:$B,"Sell call")-SUMIFS(Transactions!$E:$E,Transactions!$O:$O,$A84,Transactions!$B:$B,"Buy to close")-SUMIFS(Transactions!$E:$E,Transactions!$O:$O,$A84,Transactions!$B:$B,"Expired")-SUMIFS(Transactions!$E:$E,Transactions!$O:$O,$A84,Transactions!$B:$B,"Assigned"))&gt;0,"Covered","Free")))</f>
        <v/>
      </c>
      <c r="P84" s="26" t="str">
        <f aca="false">IF(OR(I84="",G84&lt;=0),"",CEILING(MAX(I84,N(L84)),IF(E84&lt;50,0.5,IF(E84&lt;200,1,5))))</f>
        <v/>
      </c>
      <c r="Q84" s="8" t="str">
        <f aca="true">IF(OR(N84="",G84&lt;=0),"",IF(N84&gt;=0,"",IF(COUNTIFS($B:$B,B84,$C:$C,"&gt;="&amp;(TODAY()-30),$C:$C,"&lt;="&amp;TODAY(),$A:$A,"&lt;&gt;"&amp;$A84)&gt;0,"Loss sale now = wash sale","OK to harvest loss")))</f>
        <v/>
      </c>
      <c r="R84" s="14" t="str">
        <f aca="false">IF(OR($A84="",N(F84)&lt;=0),"",SUMIFS(Transactions!$J:$J,Transactions!$O:$O,$A84,Transactions!$B:$B,"Sell shares")-E84*F84)</f>
        <v/>
      </c>
      <c r="S84" s="10" t="str">
        <f aca="false">IF(OR($A84="",N(F84)&lt;=0),"",_xlfn.MAXIFS(Transactions!$A:$A,Transactions!$O:$O,$A84,Transactions!$B:$B,"Sell shares"))</f>
        <v/>
      </c>
      <c r="T84" s="14" t="str">
        <f aca="false">IF(OR($A84="",E84=""),"",E84*G84)</f>
        <v/>
      </c>
    </row>
    <row r="85" customFormat="false" ht="15" hidden="false" customHeight="false" outlineLevel="0" collapsed="false">
      <c r="A85" s="21"/>
      <c r="B85" s="8" t="str">
        <f aca="false">IF($A85="","",IFERROR(INDEX(Transactions!$C:$C,MATCH($A85,Transactions!$O:$O,0)),""))</f>
        <v/>
      </c>
      <c r="C85" s="10" t="str">
        <f aca="false">IF($A85="","",IF(COUNTIFS(Transactions!$O:$O,$A85,Transactions!$B:$B,"Buy shares")=0,"",_xlfn.MINIFS(Transactions!$A:$A,Transactions!$O:$O,$A85,Transactions!$B:$B,"Buy shares")))</f>
        <v/>
      </c>
      <c r="D85" s="18" t="str">
        <f aca="false">IF($A85="","",SUMIFS(Transactions!$E:$E,Transactions!$O:$O,$A85,Transactions!$B:$B,"Buy shares"))</f>
        <v/>
      </c>
      <c r="E85" s="26" t="str">
        <f aca="false">IF($A85="","",IF(D85=0,"",-SUMIFS(Transactions!$J:$J,Transactions!$O:$O,$A85,Transactions!$B:$B,"Buy shares")/D85))</f>
        <v/>
      </c>
      <c r="F85" s="18" t="str">
        <f aca="false">IF($A85="","",-SUMIFS(Transactions!$E:$E,Transactions!$O:$O,$A85,Transactions!$B:$B,"Sell shares"))</f>
        <v/>
      </c>
      <c r="G85" s="18" t="str">
        <f aca="false">IF($A85="","",D85-F85)</f>
        <v/>
      </c>
      <c r="H85" s="14" t="str">
        <f aca="false">IF($A85="","",SUMIFS(Transactions!$J:$J,Transactions!$O:$O,$A85,Transactions!$B:$B,"Sell call")+SUMIFS(Transactions!$J:$J,Transactions!$O:$O,$A85,Transactions!$B:$B,"Buy to close"))</f>
        <v/>
      </c>
      <c r="I85" s="26" t="str">
        <f aca="false">IF(OR($A85="",E85=""),"",E85-H85/D85)</f>
        <v/>
      </c>
      <c r="J85" s="26" t="str">
        <f aca="false">IF($A85="","",IFERROR(INDEX(Positions!$K:$K,MATCH(B85,Positions!$B:$B,0)),""))</f>
        <v/>
      </c>
      <c r="K85" s="23"/>
      <c r="L85" s="26" t="str">
        <f aca="false">IF($A85="","",IF(K85&lt;&gt;"",K85,J85))</f>
        <v/>
      </c>
      <c r="M85" s="14" t="str">
        <f aca="false">IF(OR($A85="",L85=""),"",L85*G85)</f>
        <v/>
      </c>
      <c r="N85" s="14" t="str">
        <f aca="false">IF(OR(M85="",E85=""),"",(L85-E85)*G85)</f>
        <v/>
      </c>
      <c r="O85" s="8" t="str">
        <f aca="false">IF($A85="","",IF(G85&lt;=0,"Sold",IF((-SUMIFS(Transactions!$E:$E,Transactions!$O:$O,$A85,Transactions!$B:$B,"Sell call")-SUMIFS(Transactions!$E:$E,Transactions!$O:$O,$A85,Transactions!$B:$B,"Buy to close")-SUMIFS(Transactions!$E:$E,Transactions!$O:$O,$A85,Transactions!$B:$B,"Expired")-SUMIFS(Transactions!$E:$E,Transactions!$O:$O,$A85,Transactions!$B:$B,"Assigned"))&gt;0,"Covered","Free")))</f>
        <v/>
      </c>
      <c r="P85" s="26" t="str">
        <f aca="false">IF(OR(I85="",G85&lt;=0),"",CEILING(MAX(I85,N(L85)),IF(E85&lt;50,0.5,IF(E85&lt;200,1,5))))</f>
        <v/>
      </c>
      <c r="Q85" s="8" t="str">
        <f aca="true">IF(OR(N85="",G85&lt;=0),"",IF(N85&gt;=0,"",IF(COUNTIFS($B:$B,B85,$C:$C,"&gt;="&amp;(TODAY()-30),$C:$C,"&lt;="&amp;TODAY(),$A:$A,"&lt;&gt;"&amp;$A85)&gt;0,"Loss sale now = wash sale","OK to harvest loss")))</f>
        <v/>
      </c>
      <c r="R85" s="14" t="str">
        <f aca="false">IF(OR($A85="",N(F85)&lt;=0),"",SUMIFS(Transactions!$J:$J,Transactions!$O:$O,$A85,Transactions!$B:$B,"Sell shares")-E85*F85)</f>
        <v/>
      </c>
      <c r="S85" s="10" t="str">
        <f aca="false">IF(OR($A85="",N(F85)&lt;=0),"",_xlfn.MAXIFS(Transactions!$A:$A,Transactions!$O:$O,$A85,Transactions!$B:$B,"Sell shares"))</f>
        <v/>
      </c>
      <c r="T85" s="14" t="str">
        <f aca="false">IF(OR($A85="",E85=""),"",E85*G85)</f>
        <v/>
      </c>
    </row>
    <row r="86" customFormat="false" ht="15" hidden="false" customHeight="false" outlineLevel="0" collapsed="false">
      <c r="A86" s="21"/>
      <c r="B86" s="8" t="str">
        <f aca="false">IF($A86="","",IFERROR(INDEX(Transactions!$C:$C,MATCH($A86,Transactions!$O:$O,0)),""))</f>
        <v/>
      </c>
      <c r="C86" s="10" t="str">
        <f aca="false">IF($A86="","",IF(COUNTIFS(Transactions!$O:$O,$A86,Transactions!$B:$B,"Buy shares")=0,"",_xlfn.MINIFS(Transactions!$A:$A,Transactions!$O:$O,$A86,Transactions!$B:$B,"Buy shares")))</f>
        <v/>
      </c>
      <c r="D86" s="18" t="str">
        <f aca="false">IF($A86="","",SUMIFS(Transactions!$E:$E,Transactions!$O:$O,$A86,Transactions!$B:$B,"Buy shares"))</f>
        <v/>
      </c>
      <c r="E86" s="26" t="str">
        <f aca="false">IF($A86="","",IF(D86=0,"",-SUMIFS(Transactions!$J:$J,Transactions!$O:$O,$A86,Transactions!$B:$B,"Buy shares")/D86))</f>
        <v/>
      </c>
      <c r="F86" s="18" t="str">
        <f aca="false">IF($A86="","",-SUMIFS(Transactions!$E:$E,Transactions!$O:$O,$A86,Transactions!$B:$B,"Sell shares"))</f>
        <v/>
      </c>
      <c r="G86" s="18" t="str">
        <f aca="false">IF($A86="","",D86-F86)</f>
        <v/>
      </c>
      <c r="H86" s="14" t="str">
        <f aca="false">IF($A86="","",SUMIFS(Transactions!$J:$J,Transactions!$O:$O,$A86,Transactions!$B:$B,"Sell call")+SUMIFS(Transactions!$J:$J,Transactions!$O:$O,$A86,Transactions!$B:$B,"Buy to close"))</f>
        <v/>
      </c>
      <c r="I86" s="26" t="str">
        <f aca="false">IF(OR($A86="",E86=""),"",E86-H86/D86)</f>
        <v/>
      </c>
      <c r="J86" s="26" t="str">
        <f aca="false">IF($A86="","",IFERROR(INDEX(Positions!$K:$K,MATCH(B86,Positions!$B:$B,0)),""))</f>
        <v/>
      </c>
      <c r="K86" s="23"/>
      <c r="L86" s="26" t="str">
        <f aca="false">IF($A86="","",IF(K86&lt;&gt;"",K86,J86))</f>
        <v/>
      </c>
      <c r="M86" s="14" t="str">
        <f aca="false">IF(OR($A86="",L86=""),"",L86*G86)</f>
        <v/>
      </c>
      <c r="N86" s="14" t="str">
        <f aca="false">IF(OR(M86="",E86=""),"",(L86-E86)*G86)</f>
        <v/>
      </c>
      <c r="O86" s="8" t="str">
        <f aca="false">IF($A86="","",IF(G86&lt;=0,"Sold",IF((-SUMIFS(Transactions!$E:$E,Transactions!$O:$O,$A86,Transactions!$B:$B,"Sell call")-SUMIFS(Transactions!$E:$E,Transactions!$O:$O,$A86,Transactions!$B:$B,"Buy to close")-SUMIFS(Transactions!$E:$E,Transactions!$O:$O,$A86,Transactions!$B:$B,"Expired")-SUMIFS(Transactions!$E:$E,Transactions!$O:$O,$A86,Transactions!$B:$B,"Assigned"))&gt;0,"Covered","Free")))</f>
        <v/>
      </c>
      <c r="P86" s="26" t="str">
        <f aca="false">IF(OR(I86="",G86&lt;=0),"",CEILING(MAX(I86,N(L86)),IF(E86&lt;50,0.5,IF(E86&lt;200,1,5))))</f>
        <v/>
      </c>
      <c r="Q86" s="8" t="str">
        <f aca="true">IF(OR(N86="",G86&lt;=0),"",IF(N86&gt;=0,"",IF(COUNTIFS($B:$B,B86,$C:$C,"&gt;="&amp;(TODAY()-30),$C:$C,"&lt;="&amp;TODAY(),$A:$A,"&lt;&gt;"&amp;$A86)&gt;0,"Loss sale now = wash sale","OK to harvest loss")))</f>
        <v/>
      </c>
      <c r="R86" s="14" t="str">
        <f aca="false">IF(OR($A86="",N(F86)&lt;=0),"",SUMIFS(Transactions!$J:$J,Transactions!$O:$O,$A86,Transactions!$B:$B,"Sell shares")-E86*F86)</f>
        <v/>
      </c>
      <c r="S86" s="10" t="str">
        <f aca="false">IF(OR($A86="",N(F86)&lt;=0),"",_xlfn.MAXIFS(Transactions!$A:$A,Transactions!$O:$O,$A86,Transactions!$B:$B,"Sell shares"))</f>
        <v/>
      </c>
      <c r="T86" s="14" t="str">
        <f aca="false">IF(OR($A86="",E86=""),"",E86*G86)</f>
        <v/>
      </c>
    </row>
    <row r="87" customFormat="false" ht="15" hidden="false" customHeight="false" outlineLevel="0" collapsed="false">
      <c r="A87" s="21"/>
      <c r="B87" s="8" t="str">
        <f aca="false">IF($A87="","",IFERROR(INDEX(Transactions!$C:$C,MATCH($A87,Transactions!$O:$O,0)),""))</f>
        <v/>
      </c>
      <c r="C87" s="10" t="str">
        <f aca="false">IF($A87="","",IF(COUNTIFS(Transactions!$O:$O,$A87,Transactions!$B:$B,"Buy shares")=0,"",_xlfn.MINIFS(Transactions!$A:$A,Transactions!$O:$O,$A87,Transactions!$B:$B,"Buy shares")))</f>
        <v/>
      </c>
      <c r="D87" s="18" t="str">
        <f aca="false">IF($A87="","",SUMIFS(Transactions!$E:$E,Transactions!$O:$O,$A87,Transactions!$B:$B,"Buy shares"))</f>
        <v/>
      </c>
      <c r="E87" s="26" t="str">
        <f aca="false">IF($A87="","",IF(D87=0,"",-SUMIFS(Transactions!$J:$J,Transactions!$O:$O,$A87,Transactions!$B:$B,"Buy shares")/D87))</f>
        <v/>
      </c>
      <c r="F87" s="18" t="str">
        <f aca="false">IF($A87="","",-SUMIFS(Transactions!$E:$E,Transactions!$O:$O,$A87,Transactions!$B:$B,"Sell shares"))</f>
        <v/>
      </c>
      <c r="G87" s="18" t="str">
        <f aca="false">IF($A87="","",D87-F87)</f>
        <v/>
      </c>
      <c r="H87" s="14" t="str">
        <f aca="false">IF($A87="","",SUMIFS(Transactions!$J:$J,Transactions!$O:$O,$A87,Transactions!$B:$B,"Sell call")+SUMIFS(Transactions!$J:$J,Transactions!$O:$O,$A87,Transactions!$B:$B,"Buy to close"))</f>
        <v/>
      </c>
      <c r="I87" s="26" t="str">
        <f aca="false">IF(OR($A87="",E87=""),"",E87-H87/D87)</f>
        <v/>
      </c>
      <c r="J87" s="26" t="str">
        <f aca="false">IF($A87="","",IFERROR(INDEX(Positions!$K:$K,MATCH(B87,Positions!$B:$B,0)),""))</f>
        <v/>
      </c>
      <c r="K87" s="23"/>
      <c r="L87" s="26" t="str">
        <f aca="false">IF($A87="","",IF(K87&lt;&gt;"",K87,J87))</f>
        <v/>
      </c>
      <c r="M87" s="14" t="str">
        <f aca="false">IF(OR($A87="",L87=""),"",L87*G87)</f>
        <v/>
      </c>
      <c r="N87" s="14" t="str">
        <f aca="false">IF(OR(M87="",E87=""),"",(L87-E87)*G87)</f>
        <v/>
      </c>
      <c r="O87" s="8" t="str">
        <f aca="false">IF($A87="","",IF(G87&lt;=0,"Sold",IF((-SUMIFS(Transactions!$E:$E,Transactions!$O:$O,$A87,Transactions!$B:$B,"Sell call")-SUMIFS(Transactions!$E:$E,Transactions!$O:$O,$A87,Transactions!$B:$B,"Buy to close")-SUMIFS(Transactions!$E:$E,Transactions!$O:$O,$A87,Transactions!$B:$B,"Expired")-SUMIFS(Transactions!$E:$E,Transactions!$O:$O,$A87,Transactions!$B:$B,"Assigned"))&gt;0,"Covered","Free")))</f>
        <v/>
      </c>
      <c r="P87" s="26" t="str">
        <f aca="false">IF(OR(I87="",G87&lt;=0),"",CEILING(MAX(I87,N(L87)),IF(E87&lt;50,0.5,IF(E87&lt;200,1,5))))</f>
        <v/>
      </c>
      <c r="Q87" s="8" t="str">
        <f aca="true">IF(OR(N87="",G87&lt;=0),"",IF(N87&gt;=0,"",IF(COUNTIFS($B:$B,B87,$C:$C,"&gt;="&amp;(TODAY()-30),$C:$C,"&lt;="&amp;TODAY(),$A:$A,"&lt;&gt;"&amp;$A87)&gt;0,"Loss sale now = wash sale","OK to harvest loss")))</f>
        <v/>
      </c>
      <c r="R87" s="14" t="str">
        <f aca="false">IF(OR($A87="",N(F87)&lt;=0),"",SUMIFS(Transactions!$J:$J,Transactions!$O:$O,$A87,Transactions!$B:$B,"Sell shares")-E87*F87)</f>
        <v/>
      </c>
      <c r="S87" s="10" t="str">
        <f aca="false">IF(OR($A87="",N(F87)&lt;=0),"",_xlfn.MAXIFS(Transactions!$A:$A,Transactions!$O:$O,$A87,Transactions!$B:$B,"Sell shares"))</f>
        <v/>
      </c>
      <c r="T87" s="14" t="str">
        <f aca="false">IF(OR($A87="",E87=""),"",E87*G87)</f>
        <v/>
      </c>
    </row>
    <row r="88" customFormat="false" ht="15" hidden="false" customHeight="false" outlineLevel="0" collapsed="false">
      <c r="A88" s="21"/>
      <c r="B88" s="8" t="str">
        <f aca="false">IF($A88="","",IFERROR(INDEX(Transactions!$C:$C,MATCH($A88,Transactions!$O:$O,0)),""))</f>
        <v/>
      </c>
      <c r="C88" s="10" t="str">
        <f aca="false">IF($A88="","",IF(COUNTIFS(Transactions!$O:$O,$A88,Transactions!$B:$B,"Buy shares")=0,"",_xlfn.MINIFS(Transactions!$A:$A,Transactions!$O:$O,$A88,Transactions!$B:$B,"Buy shares")))</f>
        <v/>
      </c>
      <c r="D88" s="18" t="str">
        <f aca="false">IF($A88="","",SUMIFS(Transactions!$E:$E,Transactions!$O:$O,$A88,Transactions!$B:$B,"Buy shares"))</f>
        <v/>
      </c>
      <c r="E88" s="26" t="str">
        <f aca="false">IF($A88="","",IF(D88=0,"",-SUMIFS(Transactions!$J:$J,Transactions!$O:$O,$A88,Transactions!$B:$B,"Buy shares")/D88))</f>
        <v/>
      </c>
      <c r="F88" s="18" t="str">
        <f aca="false">IF($A88="","",-SUMIFS(Transactions!$E:$E,Transactions!$O:$O,$A88,Transactions!$B:$B,"Sell shares"))</f>
        <v/>
      </c>
      <c r="G88" s="18" t="str">
        <f aca="false">IF($A88="","",D88-F88)</f>
        <v/>
      </c>
      <c r="H88" s="14" t="str">
        <f aca="false">IF($A88="","",SUMIFS(Transactions!$J:$J,Transactions!$O:$O,$A88,Transactions!$B:$B,"Sell call")+SUMIFS(Transactions!$J:$J,Transactions!$O:$O,$A88,Transactions!$B:$B,"Buy to close"))</f>
        <v/>
      </c>
      <c r="I88" s="26" t="str">
        <f aca="false">IF(OR($A88="",E88=""),"",E88-H88/D88)</f>
        <v/>
      </c>
      <c r="J88" s="26" t="str">
        <f aca="false">IF($A88="","",IFERROR(INDEX(Positions!$K:$K,MATCH(B88,Positions!$B:$B,0)),""))</f>
        <v/>
      </c>
      <c r="K88" s="23"/>
      <c r="L88" s="26" t="str">
        <f aca="false">IF($A88="","",IF(K88&lt;&gt;"",K88,J88))</f>
        <v/>
      </c>
      <c r="M88" s="14" t="str">
        <f aca="false">IF(OR($A88="",L88=""),"",L88*G88)</f>
        <v/>
      </c>
      <c r="N88" s="14" t="str">
        <f aca="false">IF(OR(M88="",E88=""),"",(L88-E88)*G88)</f>
        <v/>
      </c>
      <c r="O88" s="8" t="str">
        <f aca="false">IF($A88="","",IF(G88&lt;=0,"Sold",IF((-SUMIFS(Transactions!$E:$E,Transactions!$O:$O,$A88,Transactions!$B:$B,"Sell call")-SUMIFS(Transactions!$E:$E,Transactions!$O:$O,$A88,Transactions!$B:$B,"Buy to close")-SUMIFS(Transactions!$E:$E,Transactions!$O:$O,$A88,Transactions!$B:$B,"Expired")-SUMIFS(Transactions!$E:$E,Transactions!$O:$O,$A88,Transactions!$B:$B,"Assigned"))&gt;0,"Covered","Free")))</f>
        <v/>
      </c>
      <c r="P88" s="26" t="str">
        <f aca="false">IF(OR(I88="",G88&lt;=0),"",CEILING(MAX(I88,N(L88)),IF(E88&lt;50,0.5,IF(E88&lt;200,1,5))))</f>
        <v/>
      </c>
      <c r="Q88" s="8" t="str">
        <f aca="true">IF(OR(N88="",G88&lt;=0),"",IF(N88&gt;=0,"",IF(COUNTIFS($B:$B,B88,$C:$C,"&gt;="&amp;(TODAY()-30),$C:$C,"&lt;="&amp;TODAY(),$A:$A,"&lt;&gt;"&amp;$A88)&gt;0,"Loss sale now = wash sale","OK to harvest loss")))</f>
        <v/>
      </c>
      <c r="R88" s="14" t="str">
        <f aca="false">IF(OR($A88="",N(F88)&lt;=0),"",SUMIFS(Transactions!$J:$J,Transactions!$O:$O,$A88,Transactions!$B:$B,"Sell shares")-E88*F88)</f>
        <v/>
      </c>
      <c r="S88" s="10" t="str">
        <f aca="false">IF(OR($A88="",N(F88)&lt;=0),"",_xlfn.MAXIFS(Transactions!$A:$A,Transactions!$O:$O,$A88,Transactions!$B:$B,"Sell shares"))</f>
        <v/>
      </c>
      <c r="T88" s="14" t="str">
        <f aca="false">IF(OR($A88="",E88=""),"",E88*G88)</f>
        <v/>
      </c>
    </row>
    <row r="89" customFormat="false" ht="15" hidden="false" customHeight="false" outlineLevel="0" collapsed="false">
      <c r="A89" s="21"/>
      <c r="B89" s="8" t="str">
        <f aca="false">IF($A89="","",IFERROR(INDEX(Transactions!$C:$C,MATCH($A89,Transactions!$O:$O,0)),""))</f>
        <v/>
      </c>
      <c r="C89" s="10" t="str">
        <f aca="false">IF($A89="","",IF(COUNTIFS(Transactions!$O:$O,$A89,Transactions!$B:$B,"Buy shares")=0,"",_xlfn.MINIFS(Transactions!$A:$A,Transactions!$O:$O,$A89,Transactions!$B:$B,"Buy shares")))</f>
        <v/>
      </c>
      <c r="D89" s="18" t="str">
        <f aca="false">IF($A89="","",SUMIFS(Transactions!$E:$E,Transactions!$O:$O,$A89,Transactions!$B:$B,"Buy shares"))</f>
        <v/>
      </c>
      <c r="E89" s="26" t="str">
        <f aca="false">IF($A89="","",IF(D89=0,"",-SUMIFS(Transactions!$J:$J,Transactions!$O:$O,$A89,Transactions!$B:$B,"Buy shares")/D89))</f>
        <v/>
      </c>
      <c r="F89" s="18" t="str">
        <f aca="false">IF($A89="","",-SUMIFS(Transactions!$E:$E,Transactions!$O:$O,$A89,Transactions!$B:$B,"Sell shares"))</f>
        <v/>
      </c>
      <c r="G89" s="18" t="str">
        <f aca="false">IF($A89="","",D89-F89)</f>
        <v/>
      </c>
      <c r="H89" s="14" t="str">
        <f aca="false">IF($A89="","",SUMIFS(Transactions!$J:$J,Transactions!$O:$O,$A89,Transactions!$B:$B,"Sell call")+SUMIFS(Transactions!$J:$J,Transactions!$O:$O,$A89,Transactions!$B:$B,"Buy to close"))</f>
        <v/>
      </c>
      <c r="I89" s="26" t="str">
        <f aca="false">IF(OR($A89="",E89=""),"",E89-H89/D89)</f>
        <v/>
      </c>
      <c r="J89" s="26" t="str">
        <f aca="false">IF($A89="","",IFERROR(INDEX(Positions!$K:$K,MATCH(B89,Positions!$B:$B,0)),""))</f>
        <v/>
      </c>
      <c r="K89" s="23"/>
      <c r="L89" s="26" t="str">
        <f aca="false">IF($A89="","",IF(K89&lt;&gt;"",K89,J89))</f>
        <v/>
      </c>
      <c r="M89" s="14" t="str">
        <f aca="false">IF(OR($A89="",L89=""),"",L89*G89)</f>
        <v/>
      </c>
      <c r="N89" s="14" t="str">
        <f aca="false">IF(OR(M89="",E89=""),"",(L89-E89)*G89)</f>
        <v/>
      </c>
      <c r="O89" s="8" t="str">
        <f aca="false">IF($A89="","",IF(G89&lt;=0,"Sold",IF((-SUMIFS(Transactions!$E:$E,Transactions!$O:$O,$A89,Transactions!$B:$B,"Sell call")-SUMIFS(Transactions!$E:$E,Transactions!$O:$O,$A89,Transactions!$B:$B,"Buy to close")-SUMIFS(Transactions!$E:$E,Transactions!$O:$O,$A89,Transactions!$B:$B,"Expired")-SUMIFS(Transactions!$E:$E,Transactions!$O:$O,$A89,Transactions!$B:$B,"Assigned"))&gt;0,"Covered","Free")))</f>
        <v/>
      </c>
      <c r="P89" s="26" t="str">
        <f aca="false">IF(OR(I89="",G89&lt;=0),"",CEILING(MAX(I89,N(L89)),IF(E89&lt;50,0.5,IF(E89&lt;200,1,5))))</f>
        <v/>
      </c>
      <c r="Q89" s="8" t="str">
        <f aca="true">IF(OR(N89="",G89&lt;=0),"",IF(N89&gt;=0,"",IF(COUNTIFS($B:$B,B89,$C:$C,"&gt;="&amp;(TODAY()-30),$C:$C,"&lt;="&amp;TODAY(),$A:$A,"&lt;&gt;"&amp;$A89)&gt;0,"Loss sale now = wash sale","OK to harvest loss")))</f>
        <v/>
      </c>
      <c r="R89" s="14" t="str">
        <f aca="false">IF(OR($A89="",N(F89)&lt;=0),"",SUMIFS(Transactions!$J:$J,Transactions!$O:$O,$A89,Transactions!$B:$B,"Sell shares")-E89*F89)</f>
        <v/>
      </c>
      <c r="S89" s="10" t="str">
        <f aca="false">IF(OR($A89="",N(F89)&lt;=0),"",_xlfn.MAXIFS(Transactions!$A:$A,Transactions!$O:$O,$A89,Transactions!$B:$B,"Sell shares"))</f>
        <v/>
      </c>
      <c r="T89" s="14" t="str">
        <f aca="false">IF(OR($A89="",E89=""),"",E89*G89)</f>
        <v/>
      </c>
    </row>
    <row r="90" customFormat="false" ht="15" hidden="false" customHeight="false" outlineLevel="0" collapsed="false">
      <c r="A90" s="21"/>
      <c r="B90" s="8" t="str">
        <f aca="false">IF($A90="","",IFERROR(INDEX(Transactions!$C:$C,MATCH($A90,Transactions!$O:$O,0)),""))</f>
        <v/>
      </c>
      <c r="C90" s="10" t="str">
        <f aca="false">IF($A90="","",IF(COUNTIFS(Transactions!$O:$O,$A90,Transactions!$B:$B,"Buy shares")=0,"",_xlfn.MINIFS(Transactions!$A:$A,Transactions!$O:$O,$A90,Transactions!$B:$B,"Buy shares")))</f>
        <v/>
      </c>
      <c r="D90" s="18" t="str">
        <f aca="false">IF($A90="","",SUMIFS(Transactions!$E:$E,Transactions!$O:$O,$A90,Transactions!$B:$B,"Buy shares"))</f>
        <v/>
      </c>
      <c r="E90" s="26" t="str">
        <f aca="false">IF($A90="","",IF(D90=0,"",-SUMIFS(Transactions!$J:$J,Transactions!$O:$O,$A90,Transactions!$B:$B,"Buy shares")/D90))</f>
        <v/>
      </c>
      <c r="F90" s="18" t="str">
        <f aca="false">IF($A90="","",-SUMIFS(Transactions!$E:$E,Transactions!$O:$O,$A90,Transactions!$B:$B,"Sell shares"))</f>
        <v/>
      </c>
      <c r="G90" s="18" t="str">
        <f aca="false">IF($A90="","",D90-F90)</f>
        <v/>
      </c>
      <c r="H90" s="14" t="str">
        <f aca="false">IF($A90="","",SUMIFS(Transactions!$J:$J,Transactions!$O:$O,$A90,Transactions!$B:$B,"Sell call")+SUMIFS(Transactions!$J:$J,Transactions!$O:$O,$A90,Transactions!$B:$B,"Buy to close"))</f>
        <v/>
      </c>
      <c r="I90" s="26" t="str">
        <f aca="false">IF(OR($A90="",E90=""),"",E90-H90/D90)</f>
        <v/>
      </c>
      <c r="J90" s="26" t="str">
        <f aca="false">IF($A90="","",IFERROR(INDEX(Positions!$K:$K,MATCH(B90,Positions!$B:$B,0)),""))</f>
        <v/>
      </c>
      <c r="K90" s="23"/>
      <c r="L90" s="26" t="str">
        <f aca="false">IF($A90="","",IF(K90&lt;&gt;"",K90,J90))</f>
        <v/>
      </c>
      <c r="M90" s="14" t="str">
        <f aca="false">IF(OR($A90="",L90=""),"",L90*G90)</f>
        <v/>
      </c>
      <c r="N90" s="14" t="str">
        <f aca="false">IF(OR(M90="",E90=""),"",(L90-E90)*G90)</f>
        <v/>
      </c>
      <c r="O90" s="8" t="str">
        <f aca="false">IF($A90="","",IF(G90&lt;=0,"Sold",IF((-SUMIFS(Transactions!$E:$E,Transactions!$O:$O,$A90,Transactions!$B:$B,"Sell call")-SUMIFS(Transactions!$E:$E,Transactions!$O:$O,$A90,Transactions!$B:$B,"Buy to close")-SUMIFS(Transactions!$E:$E,Transactions!$O:$O,$A90,Transactions!$B:$B,"Expired")-SUMIFS(Transactions!$E:$E,Transactions!$O:$O,$A90,Transactions!$B:$B,"Assigned"))&gt;0,"Covered","Free")))</f>
        <v/>
      </c>
      <c r="P90" s="26" t="str">
        <f aca="false">IF(OR(I90="",G90&lt;=0),"",CEILING(MAX(I90,N(L90)),IF(E90&lt;50,0.5,IF(E90&lt;200,1,5))))</f>
        <v/>
      </c>
      <c r="Q90" s="8" t="str">
        <f aca="true">IF(OR(N90="",G90&lt;=0),"",IF(N90&gt;=0,"",IF(COUNTIFS($B:$B,B90,$C:$C,"&gt;="&amp;(TODAY()-30),$C:$C,"&lt;="&amp;TODAY(),$A:$A,"&lt;&gt;"&amp;$A90)&gt;0,"Loss sale now = wash sale","OK to harvest loss")))</f>
        <v/>
      </c>
      <c r="R90" s="14" t="str">
        <f aca="false">IF(OR($A90="",N(F90)&lt;=0),"",SUMIFS(Transactions!$J:$J,Transactions!$O:$O,$A90,Transactions!$B:$B,"Sell shares")-E90*F90)</f>
        <v/>
      </c>
      <c r="S90" s="10" t="str">
        <f aca="false">IF(OR($A90="",N(F90)&lt;=0),"",_xlfn.MAXIFS(Transactions!$A:$A,Transactions!$O:$O,$A90,Transactions!$B:$B,"Sell shares"))</f>
        <v/>
      </c>
      <c r="T90" s="14" t="str">
        <f aca="false">IF(OR($A90="",E90=""),"",E90*G90)</f>
        <v/>
      </c>
    </row>
    <row r="91" customFormat="false" ht="15" hidden="false" customHeight="false" outlineLevel="0" collapsed="false">
      <c r="A91" s="21"/>
      <c r="B91" s="8" t="str">
        <f aca="false">IF($A91="","",IFERROR(INDEX(Transactions!$C:$C,MATCH($A91,Transactions!$O:$O,0)),""))</f>
        <v/>
      </c>
      <c r="C91" s="10" t="str">
        <f aca="false">IF($A91="","",IF(COUNTIFS(Transactions!$O:$O,$A91,Transactions!$B:$B,"Buy shares")=0,"",_xlfn.MINIFS(Transactions!$A:$A,Transactions!$O:$O,$A91,Transactions!$B:$B,"Buy shares")))</f>
        <v/>
      </c>
      <c r="D91" s="18" t="str">
        <f aca="false">IF($A91="","",SUMIFS(Transactions!$E:$E,Transactions!$O:$O,$A91,Transactions!$B:$B,"Buy shares"))</f>
        <v/>
      </c>
      <c r="E91" s="26" t="str">
        <f aca="false">IF($A91="","",IF(D91=0,"",-SUMIFS(Transactions!$J:$J,Transactions!$O:$O,$A91,Transactions!$B:$B,"Buy shares")/D91))</f>
        <v/>
      </c>
      <c r="F91" s="18" t="str">
        <f aca="false">IF($A91="","",-SUMIFS(Transactions!$E:$E,Transactions!$O:$O,$A91,Transactions!$B:$B,"Sell shares"))</f>
        <v/>
      </c>
      <c r="G91" s="18" t="str">
        <f aca="false">IF($A91="","",D91-F91)</f>
        <v/>
      </c>
      <c r="H91" s="14" t="str">
        <f aca="false">IF($A91="","",SUMIFS(Transactions!$J:$J,Transactions!$O:$O,$A91,Transactions!$B:$B,"Sell call")+SUMIFS(Transactions!$J:$J,Transactions!$O:$O,$A91,Transactions!$B:$B,"Buy to close"))</f>
        <v/>
      </c>
      <c r="I91" s="26" t="str">
        <f aca="false">IF(OR($A91="",E91=""),"",E91-H91/D91)</f>
        <v/>
      </c>
      <c r="J91" s="26" t="str">
        <f aca="false">IF($A91="","",IFERROR(INDEX(Positions!$K:$K,MATCH(B91,Positions!$B:$B,0)),""))</f>
        <v/>
      </c>
      <c r="K91" s="23"/>
      <c r="L91" s="26" t="str">
        <f aca="false">IF($A91="","",IF(K91&lt;&gt;"",K91,J91))</f>
        <v/>
      </c>
      <c r="M91" s="14" t="str">
        <f aca="false">IF(OR($A91="",L91=""),"",L91*G91)</f>
        <v/>
      </c>
      <c r="N91" s="14" t="str">
        <f aca="false">IF(OR(M91="",E91=""),"",(L91-E91)*G91)</f>
        <v/>
      </c>
      <c r="O91" s="8" t="str">
        <f aca="false">IF($A91="","",IF(G91&lt;=0,"Sold",IF((-SUMIFS(Transactions!$E:$E,Transactions!$O:$O,$A91,Transactions!$B:$B,"Sell call")-SUMIFS(Transactions!$E:$E,Transactions!$O:$O,$A91,Transactions!$B:$B,"Buy to close")-SUMIFS(Transactions!$E:$E,Transactions!$O:$O,$A91,Transactions!$B:$B,"Expired")-SUMIFS(Transactions!$E:$E,Transactions!$O:$O,$A91,Transactions!$B:$B,"Assigned"))&gt;0,"Covered","Free")))</f>
        <v/>
      </c>
      <c r="P91" s="26" t="str">
        <f aca="false">IF(OR(I91="",G91&lt;=0),"",CEILING(MAX(I91,N(L91)),IF(E91&lt;50,0.5,IF(E91&lt;200,1,5))))</f>
        <v/>
      </c>
      <c r="Q91" s="8" t="str">
        <f aca="true">IF(OR(N91="",G91&lt;=0),"",IF(N91&gt;=0,"",IF(COUNTIFS($B:$B,B91,$C:$C,"&gt;="&amp;(TODAY()-30),$C:$C,"&lt;="&amp;TODAY(),$A:$A,"&lt;&gt;"&amp;$A91)&gt;0,"Loss sale now = wash sale","OK to harvest loss")))</f>
        <v/>
      </c>
      <c r="R91" s="14" t="str">
        <f aca="false">IF(OR($A91="",N(F91)&lt;=0),"",SUMIFS(Transactions!$J:$J,Transactions!$O:$O,$A91,Transactions!$B:$B,"Sell shares")-E91*F91)</f>
        <v/>
      </c>
      <c r="S91" s="10" t="str">
        <f aca="false">IF(OR($A91="",N(F91)&lt;=0),"",_xlfn.MAXIFS(Transactions!$A:$A,Transactions!$O:$O,$A91,Transactions!$B:$B,"Sell shares"))</f>
        <v/>
      </c>
      <c r="T91" s="14" t="str">
        <f aca="false">IF(OR($A91="",E91=""),"",E91*G91)</f>
        <v/>
      </c>
    </row>
    <row r="92" customFormat="false" ht="15" hidden="false" customHeight="false" outlineLevel="0" collapsed="false">
      <c r="A92" s="21"/>
      <c r="B92" s="8" t="str">
        <f aca="false">IF($A92="","",IFERROR(INDEX(Transactions!$C:$C,MATCH($A92,Transactions!$O:$O,0)),""))</f>
        <v/>
      </c>
      <c r="C92" s="10" t="str">
        <f aca="false">IF($A92="","",IF(COUNTIFS(Transactions!$O:$O,$A92,Transactions!$B:$B,"Buy shares")=0,"",_xlfn.MINIFS(Transactions!$A:$A,Transactions!$O:$O,$A92,Transactions!$B:$B,"Buy shares")))</f>
        <v/>
      </c>
      <c r="D92" s="18" t="str">
        <f aca="false">IF($A92="","",SUMIFS(Transactions!$E:$E,Transactions!$O:$O,$A92,Transactions!$B:$B,"Buy shares"))</f>
        <v/>
      </c>
      <c r="E92" s="26" t="str">
        <f aca="false">IF($A92="","",IF(D92=0,"",-SUMIFS(Transactions!$J:$J,Transactions!$O:$O,$A92,Transactions!$B:$B,"Buy shares")/D92))</f>
        <v/>
      </c>
      <c r="F92" s="18" t="str">
        <f aca="false">IF($A92="","",-SUMIFS(Transactions!$E:$E,Transactions!$O:$O,$A92,Transactions!$B:$B,"Sell shares"))</f>
        <v/>
      </c>
      <c r="G92" s="18" t="str">
        <f aca="false">IF($A92="","",D92-F92)</f>
        <v/>
      </c>
      <c r="H92" s="14" t="str">
        <f aca="false">IF($A92="","",SUMIFS(Transactions!$J:$J,Transactions!$O:$O,$A92,Transactions!$B:$B,"Sell call")+SUMIFS(Transactions!$J:$J,Transactions!$O:$O,$A92,Transactions!$B:$B,"Buy to close"))</f>
        <v/>
      </c>
      <c r="I92" s="26" t="str">
        <f aca="false">IF(OR($A92="",E92=""),"",E92-H92/D92)</f>
        <v/>
      </c>
      <c r="J92" s="26" t="str">
        <f aca="false">IF($A92="","",IFERROR(INDEX(Positions!$K:$K,MATCH(B92,Positions!$B:$B,0)),""))</f>
        <v/>
      </c>
      <c r="K92" s="23"/>
      <c r="L92" s="26" t="str">
        <f aca="false">IF($A92="","",IF(K92&lt;&gt;"",K92,J92))</f>
        <v/>
      </c>
      <c r="M92" s="14" t="str">
        <f aca="false">IF(OR($A92="",L92=""),"",L92*G92)</f>
        <v/>
      </c>
      <c r="N92" s="14" t="str">
        <f aca="false">IF(OR(M92="",E92=""),"",(L92-E92)*G92)</f>
        <v/>
      </c>
      <c r="O92" s="8" t="str">
        <f aca="false">IF($A92="","",IF(G92&lt;=0,"Sold",IF((-SUMIFS(Transactions!$E:$E,Transactions!$O:$O,$A92,Transactions!$B:$B,"Sell call")-SUMIFS(Transactions!$E:$E,Transactions!$O:$O,$A92,Transactions!$B:$B,"Buy to close")-SUMIFS(Transactions!$E:$E,Transactions!$O:$O,$A92,Transactions!$B:$B,"Expired")-SUMIFS(Transactions!$E:$E,Transactions!$O:$O,$A92,Transactions!$B:$B,"Assigned"))&gt;0,"Covered","Free")))</f>
        <v/>
      </c>
      <c r="P92" s="26" t="str">
        <f aca="false">IF(OR(I92="",G92&lt;=0),"",CEILING(MAX(I92,N(L92)),IF(E92&lt;50,0.5,IF(E92&lt;200,1,5))))</f>
        <v/>
      </c>
      <c r="Q92" s="8" t="str">
        <f aca="true">IF(OR(N92="",G92&lt;=0),"",IF(N92&gt;=0,"",IF(COUNTIFS($B:$B,B92,$C:$C,"&gt;="&amp;(TODAY()-30),$C:$C,"&lt;="&amp;TODAY(),$A:$A,"&lt;&gt;"&amp;$A92)&gt;0,"Loss sale now = wash sale","OK to harvest loss")))</f>
        <v/>
      </c>
      <c r="R92" s="14" t="str">
        <f aca="false">IF(OR($A92="",N(F92)&lt;=0),"",SUMIFS(Transactions!$J:$J,Transactions!$O:$O,$A92,Transactions!$B:$B,"Sell shares")-E92*F92)</f>
        <v/>
      </c>
      <c r="S92" s="10" t="str">
        <f aca="false">IF(OR($A92="",N(F92)&lt;=0),"",_xlfn.MAXIFS(Transactions!$A:$A,Transactions!$O:$O,$A92,Transactions!$B:$B,"Sell shares"))</f>
        <v/>
      </c>
      <c r="T92" s="14" t="str">
        <f aca="false">IF(OR($A92="",E92=""),"",E92*G92)</f>
        <v/>
      </c>
    </row>
    <row r="93" customFormat="false" ht="15" hidden="false" customHeight="false" outlineLevel="0" collapsed="false">
      <c r="A93" s="21"/>
      <c r="B93" s="8" t="str">
        <f aca="false">IF($A93="","",IFERROR(INDEX(Transactions!$C:$C,MATCH($A93,Transactions!$O:$O,0)),""))</f>
        <v/>
      </c>
      <c r="C93" s="10" t="str">
        <f aca="false">IF($A93="","",IF(COUNTIFS(Transactions!$O:$O,$A93,Transactions!$B:$B,"Buy shares")=0,"",_xlfn.MINIFS(Transactions!$A:$A,Transactions!$O:$O,$A93,Transactions!$B:$B,"Buy shares")))</f>
        <v/>
      </c>
      <c r="D93" s="18" t="str">
        <f aca="false">IF($A93="","",SUMIFS(Transactions!$E:$E,Transactions!$O:$O,$A93,Transactions!$B:$B,"Buy shares"))</f>
        <v/>
      </c>
      <c r="E93" s="26" t="str">
        <f aca="false">IF($A93="","",IF(D93=0,"",-SUMIFS(Transactions!$J:$J,Transactions!$O:$O,$A93,Transactions!$B:$B,"Buy shares")/D93))</f>
        <v/>
      </c>
      <c r="F93" s="18" t="str">
        <f aca="false">IF($A93="","",-SUMIFS(Transactions!$E:$E,Transactions!$O:$O,$A93,Transactions!$B:$B,"Sell shares"))</f>
        <v/>
      </c>
      <c r="G93" s="18" t="str">
        <f aca="false">IF($A93="","",D93-F93)</f>
        <v/>
      </c>
      <c r="H93" s="14" t="str">
        <f aca="false">IF($A93="","",SUMIFS(Transactions!$J:$J,Transactions!$O:$O,$A93,Transactions!$B:$B,"Sell call")+SUMIFS(Transactions!$J:$J,Transactions!$O:$O,$A93,Transactions!$B:$B,"Buy to close"))</f>
        <v/>
      </c>
      <c r="I93" s="26" t="str">
        <f aca="false">IF(OR($A93="",E93=""),"",E93-H93/D93)</f>
        <v/>
      </c>
      <c r="J93" s="26" t="str">
        <f aca="false">IF($A93="","",IFERROR(INDEX(Positions!$K:$K,MATCH(B93,Positions!$B:$B,0)),""))</f>
        <v/>
      </c>
      <c r="K93" s="23"/>
      <c r="L93" s="26" t="str">
        <f aca="false">IF($A93="","",IF(K93&lt;&gt;"",K93,J93))</f>
        <v/>
      </c>
      <c r="M93" s="14" t="str">
        <f aca="false">IF(OR($A93="",L93=""),"",L93*G93)</f>
        <v/>
      </c>
      <c r="N93" s="14" t="str">
        <f aca="false">IF(OR(M93="",E93=""),"",(L93-E93)*G93)</f>
        <v/>
      </c>
      <c r="O93" s="8" t="str">
        <f aca="false">IF($A93="","",IF(G93&lt;=0,"Sold",IF((-SUMIFS(Transactions!$E:$E,Transactions!$O:$O,$A93,Transactions!$B:$B,"Sell call")-SUMIFS(Transactions!$E:$E,Transactions!$O:$O,$A93,Transactions!$B:$B,"Buy to close")-SUMIFS(Transactions!$E:$E,Transactions!$O:$O,$A93,Transactions!$B:$B,"Expired")-SUMIFS(Transactions!$E:$E,Transactions!$O:$O,$A93,Transactions!$B:$B,"Assigned"))&gt;0,"Covered","Free")))</f>
        <v/>
      </c>
      <c r="P93" s="26" t="str">
        <f aca="false">IF(OR(I93="",G93&lt;=0),"",CEILING(MAX(I93,N(L93)),IF(E93&lt;50,0.5,IF(E93&lt;200,1,5))))</f>
        <v/>
      </c>
      <c r="Q93" s="8" t="str">
        <f aca="true">IF(OR(N93="",G93&lt;=0),"",IF(N93&gt;=0,"",IF(COUNTIFS($B:$B,B93,$C:$C,"&gt;="&amp;(TODAY()-30),$C:$C,"&lt;="&amp;TODAY(),$A:$A,"&lt;&gt;"&amp;$A93)&gt;0,"Loss sale now = wash sale","OK to harvest loss")))</f>
        <v/>
      </c>
      <c r="R93" s="14" t="str">
        <f aca="false">IF(OR($A93="",N(F93)&lt;=0),"",SUMIFS(Transactions!$J:$J,Transactions!$O:$O,$A93,Transactions!$B:$B,"Sell shares")-E93*F93)</f>
        <v/>
      </c>
      <c r="S93" s="10" t="str">
        <f aca="false">IF(OR($A93="",N(F93)&lt;=0),"",_xlfn.MAXIFS(Transactions!$A:$A,Transactions!$O:$O,$A93,Transactions!$B:$B,"Sell shares"))</f>
        <v/>
      </c>
      <c r="T93" s="14" t="str">
        <f aca="false">IF(OR($A93="",E93=""),"",E93*G93)</f>
        <v/>
      </c>
    </row>
    <row r="94" customFormat="false" ht="15" hidden="false" customHeight="false" outlineLevel="0" collapsed="false">
      <c r="A94" s="21"/>
      <c r="B94" s="8" t="str">
        <f aca="false">IF($A94="","",IFERROR(INDEX(Transactions!$C:$C,MATCH($A94,Transactions!$O:$O,0)),""))</f>
        <v/>
      </c>
      <c r="C94" s="10" t="str">
        <f aca="false">IF($A94="","",IF(COUNTIFS(Transactions!$O:$O,$A94,Transactions!$B:$B,"Buy shares")=0,"",_xlfn.MINIFS(Transactions!$A:$A,Transactions!$O:$O,$A94,Transactions!$B:$B,"Buy shares")))</f>
        <v/>
      </c>
      <c r="D94" s="18" t="str">
        <f aca="false">IF($A94="","",SUMIFS(Transactions!$E:$E,Transactions!$O:$O,$A94,Transactions!$B:$B,"Buy shares"))</f>
        <v/>
      </c>
      <c r="E94" s="26" t="str">
        <f aca="false">IF($A94="","",IF(D94=0,"",-SUMIFS(Transactions!$J:$J,Transactions!$O:$O,$A94,Transactions!$B:$B,"Buy shares")/D94))</f>
        <v/>
      </c>
      <c r="F94" s="18" t="str">
        <f aca="false">IF($A94="","",-SUMIFS(Transactions!$E:$E,Transactions!$O:$O,$A94,Transactions!$B:$B,"Sell shares"))</f>
        <v/>
      </c>
      <c r="G94" s="18" t="str">
        <f aca="false">IF($A94="","",D94-F94)</f>
        <v/>
      </c>
      <c r="H94" s="14" t="str">
        <f aca="false">IF($A94="","",SUMIFS(Transactions!$J:$J,Transactions!$O:$O,$A94,Transactions!$B:$B,"Sell call")+SUMIFS(Transactions!$J:$J,Transactions!$O:$O,$A94,Transactions!$B:$B,"Buy to close"))</f>
        <v/>
      </c>
      <c r="I94" s="26" t="str">
        <f aca="false">IF(OR($A94="",E94=""),"",E94-H94/D94)</f>
        <v/>
      </c>
      <c r="J94" s="26" t="str">
        <f aca="false">IF($A94="","",IFERROR(INDEX(Positions!$K:$K,MATCH(B94,Positions!$B:$B,0)),""))</f>
        <v/>
      </c>
      <c r="K94" s="23"/>
      <c r="L94" s="26" t="str">
        <f aca="false">IF($A94="","",IF(K94&lt;&gt;"",K94,J94))</f>
        <v/>
      </c>
      <c r="M94" s="14" t="str">
        <f aca="false">IF(OR($A94="",L94=""),"",L94*G94)</f>
        <v/>
      </c>
      <c r="N94" s="14" t="str">
        <f aca="false">IF(OR(M94="",E94=""),"",(L94-E94)*G94)</f>
        <v/>
      </c>
      <c r="O94" s="8" t="str">
        <f aca="false">IF($A94="","",IF(G94&lt;=0,"Sold",IF((-SUMIFS(Transactions!$E:$E,Transactions!$O:$O,$A94,Transactions!$B:$B,"Sell call")-SUMIFS(Transactions!$E:$E,Transactions!$O:$O,$A94,Transactions!$B:$B,"Buy to close")-SUMIFS(Transactions!$E:$E,Transactions!$O:$O,$A94,Transactions!$B:$B,"Expired")-SUMIFS(Transactions!$E:$E,Transactions!$O:$O,$A94,Transactions!$B:$B,"Assigned"))&gt;0,"Covered","Free")))</f>
        <v/>
      </c>
      <c r="P94" s="26" t="str">
        <f aca="false">IF(OR(I94="",G94&lt;=0),"",CEILING(MAX(I94,N(L94)),IF(E94&lt;50,0.5,IF(E94&lt;200,1,5))))</f>
        <v/>
      </c>
      <c r="Q94" s="8" t="str">
        <f aca="true">IF(OR(N94="",G94&lt;=0),"",IF(N94&gt;=0,"",IF(COUNTIFS($B:$B,B94,$C:$C,"&gt;="&amp;(TODAY()-30),$C:$C,"&lt;="&amp;TODAY(),$A:$A,"&lt;&gt;"&amp;$A94)&gt;0,"Loss sale now = wash sale","OK to harvest loss")))</f>
        <v/>
      </c>
      <c r="R94" s="14" t="str">
        <f aca="false">IF(OR($A94="",N(F94)&lt;=0),"",SUMIFS(Transactions!$J:$J,Transactions!$O:$O,$A94,Transactions!$B:$B,"Sell shares")-E94*F94)</f>
        <v/>
      </c>
      <c r="S94" s="10" t="str">
        <f aca="false">IF(OR($A94="",N(F94)&lt;=0),"",_xlfn.MAXIFS(Transactions!$A:$A,Transactions!$O:$O,$A94,Transactions!$B:$B,"Sell shares"))</f>
        <v/>
      </c>
      <c r="T94" s="14" t="str">
        <f aca="false">IF(OR($A94="",E94=""),"",E94*G94)</f>
        <v/>
      </c>
    </row>
    <row r="95" customFormat="false" ht="15" hidden="false" customHeight="false" outlineLevel="0" collapsed="false">
      <c r="A95" s="21"/>
      <c r="B95" s="8" t="str">
        <f aca="false">IF($A95="","",IFERROR(INDEX(Transactions!$C:$C,MATCH($A95,Transactions!$O:$O,0)),""))</f>
        <v/>
      </c>
      <c r="C95" s="10" t="str">
        <f aca="false">IF($A95="","",IF(COUNTIFS(Transactions!$O:$O,$A95,Transactions!$B:$B,"Buy shares")=0,"",_xlfn.MINIFS(Transactions!$A:$A,Transactions!$O:$O,$A95,Transactions!$B:$B,"Buy shares")))</f>
        <v/>
      </c>
      <c r="D95" s="18" t="str">
        <f aca="false">IF($A95="","",SUMIFS(Transactions!$E:$E,Transactions!$O:$O,$A95,Transactions!$B:$B,"Buy shares"))</f>
        <v/>
      </c>
      <c r="E95" s="26" t="str">
        <f aca="false">IF($A95="","",IF(D95=0,"",-SUMIFS(Transactions!$J:$J,Transactions!$O:$O,$A95,Transactions!$B:$B,"Buy shares")/D95))</f>
        <v/>
      </c>
      <c r="F95" s="18" t="str">
        <f aca="false">IF($A95="","",-SUMIFS(Transactions!$E:$E,Transactions!$O:$O,$A95,Transactions!$B:$B,"Sell shares"))</f>
        <v/>
      </c>
      <c r="G95" s="18" t="str">
        <f aca="false">IF($A95="","",D95-F95)</f>
        <v/>
      </c>
      <c r="H95" s="14" t="str">
        <f aca="false">IF($A95="","",SUMIFS(Transactions!$J:$J,Transactions!$O:$O,$A95,Transactions!$B:$B,"Sell call")+SUMIFS(Transactions!$J:$J,Transactions!$O:$O,$A95,Transactions!$B:$B,"Buy to close"))</f>
        <v/>
      </c>
      <c r="I95" s="26" t="str">
        <f aca="false">IF(OR($A95="",E95=""),"",E95-H95/D95)</f>
        <v/>
      </c>
      <c r="J95" s="26" t="str">
        <f aca="false">IF($A95="","",IFERROR(INDEX(Positions!$K:$K,MATCH(B95,Positions!$B:$B,0)),""))</f>
        <v/>
      </c>
      <c r="K95" s="23"/>
      <c r="L95" s="26" t="str">
        <f aca="false">IF($A95="","",IF(K95&lt;&gt;"",K95,J95))</f>
        <v/>
      </c>
      <c r="M95" s="14" t="str">
        <f aca="false">IF(OR($A95="",L95=""),"",L95*G95)</f>
        <v/>
      </c>
      <c r="N95" s="14" t="str">
        <f aca="false">IF(OR(M95="",E95=""),"",(L95-E95)*G95)</f>
        <v/>
      </c>
      <c r="O95" s="8" t="str">
        <f aca="false">IF($A95="","",IF(G95&lt;=0,"Sold",IF((-SUMIFS(Transactions!$E:$E,Transactions!$O:$O,$A95,Transactions!$B:$B,"Sell call")-SUMIFS(Transactions!$E:$E,Transactions!$O:$O,$A95,Transactions!$B:$B,"Buy to close")-SUMIFS(Transactions!$E:$E,Transactions!$O:$O,$A95,Transactions!$B:$B,"Expired")-SUMIFS(Transactions!$E:$E,Transactions!$O:$O,$A95,Transactions!$B:$B,"Assigned"))&gt;0,"Covered","Free")))</f>
        <v/>
      </c>
      <c r="P95" s="26" t="str">
        <f aca="false">IF(OR(I95="",G95&lt;=0),"",CEILING(MAX(I95,N(L95)),IF(E95&lt;50,0.5,IF(E95&lt;200,1,5))))</f>
        <v/>
      </c>
      <c r="Q95" s="8" t="str">
        <f aca="true">IF(OR(N95="",G95&lt;=0),"",IF(N95&gt;=0,"",IF(COUNTIFS($B:$B,B95,$C:$C,"&gt;="&amp;(TODAY()-30),$C:$C,"&lt;="&amp;TODAY(),$A:$A,"&lt;&gt;"&amp;$A95)&gt;0,"Loss sale now = wash sale","OK to harvest loss")))</f>
        <v/>
      </c>
      <c r="R95" s="14" t="str">
        <f aca="false">IF(OR($A95="",N(F95)&lt;=0),"",SUMIFS(Transactions!$J:$J,Transactions!$O:$O,$A95,Transactions!$B:$B,"Sell shares")-E95*F95)</f>
        <v/>
      </c>
      <c r="S95" s="10" t="str">
        <f aca="false">IF(OR($A95="",N(F95)&lt;=0),"",_xlfn.MAXIFS(Transactions!$A:$A,Transactions!$O:$O,$A95,Transactions!$B:$B,"Sell shares"))</f>
        <v/>
      </c>
      <c r="T95" s="14" t="str">
        <f aca="false">IF(OR($A95="",E95=""),"",E95*G95)</f>
        <v/>
      </c>
    </row>
    <row r="96" customFormat="false" ht="15" hidden="false" customHeight="false" outlineLevel="0" collapsed="false">
      <c r="A96" s="21"/>
      <c r="B96" s="8" t="str">
        <f aca="false">IF($A96="","",IFERROR(INDEX(Transactions!$C:$C,MATCH($A96,Transactions!$O:$O,0)),""))</f>
        <v/>
      </c>
      <c r="C96" s="10" t="str">
        <f aca="false">IF($A96="","",IF(COUNTIFS(Transactions!$O:$O,$A96,Transactions!$B:$B,"Buy shares")=0,"",_xlfn.MINIFS(Transactions!$A:$A,Transactions!$O:$O,$A96,Transactions!$B:$B,"Buy shares")))</f>
        <v/>
      </c>
      <c r="D96" s="18" t="str">
        <f aca="false">IF($A96="","",SUMIFS(Transactions!$E:$E,Transactions!$O:$O,$A96,Transactions!$B:$B,"Buy shares"))</f>
        <v/>
      </c>
      <c r="E96" s="26" t="str">
        <f aca="false">IF($A96="","",IF(D96=0,"",-SUMIFS(Transactions!$J:$J,Transactions!$O:$O,$A96,Transactions!$B:$B,"Buy shares")/D96))</f>
        <v/>
      </c>
      <c r="F96" s="18" t="str">
        <f aca="false">IF($A96="","",-SUMIFS(Transactions!$E:$E,Transactions!$O:$O,$A96,Transactions!$B:$B,"Sell shares"))</f>
        <v/>
      </c>
      <c r="G96" s="18" t="str">
        <f aca="false">IF($A96="","",D96-F96)</f>
        <v/>
      </c>
      <c r="H96" s="14" t="str">
        <f aca="false">IF($A96="","",SUMIFS(Transactions!$J:$J,Transactions!$O:$O,$A96,Transactions!$B:$B,"Sell call")+SUMIFS(Transactions!$J:$J,Transactions!$O:$O,$A96,Transactions!$B:$B,"Buy to close"))</f>
        <v/>
      </c>
      <c r="I96" s="26" t="str">
        <f aca="false">IF(OR($A96="",E96=""),"",E96-H96/D96)</f>
        <v/>
      </c>
      <c r="J96" s="26" t="str">
        <f aca="false">IF($A96="","",IFERROR(INDEX(Positions!$K:$K,MATCH(B96,Positions!$B:$B,0)),""))</f>
        <v/>
      </c>
      <c r="K96" s="23"/>
      <c r="L96" s="26" t="str">
        <f aca="false">IF($A96="","",IF(K96&lt;&gt;"",K96,J96))</f>
        <v/>
      </c>
      <c r="M96" s="14" t="str">
        <f aca="false">IF(OR($A96="",L96=""),"",L96*G96)</f>
        <v/>
      </c>
      <c r="N96" s="14" t="str">
        <f aca="false">IF(OR(M96="",E96=""),"",(L96-E96)*G96)</f>
        <v/>
      </c>
      <c r="O96" s="8" t="str">
        <f aca="false">IF($A96="","",IF(G96&lt;=0,"Sold",IF((-SUMIFS(Transactions!$E:$E,Transactions!$O:$O,$A96,Transactions!$B:$B,"Sell call")-SUMIFS(Transactions!$E:$E,Transactions!$O:$O,$A96,Transactions!$B:$B,"Buy to close")-SUMIFS(Transactions!$E:$E,Transactions!$O:$O,$A96,Transactions!$B:$B,"Expired")-SUMIFS(Transactions!$E:$E,Transactions!$O:$O,$A96,Transactions!$B:$B,"Assigned"))&gt;0,"Covered","Free")))</f>
        <v/>
      </c>
      <c r="P96" s="26" t="str">
        <f aca="false">IF(OR(I96="",G96&lt;=0),"",CEILING(MAX(I96,N(L96)),IF(E96&lt;50,0.5,IF(E96&lt;200,1,5))))</f>
        <v/>
      </c>
      <c r="Q96" s="8" t="str">
        <f aca="true">IF(OR(N96="",G96&lt;=0),"",IF(N96&gt;=0,"",IF(COUNTIFS($B:$B,B96,$C:$C,"&gt;="&amp;(TODAY()-30),$C:$C,"&lt;="&amp;TODAY(),$A:$A,"&lt;&gt;"&amp;$A96)&gt;0,"Loss sale now = wash sale","OK to harvest loss")))</f>
        <v/>
      </c>
      <c r="R96" s="14" t="str">
        <f aca="false">IF(OR($A96="",N(F96)&lt;=0),"",SUMIFS(Transactions!$J:$J,Transactions!$O:$O,$A96,Transactions!$B:$B,"Sell shares")-E96*F96)</f>
        <v/>
      </c>
      <c r="S96" s="10" t="str">
        <f aca="false">IF(OR($A96="",N(F96)&lt;=0),"",_xlfn.MAXIFS(Transactions!$A:$A,Transactions!$O:$O,$A96,Transactions!$B:$B,"Sell shares"))</f>
        <v/>
      </c>
      <c r="T96" s="14" t="str">
        <f aca="false">IF(OR($A96="",E96=""),"",E96*G96)</f>
        <v/>
      </c>
    </row>
    <row r="97" customFormat="false" ht="15" hidden="false" customHeight="false" outlineLevel="0" collapsed="false">
      <c r="A97" s="21"/>
      <c r="B97" s="8" t="str">
        <f aca="false">IF($A97="","",IFERROR(INDEX(Transactions!$C:$C,MATCH($A97,Transactions!$O:$O,0)),""))</f>
        <v/>
      </c>
      <c r="C97" s="10" t="str">
        <f aca="false">IF($A97="","",IF(COUNTIFS(Transactions!$O:$O,$A97,Transactions!$B:$B,"Buy shares")=0,"",_xlfn.MINIFS(Transactions!$A:$A,Transactions!$O:$O,$A97,Transactions!$B:$B,"Buy shares")))</f>
        <v/>
      </c>
      <c r="D97" s="18" t="str">
        <f aca="false">IF($A97="","",SUMIFS(Transactions!$E:$E,Transactions!$O:$O,$A97,Transactions!$B:$B,"Buy shares"))</f>
        <v/>
      </c>
      <c r="E97" s="26" t="str">
        <f aca="false">IF($A97="","",IF(D97=0,"",-SUMIFS(Transactions!$J:$J,Transactions!$O:$O,$A97,Transactions!$B:$B,"Buy shares")/D97))</f>
        <v/>
      </c>
      <c r="F97" s="18" t="str">
        <f aca="false">IF($A97="","",-SUMIFS(Transactions!$E:$E,Transactions!$O:$O,$A97,Transactions!$B:$B,"Sell shares"))</f>
        <v/>
      </c>
      <c r="G97" s="18" t="str">
        <f aca="false">IF($A97="","",D97-F97)</f>
        <v/>
      </c>
      <c r="H97" s="14" t="str">
        <f aca="false">IF($A97="","",SUMIFS(Transactions!$J:$J,Transactions!$O:$O,$A97,Transactions!$B:$B,"Sell call")+SUMIFS(Transactions!$J:$J,Transactions!$O:$O,$A97,Transactions!$B:$B,"Buy to close"))</f>
        <v/>
      </c>
      <c r="I97" s="26" t="str">
        <f aca="false">IF(OR($A97="",E97=""),"",E97-H97/D97)</f>
        <v/>
      </c>
      <c r="J97" s="26" t="str">
        <f aca="false">IF($A97="","",IFERROR(INDEX(Positions!$K:$K,MATCH(B97,Positions!$B:$B,0)),""))</f>
        <v/>
      </c>
      <c r="K97" s="23"/>
      <c r="L97" s="26" t="str">
        <f aca="false">IF($A97="","",IF(K97&lt;&gt;"",K97,J97))</f>
        <v/>
      </c>
      <c r="M97" s="14" t="str">
        <f aca="false">IF(OR($A97="",L97=""),"",L97*G97)</f>
        <v/>
      </c>
      <c r="N97" s="14" t="str">
        <f aca="false">IF(OR(M97="",E97=""),"",(L97-E97)*G97)</f>
        <v/>
      </c>
      <c r="O97" s="8" t="str">
        <f aca="false">IF($A97="","",IF(G97&lt;=0,"Sold",IF((-SUMIFS(Transactions!$E:$E,Transactions!$O:$O,$A97,Transactions!$B:$B,"Sell call")-SUMIFS(Transactions!$E:$E,Transactions!$O:$O,$A97,Transactions!$B:$B,"Buy to close")-SUMIFS(Transactions!$E:$E,Transactions!$O:$O,$A97,Transactions!$B:$B,"Expired")-SUMIFS(Transactions!$E:$E,Transactions!$O:$O,$A97,Transactions!$B:$B,"Assigned"))&gt;0,"Covered","Free")))</f>
        <v/>
      </c>
      <c r="P97" s="26" t="str">
        <f aca="false">IF(OR(I97="",G97&lt;=0),"",CEILING(MAX(I97,N(L97)),IF(E97&lt;50,0.5,IF(E97&lt;200,1,5))))</f>
        <v/>
      </c>
      <c r="Q97" s="8" t="str">
        <f aca="true">IF(OR(N97="",G97&lt;=0),"",IF(N97&gt;=0,"",IF(COUNTIFS($B:$B,B97,$C:$C,"&gt;="&amp;(TODAY()-30),$C:$C,"&lt;="&amp;TODAY(),$A:$A,"&lt;&gt;"&amp;$A97)&gt;0,"Loss sale now = wash sale","OK to harvest loss")))</f>
        <v/>
      </c>
      <c r="R97" s="14" t="str">
        <f aca="false">IF(OR($A97="",N(F97)&lt;=0),"",SUMIFS(Transactions!$J:$J,Transactions!$O:$O,$A97,Transactions!$B:$B,"Sell shares")-E97*F97)</f>
        <v/>
      </c>
      <c r="S97" s="10" t="str">
        <f aca="false">IF(OR($A97="",N(F97)&lt;=0),"",_xlfn.MAXIFS(Transactions!$A:$A,Transactions!$O:$O,$A97,Transactions!$B:$B,"Sell shares"))</f>
        <v/>
      </c>
      <c r="T97" s="14" t="str">
        <f aca="false">IF(OR($A97="",E97=""),"",E97*G97)</f>
        <v/>
      </c>
    </row>
    <row r="98" customFormat="false" ht="15" hidden="false" customHeight="false" outlineLevel="0" collapsed="false">
      <c r="A98" s="21"/>
      <c r="B98" s="8" t="str">
        <f aca="false">IF($A98="","",IFERROR(INDEX(Transactions!$C:$C,MATCH($A98,Transactions!$O:$O,0)),""))</f>
        <v/>
      </c>
      <c r="C98" s="10" t="str">
        <f aca="false">IF($A98="","",IF(COUNTIFS(Transactions!$O:$O,$A98,Transactions!$B:$B,"Buy shares")=0,"",_xlfn.MINIFS(Transactions!$A:$A,Transactions!$O:$O,$A98,Transactions!$B:$B,"Buy shares")))</f>
        <v/>
      </c>
      <c r="D98" s="18" t="str">
        <f aca="false">IF($A98="","",SUMIFS(Transactions!$E:$E,Transactions!$O:$O,$A98,Transactions!$B:$B,"Buy shares"))</f>
        <v/>
      </c>
      <c r="E98" s="26" t="str">
        <f aca="false">IF($A98="","",IF(D98=0,"",-SUMIFS(Transactions!$J:$J,Transactions!$O:$O,$A98,Transactions!$B:$B,"Buy shares")/D98))</f>
        <v/>
      </c>
      <c r="F98" s="18" t="str">
        <f aca="false">IF($A98="","",-SUMIFS(Transactions!$E:$E,Transactions!$O:$O,$A98,Transactions!$B:$B,"Sell shares"))</f>
        <v/>
      </c>
      <c r="G98" s="18" t="str">
        <f aca="false">IF($A98="","",D98-F98)</f>
        <v/>
      </c>
      <c r="H98" s="14" t="str">
        <f aca="false">IF($A98="","",SUMIFS(Transactions!$J:$J,Transactions!$O:$O,$A98,Transactions!$B:$B,"Sell call")+SUMIFS(Transactions!$J:$J,Transactions!$O:$O,$A98,Transactions!$B:$B,"Buy to close"))</f>
        <v/>
      </c>
      <c r="I98" s="26" t="str">
        <f aca="false">IF(OR($A98="",E98=""),"",E98-H98/D98)</f>
        <v/>
      </c>
      <c r="J98" s="26" t="str">
        <f aca="false">IF($A98="","",IFERROR(INDEX(Positions!$K:$K,MATCH(B98,Positions!$B:$B,0)),""))</f>
        <v/>
      </c>
      <c r="K98" s="23"/>
      <c r="L98" s="26" t="str">
        <f aca="false">IF($A98="","",IF(K98&lt;&gt;"",K98,J98))</f>
        <v/>
      </c>
      <c r="M98" s="14" t="str">
        <f aca="false">IF(OR($A98="",L98=""),"",L98*G98)</f>
        <v/>
      </c>
      <c r="N98" s="14" t="str">
        <f aca="false">IF(OR(M98="",E98=""),"",(L98-E98)*G98)</f>
        <v/>
      </c>
      <c r="O98" s="8" t="str">
        <f aca="false">IF($A98="","",IF(G98&lt;=0,"Sold",IF((-SUMIFS(Transactions!$E:$E,Transactions!$O:$O,$A98,Transactions!$B:$B,"Sell call")-SUMIFS(Transactions!$E:$E,Transactions!$O:$O,$A98,Transactions!$B:$B,"Buy to close")-SUMIFS(Transactions!$E:$E,Transactions!$O:$O,$A98,Transactions!$B:$B,"Expired")-SUMIFS(Transactions!$E:$E,Transactions!$O:$O,$A98,Transactions!$B:$B,"Assigned"))&gt;0,"Covered","Free")))</f>
        <v/>
      </c>
      <c r="P98" s="26" t="str">
        <f aca="false">IF(OR(I98="",G98&lt;=0),"",CEILING(MAX(I98,N(L98)),IF(E98&lt;50,0.5,IF(E98&lt;200,1,5))))</f>
        <v/>
      </c>
      <c r="Q98" s="8" t="str">
        <f aca="true">IF(OR(N98="",G98&lt;=0),"",IF(N98&gt;=0,"",IF(COUNTIFS($B:$B,B98,$C:$C,"&gt;="&amp;(TODAY()-30),$C:$C,"&lt;="&amp;TODAY(),$A:$A,"&lt;&gt;"&amp;$A98)&gt;0,"Loss sale now = wash sale","OK to harvest loss")))</f>
        <v/>
      </c>
      <c r="R98" s="14" t="str">
        <f aca="false">IF(OR($A98="",N(F98)&lt;=0),"",SUMIFS(Transactions!$J:$J,Transactions!$O:$O,$A98,Transactions!$B:$B,"Sell shares")-E98*F98)</f>
        <v/>
      </c>
      <c r="S98" s="10" t="str">
        <f aca="false">IF(OR($A98="",N(F98)&lt;=0),"",_xlfn.MAXIFS(Transactions!$A:$A,Transactions!$O:$O,$A98,Transactions!$B:$B,"Sell shares"))</f>
        <v/>
      </c>
      <c r="T98" s="14" t="str">
        <f aca="false">IF(OR($A98="",E98=""),"",E98*G98)</f>
        <v/>
      </c>
    </row>
    <row r="99" customFormat="false" ht="15" hidden="false" customHeight="false" outlineLevel="0" collapsed="false">
      <c r="A99" s="21"/>
      <c r="B99" s="8" t="str">
        <f aca="false">IF($A99="","",IFERROR(INDEX(Transactions!$C:$C,MATCH($A99,Transactions!$O:$O,0)),""))</f>
        <v/>
      </c>
      <c r="C99" s="10" t="str">
        <f aca="false">IF($A99="","",IF(COUNTIFS(Transactions!$O:$O,$A99,Transactions!$B:$B,"Buy shares")=0,"",_xlfn.MINIFS(Transactions!$A:$A,Transactions!$O:$O,$A99,Transactions!$B:$B,"Buy shares")))</f>
        <v/>
      </c>
      <c r="D99" s="18" t="str">
        <f aca="false">IF($A99="","",SUMIFS(Transactions!$E:$E,Transactions!$O:$O,$A99,Transactions!$B:$B,"Buy shares"))</f>
        <v/>
      </c>
      <c r="E99" s="26" t="str">
        <f aca="false">IF($A99="","",IF(D99=0,"",-SUMIFS(Transactions!$J:$J,Transactions!$O:$O,$A99,Transactions!$B:$B,"Buy shares")/D99))</f>
        <v/>
      </c>
      <c r="F99" s="18" t="str">
        <f aca="false">IF($A99="","",-SUMIFS(Transactions!$E:$E,Transactions!$O:$O,$A99,Transactions!$B:$B,"Sell shares"))</f>
        <v/>
      </c>
      <c r="G99" s="18" t="str">
        <f aca="false">IF($A99="","",D99-F99)</f>
        <v/>
      </c>
      <c r="H99" s="14" t="str">
        <f aca="false">IF($A99="","",SUMIFS(Transactions!$J:$J,Transactions!$O:$O,$A99,Transactions!$B:$B,"Sell call")+SUMIFS(Transactions!$J:$J,Transactions!$O:$O,$A99,Transactions!$B:$B,"Buy to close"))</f>
        <v/>
      </c>
      <c r="I99" s="26" t="str">
        <f aca="false">IF(OR($A99="",E99=""),"",E99-H99/D99)</f>
        <v/>
      </c>
      <c r="J99" s="26" t="str">
        <f aca="false">IF($A99="","",IFERROR(INDEX(Positions!$K:$K,MATCH(B99,Positions!$B:$B,0)),""))</f>
        <v/>
      </c>
      <c r="K99" s="23"/>
      <c r="L99" s="26" t="str">
        <f aca="false">IF($A99="","",IF(K99&lt;&gt;"",K99,J99))</f>
        <v/>
      </c>
      <c r="M99" s="14" t="str">
        <f aca="false">IF(OR($A99="",L99=""),"",L99*G99)</f>
        <v/>
      </c>
      <c r="N99" s="14" t="str">
        <f aca="false">IF(OR(M99="",E99=""),"",(L99-E99)*G99)</f>
        <v/>
      </c>
      <c r="O99" s="8" t="str">
        <f aca="false">IF($A99="","",IF(G99&lt;=0,"Sold",IF((-SUMIFS(Transactions!$E:$E,Transactions!$O:$O,$A99,Transactions!$B:$B,"Sell call")-SUMIFS(Transactions!$E:$E,Transactions!$O:$O,$A99,Transactions!$B:$B,"Buy to close")-SUMIFS(Transactions!$E:$E,Transactions!$O:$O,$A99,Transactions!$B:$B,"Expired")-SUMIFS(Transactions!$E:$E,Transactions!$O:$O,$A99,Transactions!$B:$B,"Assigned"))&gt;0,"Covered","Free")))</f>
        <v/>
      </c>
      <c r="P99" s="26" t="str">
        <f aca="false">IF(OR(I99="",G99&lt;=0),"",CEILING(MAX(I99,N(L99)),IF(E99&lt;50,0.5,IF(E99&lt;200,1,5))))</f>
        <v/>
      </c>
      <c r="Q99" s="8" t="str">
        <f aca="true">IF(OR(N99="",G99&lt;=0),"",IF(N99&gt;=0,"",IF(COUNTIFS($B:$B,B99,$C:$C,"&gt;="&amp;(TODAY()-30),$C:$C,"&lt;="&amp;TODAY(),$A:$A,"&lt;&gt;"&amp;$A99)&gt;0,"Loss sale now = wash sale","OK to harvest loss")))</f>
        <v/>
      </c>
      <c r="R99" s="14" t="str">
        <f aca="false">IF(OR($A99="",N(F99)&lt;=0),"",SUMIFS(Transactions!$J:$J,Transactions!$O:$O,$A99,Transactions!$B:$B,"Sell shares")-E99*F99)</f>
        <v/>
      </c>
      <c r="S99" s="10" t="str">
        <f aca="false">IF(OR($A99="",N(F99)&lt;=0),"",_xlfn.MAXIFS(Transactions!$A:$A,Transactions!$O:$O,$A99,Transactions!$B:$B,"Sell shares"))</f>
        <v/>
      </c>
      <c r="T99" s="14" t="str">
        <f aca="false">IF(OR($A99="",E99=""),"",E99*G99)</f>
        <v/>
      </c>
    </row>
    <row r="100" customFormat="false" ht="15" hidden="false" customHeight="false" outlineLevel="0" collapsed="false">
      <c r="A100" s="21"/>
      <c r="B100" s="8" t="str">
        <f aca="false">IF($A100="","",IFERROR(INDEX(Transactions!$C:$C,MATCH($A100,Transactions!$O:$O,0)),""))</f>
        <v/>
      </c>
      <c r="C100" s="10" t="str">
        <f aca="false">IF($A100="","",IF(COUNTIFS(Transactions!$O:$O,$A100,Transactions!$B:$B,"Buy shares")=0,"",_xlfn.MINIFS(Transactions!$A:$A,Transactions!$O:$O,$A100,Transactions!$B:$B,"Buy shares")))</f>
        <v/>
      </c>
      <c r="D100" s="18" t="str">
        <f aca="false">IF($A100="","",SUMIFS(Transactions!$E:$E,Transactions!$O:$O,$A100,Transactions!$B:$B,"Buy shares"))</f>
        <v/>
      </c>
      <c r="E100" s="26" t="str">
        <f aca="false">IF($A100="","",IF(D100=0,"",-SUMIFS(Transactions!$J:$J,Transactions!$O:$O,$A100,Transactions!$B:$B,"Buy shares")/D100))</f>
        <v/>
      </c>
      <c r="F100" s="18" t="str">
        <f aca="false">IF($A100="","",-SUMIFS(Transactions!$E:$E,Transactions!$O:$O,$A100,Transactions!$B:$B,"Sell shares"))</f>
        <v/>
      </c>
      <c r="G100" s="18" t="str">
        <f aca="false">IF($A100="","",D100-F100)</f>
        <v/>
      </c>
      <c r="H100" s="14" t="str">
        <f aca="false">IF($A100="","",SUMIFS(Transactions!$J:$J,Transactions!$O:$O,$A100,Transactions!$B:$B,"Sell call")+SUMIFS(Transactions!$J:$J,Transactions!$O:$O,$A100,Transactions!$B:$B,"Buy to close"))</f>
        <v/>
      </c>
      <c r="I100" s="26" t="str">
        <f aca="false">IF(OR($A100="",E100=""),"",E100-H100/D100)</f>
        <v/>
      </c>
      <c r="J100" s="26" t="str">
        <f aca="false">IF($A100="","",IFERROR(INDEX(Positions!$K:$K,MATCH(B100,Positions!$B:$B,0)),""))</f>
        <v/>
      </c>
      <c r="K100" s="23"/>
      <c r="L100" s="26" t="str">
        <f aca="false">IF($A100="","",IF(K100&lt;&gt;"",K100,J100))</f>
        <v/>
      </c>
      <c r="M100" s="14" t="str">
        <f aca="false">IF(OR($A100="",L100=""),"",L100*G100)</f>
        <v/>
      </c>
      <c r="N100" s="14" t="str">
        <f aca="false">IF(OR(M100="",E100=""),"",(L100-E100)*G100)</f>
        <v/>
      </c>
      <c r="O100" s="8" t="str">
        <f aca="false">IF($A100="","",IF(G100&lt;=0,"Sold",IF((-SUMIFS(Transactions!$E:$E,Transactions!$O:$O,$A100,Transactions!$B:$B,"Sell call")-SUMIFS(Transactions!$E:$E,Transactions!$O:$O,$A100,Transactions!$B:$B,"Buy to close")-SUMIFS(Transactions!$E:$E,Transactions!$O:$O,$A100,Transactions!$B:$B,"Expired")-SUMIFS(Transactions!$E:$E,Transactions!$O:$O,$A100,Transactions!$B:$B,"Assigned"))&gt;0,"Covered","Free")))</f>
        <v/>
      </c>
      <c r="P100" s="26" t="str">
        <f aca="false">IF(OR(I100="",G100&lt;=0),"",CEILING(MAX(I100,N(L100)),IF(E100&lt;50,0.5,IF(E100&lt;200,1,5))))</f>
        <v/>
      </c>
      <c r="Q100" s="8" t="str">
        <f aca="true">IF(OR(N100="",G100&lt;=0),"",IF(N100&gt;=0,"",IF(COUNTIFS($B:$B,B100,$C:$C,"&gt;="&amp;(TODAY()-30),$C:$C,"&lt;="&amp;TODAY(),$A:$A,"&lt;&gt;"&amp;$A100)&gt;0,"Loss sale now = wash sale","OK to harvest loss")))</f>
        <v/>
      </c>
      <c r="R100" s="14" t="str">
        <f aca="false">IF(OR($A100="",N(F100)&lt;=0),"",SUMIFS(Transactions!$J:$J,Transactions!$O:$O,$A100,Transactions!$B:$B,"Sell shares")-E100*F100)</f>
        <v/>
      </c>
      <c r="S100" s="10" t="str">
        <f aca="false">IF(OR($A100="",N(F100)&lt;=0),"",_xlfn.MAXIFS(Transactions!$A:$A,Transactions!$O:$O,$A100,Transactions!$B:$B,"Sell shares"))</f>
        <v/>
      </c>
      <c r="T100" s="14" t="str">
        <f aca="false">IF(OR($A100="",E100=""),"",E100*G100)</f>
        <v/>
      </c>
    </row>
    <row r="101" customFormat="false" ht="15" hidden="false" customHeight="false" outlineLevel="0" collapsed="false">
      <c r="A101" s="21"/>
      <c r="B101" s="8" t="str">
        <f aca="false">IF($A101="","",IFERROR(INDEX(Transactions!$C:$C,MATCH($A101,Transactions!$O:$O,0)),""))</f>
        <v/>
      </c>
      <c r="C101" s="10" t="str">
        <f aca="false">IF($A101="","",IF(COUNTIFS(Transactions!$O:$O,$A101,Transactions!$B:$B,"Buy shares")=0,"",_xlfn.MINIFS(Transactions!$A:$A,Transactions!$O:$O,$A101,Transactions!$B:$B,"Buy shares")))</f>
        <v/>
      </c>
      <c r="D101" s="18" t="str">
        <f aca="false">IF($A101="","",SUMIFS(Transactions!$E:$E,Transactions!$O:$O,$A101,Transactions!$B:$B,"Buy shares"))</f>
        <v/>
      </c>
      <c r="E101" s="26" t="str">
        <f aca="false">IF($A101="","",IF(D101=0,"",-SUMIFS(Transactions!$J:$J,Transactions!$O:$O,$A101,Transactions!$B:$B,"Buy shares")/D101))</f>
        <v/>
      </c>
      <c r="F101" s="18" t="str">
        <f aca="false">IF($A101="","",-SUMIFS(Transactions!$E:$E,Transactions!$O:$O,$A101,Transactions!$B:$B,"Sell shares"))</f>
        <v/>
      </c>
      <c r="G101" s="18" t="str">
        <f aca="false">IF($A101="","",D101-F101)</f>
        <v/>
      </c>
      <c r="H101" s="14" t="str">
        <f aca="false">IF($A101="","",SUMIFS(Transactions!$J:$J,Transactions!$O:$O,$A101,Transactions!$B:$B,"Sell call")+SUMIFS(Transactions!$J:$J,Transactions!$O:$O,$A101,Transactions!$B:$B,"Buy to close"))</f>
        <v/>
      </c>
      <c r="I101" s="26" t="str">
        <f aca="false">IF(OR($A101="",E101=""),"",E101-H101/D101)</f>
        <v/>
      </c>
      <c r="J101" s="26" t="str">
        <f aca="false">IF($A101="","",IFERROR(INDEX(Positions!$K:$K,MATCH(B101,Positions!$B:$B,0)),""))</f>
        <v/>
      </c>
      <c r="K101" s="23"/>
      <c r="L101" s="26" t="str">
        <f aca="false">IF($A101="","",IF(K101&lt;&gt;"",K101,J101))</f>
        <v/>
      </c>
      <c r="M101" s="14" t="str">
        <f aca="false">IF(OR($A101="",L101=""),"",L101*G101)</f>
        <v/>
      </c>
      <c r="N101" s="14" t="str">
        <f aca="false">IF(OR(M101="",E101=""),"",(L101-E101)*G101)</f>
        <v/>
      </c>
      <c r="O101" s="8" t="str">
        <f aca="false">IF($A101="","",IF(G101&lt;=0,"Sold",IF((-SUMIFS(Transactions!$E:$E,Transactions!$O:$O,$A101,Transactions!$B:$B,"Sell call")-SUMIFS(Transactions!$E:$E,Transactions!$O:$O,$A101,Transactions!$B:$B,"Buy to close")-SUMIFS(Transactions!$E:$E,Transactions!$O:$O,$A101,Transactions!$B:$B,"Expired")-SUMIFS(Transactions!$E:$E,Transactions!$O:$O,$A101,Transactions!$B:$B,"Assigned"))&gt;0,"Covered","Free")))</f>
        <v/>
      </c>
      <c r="P101" s="26" t="str">
        <f aca="false">IF(OR(I101="",G101&lt;=0),"",CEILING(MAX(I101,N(L101)),IF(E101&lt;50,0.5,IF(E101&lt;200,1,5))))</f>
        <v/>
      </c>
      <c r="Q101" s="8" t="str">
        <f aca="true">IF(OR(N101="",G101&lt;=0),"",IF(N101&gt;=0,"",IF(COUNTIFS($B:$B,B101,$C:$C,"&gt;="&amp;(TODAY()-30),$C:$C,"&lt;="&amp;TODAY(),$A:$A,"&lt;&gt;"&amp;$A101)&gt;0,"Loss sale now = wash sale","OK to harvest loss")))</f>
        <v/>
      </c>
      <c r="R101" s="14" t="str">
        <f aca="false">IF(OR($A101="",N(F101)&lt;=0),"",SUMIFS(Transactions!$J:$J,Transactions!$O:$O,$A101,Transactions!$B:$B,"Sell shares")-E101*F101)</f>
        <v/>
      </c>
      <c r="S101" s="10" t="str">
        <f aca="false">IF(OR($A101="",N(F101)&lt;=0),"",_xlfn.MAXIFS(Transactions!$A:$A,Transactions!$O:$O,$A101,Transactions!$B:$B,"Sell shares"))</f>
        <v/>
      </c>
      <c r="T101" s="14" t="str">
        <f aca="false">IF(OR($A101="",E101=""),"",E101*G101)</f>
        <v/>
      </c>
    </row>
    <row r="102" customFormat="false" ht="15" hidden="false" customHeight="false" outlineLevel="0" collapsed="false">
      <c r="A102" s="21"/>
      <c r="B102" s="8" t="str">
        <f aca="false">IF($A102="","",IFERROR(INDEX(Transactions!$C:$C,MATCH($A102,Transactions!$O:$O,0)),""))</f>
        <v/>
      </c>
      <c r="C102" s="10" t="str">
        <f aca="false">IF($A102="","",IF(COUNTIFS(Transactions!$O:$O,$A102,Transactions!$B:$B,"Buy shares")=0,"",_xlfn.MINIFS(Transactions!$A:$A,Transactions!$O:$O,$A102,Transactions!$B:$B,"Buy shares")))</f>
        <v/>
      </c>
      <c r="D102" s="18" t="str">
        <f aca="false">IF($A102="","",SUMIFS(Transactions!$E:$E,Transactions!$O:$O,$A102,Transactions!$B:$B,"Buy shares"))</f>
        <v/>
      </c>
      <c r="E102" s="26" t="str">
        <f aca="false">IF($A102="","",IF(D102=0,"",-SUMIFS(Transactions!$J:$J,Transactions!$O:$O,$A102,Transactions!$B:$B,"Buy shares")/D102))</f>
        <v/>
      </c>
      <c r="F102" s="18" t="str">
        <f aca="false">IF($A102="","",-SUMIFS(Transactions!$E:$E,Transactions!$O:$O,$A102,Transactions!$B:$B,"Sell shares"))</f>
        <v/>
      </c>
      <c r="G102" s="18" t="str">
        <f aca="false">IF($A102="","",D102-F102)</f>
        <v/>
      </c>
      <c r="H102" s="14" t="str">
        <f aca="false">IF($A102="","",SUMIFS(Transactions!$J:$J,Transactions!$O:$O,$A102,Transactions!$B:$B,"Sell call")+SUMIFS(Transactions!$J:$J,Transactions!$O:$O,$A102,Transactions!$B:$B,"Buy to close"))</f>
        <v/>
      </c>
      <c r="I102" s="26" t="str">
        <f aca="false">IF(OR($A102="",E102=""),"",E102-H102/D102)</f>
        <v/>
      </c>
      <c r="J102" s="26" t="str">
        <f aca="false">IF($A102="","",IFERROR(INDEX(Positions!$K:$K,MATCH(B102,Positions!$B:$B,0)),""))</f>
        <v/>
      </c>
      <c r="K102" s="23"/>
      <c r="L102" s="26" t="str">
        <f aca="false">IF($A102="","",IF(K102&lt;&gt;"",K102,J102))</f>
        <v/>
      </c>
      <c r="M102" s="14" t="str">
        <f aca="false">IF(OR($A102="",L102=""),"",L102*G102)</f>
        <v/>
      </c>
      <c r="N102" s="14" t="str">
        <f aca="false">IF(OR(M102="",E102=""),"",(L102-E102)*G102)</f>
        <v/>
      </c>
      <c r="O102" s="8" t="str">
        <f aca="false">IF($A102="","",IF(G102&lt;=0,"Sold",IF((-SUMIFS(Transactions!$E:$E,Transactions!$O:$O,$A102,Transactions!$B:$B,"Sell call")-SUMIFS(Transactions!$E:$E,Transactions!$O:$O,$A102,Transactions!$B:$B,"Buy to close")-SUMIFS(Transactions!$E:$E,Transactions!$O:$O,$A102,Transactions!$B:$B,"Expired")-SUMIFS(Transactions!$E:$E,Transactions!$O:$O,$A102,Transactions!$B:$B,"Assigned"))&gt;0,"Covered","Free")))</f>
        <v/>
      </c>
      <c r="P102" s="26" t="str">
        <f aca="false">IF(OR(I102="",G102&lt;=0),"",CEILING(MAX(I102,N(L102)),IF(E102&lt;50,0.5,IF(E102&lt;200,1,5))))</f>
        <v/>
      </c>
      <c r="Q102" s="8" t="str">
        <f aca="true">IF(OR(N102="",G102&lt;=0),"",IF(N102&gt;=0,"",IF(COUNTIFS($B:$B,B102,$C:$C,"&gt;="&amp;(TODAY()-30),$C:$C,"&lt;="&amp;TODAY(),$A:$A,"&lt;&gt;"&amp;$A102)&gt;0,"Loss sale now = wash sale","OK to harvest loss")))</f>
        <v/>
      </c>
      <c r="R102" s="14" t="str">
        <f aca="false">IF(OR($A102="",N(F102)&lt;=0),"",SUMIFS(Transactions!$J:$J,Transactions!$O:$O,$A102,Transactions!$B:$B,"Sell shares")-E102*F102)</f>
        <v/>
      </c>
      <c r="S102" s="10" t="str">
        <f aca="false">IF(OR($A102="",N(F102)&lt;=0),"",_xlfn.MAXIFS(Transactions!$A:$A,Transactions!$O:$O,$A102,Transactions!$B:$B,"Sell shares"))</f>
        <v/>
      </c>
      <c r="T102" s="14" t="str">
        <f aca="false">IF(OR($A102="",E102=""),"",E102*G102)</f>
        <v/>
      </c>
    </row>
    <row r="103" customFormat="false" ht="15" hidden="false" customHeight="false" outlineLevel="0" collapsed="false">
      <c r="A103" s="21"/>
      <c r="B103" s="8" t="str">
        <f aca="false">IF($A103="","",IFERROR(INDEX(Transactions!$C:$C,MATCH($A103,Transactions!$O:$O,0)),""))</f>
        <v/>
      </c>
      <c r="C103" s="10" t="str">
        <f aca="false">IF($A103="","",IF(COUNTIFS(Transactions!$O:$O,$A103,Transactions!$B:$B,"Buy shares")=0,"",_xlfn.MINIFS(Transactions!$A:$A,Transactions!$O:$O,$A103,Transactions!$B:$B,"Buy shares")))</f>
        <v/>
      </c>
      <c r="D103" s="18" t="str">
        <f aca="false">IF($A103="","",SUMIFS(Transactions!$E:$E,Transactions!$O:$O,$A103,Transactions!$B:$B,"Buy shares"))</f>
        <v/>
      </c>
      <c r="E103" s="26" t="str">
        <f aca="false">IF($A103="","",IF(D103=0,"",-SUMIFS(Transactions!$J:$J,Transactions!$O:$O,$A103,Transactions!$B:$B,"Buy shares")/D103))</f>
        <v/>
      </c>
      <c r="F103" s="18" t="str">
        <f aca="false">IF($A103="","",-SUMIFS(Transactions!$E:$E,Transactions!$O:$O,$A103,Transactions!$B:$B,"Sell shares"))</f>
        <v/>
      </c>
      <c r="G103" s="18" t="str">
        <f aca="false">IF($A103="","",D103-F103)</f>
        <v/>
      </c>
      <c r="H103" s="14" t="str">
        <f aca="false">IF($A103="","",SUMIFS(Transactions!$J:$J,Transactions!$O:$O,$A103,Transactions!$B:$B,"Sell call")+SUMIFS(Transactions!$J:$J,Transactions!$O:$O,$A103,Transactions!$B:$B,"Buy to close"))</f>
        <v/>
      </c>
      <c r="I103" s="26" t="str">
        <f aca="false">IF(OR($A103="",E103=""),"",E103-H103/D103)</f>
        <v/>
      </c>
      <c r="J103" s="26" t="str">
        <f aca="false">IF($A103="","",IFERROR(INDEX(Positions!$K:$K,MATCH(B103,Positions!$B:$B,0)),""))</f>
        <v/>
      </c>
      <c r="K103" s="23"/>
      <c r="L103" s="26" t="str">
        <f aca="false">IF($A103="","",IF(K103&lt;&gt;"",K103,J103))</f>
        <v/>
      </c>
      <c r="M103" s="14" t="str">
        <f aca="false">IF(OR($A103="",L103=""),"",L103*G103)</f>
        <v/>
      </c>
      <c r="N103" s="14" t="str">
        <f aca="false">IF(OR(M103="",E103=""),"",(L103-E103)*G103)</f>
        <v/>
      </c>
      <c r="O103" s="8" t="str">
        <f aca="false">IF($A103="","",IF(G103&lt;=0,"Sold",IF((-SUMIFS(Transactions!$E:$E,Transactions!$O:$O,$A103,Transactions!$B:$B,"Sell call")-SUMIFS(Transactions!$E:$E,Transactions!$O:$O,$A103,Transactions!$B:$B,"Buy to close")-SUMIFS(Transactions!$E:$E,Transactions!$O:$O,$A103,Transactions!$B:$B,"Expired")-SUMIFS(Transactions!$E:$E,Transactions!$O:$O,$A103,Transactions!$B:$B,"Assigned"))&gt;0,"Covered","Free")))</f>
        <v/>
      </c>
      <c r="P103" s="26" t="str">
        <f aca="false">IF(OR(I103="",G103&lt;=0),"",CEILING(MAX(I103,N(L103)),IF(E103&lt;50,0.5,IF(E103&lt;200,1,5))))</f>
        <v/>
      </c>
      <c r="Q103" s="8" t="str">
        <f aca="true">IF(OR(N103="",G103&lt;=0),"",IF(N103&gt;=0,"",IF(COUNTIFS($B:$B,B103,$C:$C,"&gt;="&amp;(TODAY()-30),$C:$C,"&lt;="&amp;TODAY(),$A:$A,"&lt;&gt;"&amp;$A103)&gt;0,"Loss sale now = wash sale","OK to harvest loss")))</f>
        <v/>
      </c>
      <c r="R103" s="14" t="str">
        <f aca="false">IF(OR($A103="",N(F103)&lt;=0),"",SUMIFS(Transactions!$J:$J,Transactions!$O:$O,$A103,Transactions!$B:$B,"Sell shares")-E103*F103)</f>
        <v/>
      </c>
      <c r="S103" s="10" t="str">
        <f aca="false">IF(OR($A103="",N(F103)&lt;=0),"",_xlfn.MAXIFS(Transactions!$A:$A,Transactions!$O:$O,$A103,Transactions!$B:$B,"Sell shares"))</f>
        <v/>
      </c>
      <c r="T103" s="14" t="str">
        <f aca="false">IF(OR($A103="",E103=""),"",E103*G103)</f>
        <v/>
      </c>
    </row>
    <row r="104" customFormat="false" ht="15" hidden="false" customHeight="false" outlineLevel="0" collapsed="false">
      <c r="A104" s="21"/>
      <c r="B104" s="8" t="str">
        <f aca="false">IF($A104="","",IFERROR(INDEX(Transactions!$C:$C,MATCH($A104,Transactions!$O:$O,0)),""))</f>
        <v/>
      </c>
      <c r="C104" s="10" t="str">
        <f aca="false">IF($A104="","",IF(COUNTIFS(Transactions!$O:$O,$A104,Transactions!$B:$B,"Buy shares")=0,"",_xlfn.MINIFS(Transactions!$A:$A,Transactions!$O:$O,$A104,Transactions!$B:$B,"Buy shares")))</f>
        <v/>
      </c>
      <c r="D104" s="18" t="str">
        <f aca="false">IF($A104="","",SUMIFS(Transactions!$E:$E,Transactions!$O:$O,$A104,Transactions!$B:$B,"Buy shares"))</f>
        <v/>
      </c>
      <c r="E104" s="26" t="str">
        <f aca="false">IF($A104="","",IF(D104=0,"",-SUMIFS(Transactions!$J:$J,Transactions!$O:$O,$A104,Transactions!$B:$B,"Buy shares")/D104))</f>
        <v/>
      </c>
      <c r="F104" s="18" t="str">
        <f aca="false">IF($A104="","",-SUMIFS(Transactions!$E:$E,Transactions!$O:$O,$A104,Transactions!$B:$B,"Sell shares"))</f>
        <v/>
      </c>
      <c r="G104" s="18" t="str">
        <f aca="false">IF($A104="","",D104-F104)</f>
        <v/>
      </c>
      <c r="H104" s="14" t="str">
        <f aca="false">IF($A104="","",SUMIFS(Transactions!$J:$J,Transactions!$O:$O,$A104,Transactions!$B:$B,"Sell call")+SUMIFS(Transactions!$J:$J,Transactions!$O:$O,$A104,Transactions!$B:$B,"Buy to close"))</f>
        <v/>
      </c>
      <c r="I104" s="26" t="str">
        <f aca="false">IF(OR($A104="",E104=""),"",E104-H104/D104)</f>
        <v/>
      </c>
      <c r="J104" s="26" t="str">
        <f aca="false">IF($A104="","",IFERROR(INDEX(Positions!$K:$K,MATCH(B104,Positions!$B:$B,0)),""))</f>
        <v/>
      </c>
      <c r="K104" s="23"/>
      <c r="L104" s="26" t="str">
        <f aca="false">IF($A104="","",IF(K104&lt;&gt;"",K104,J104))</f>
        <v/>
      </c>
      <c r="M104" s="14" t="str">
        <f aca="false">IF(OR($A104="",L104=""),"",L104*G104)</f>
        <v/>
      </c>
      <c r="N104" s="14" t="str">
        <f aca="false">IF(OR(M104="",E104=""),"",(L104-E104)*G104)</f>
        <v/>
      </c>
      <c r="O104" s="8" t="str">
        <f aca="false">IF($A104="","",IF(G104&lt;=0,"Sold",IF((-SUMIFS(Transactions!$E:$E,Transactions!$O:$O,$A104,Transactions!$B:$B,"Sell call")-SUMIFS(Transactions!$E:$E,Transactions!$O:$O,$A104,Transactions!$B:$B,"Buy to close")-SUMIFS(Transactions!$E:$E,Transactions!$O:$O,$A104,Transactions!$B:$B,"Expired")-SUMIFS(Transactions!$E:$E,Transactions!$O:$O,$A104,Transactions!$B:$B,"Assigned"))&gt;0,"Covered","Free")))</f>
        <v/>
      </c>
      <c r="P104" s="26" t="str">
        <f aca="false">IF(OR(I104="",G104&lt;=0),"",CEILING(MAX(I104,N(L104)),IF(E104&lt;50,0.5,IF(E104&lt;200,1,5))))</f>
        <v/>
      </c>
      <c r="Q104" s="8" t="str">
        <f aca="true">IF(OR(N104="",G104&lt;=0),"",IF(N104&gt;=0,"",IF(COUNTIFS($B:$B,B104,$C:$C,"&gt;="&amp;(TODAY()-30),$C:$C,"&lt;="&amp;TODAY(),$A:$A,"&lt;&gt;"&amp;$A104)&gt;0,"Loss sale now = wash sale","OK to harvest loss")))</f>
        <v/>
      </c>
      <c r="R104" s="14" t="str">
        <f aca="false">IF(OR($A104="",N(F104)&lt;=0),"",SUMIFS(Transactions!$J:$J,Transactions!$O:$O,$A104,Transactions!$B:$B,"Sell shares")-E104*F104)</f>
        <v/>
      </c>
      <c r="S104" s="10" t="str">
        <f aca="false">IF(OR($A104="",N(F104)&lt;=0),"",_xlfn.MAXIFS(Transactions!$A:$A,Transactions!$O:$O,$A104,Transactions!$B:$B,"Sell shares"))</f>
        <v/>
      </c>
      <c r="T104" s="14" t="str">
        <f aca="false">IF(OR($A104="",E104=""),"",E104*G104)</f>
        <v/>
      </c>
    </row>
    <row r="105" customFormat="false" ht="15" hidden="false" customHeight="false" outlineLevel="0" collapsed="false">
      <c r="A105" s="21"/>
      <c r="B105" s="8" t="str">
        <f aca="false">IF($A105="","",IFERROR(INDEX(Transactions!$C:$C,MATCH($A105,Transactions!$O:$O,0)),""))</f>
        <v/>
      </c>
      <c r="C105" s="10" t="str">
        <f aca="false">IF($A105="","",IF(COUNTIFS(Transactions!$O:$O,$A105,Transactions!$B:$B,"Buy shares")=0,"",_xlfn.MINIFS(Transactions!$A:$A,Transactions!$O:$O,$A105,Transactions!$B:$B,"Buy shares")))</f>
        <v/>
      </c>
      <c r="D105" s="18" t="str">
        <f aca="false">IF($A105="","",SUMIFS(Transactions!$E:$E,Transactions!$O:$O,$A105,Transactions!$B:$B,"Buy shares"))</f>
        <v/>
      </c>
      <c r="E105" s="26" t="str">
        <f aca="false">IF($A105="","",IF(D105=0,"",-SUMIFS(Transactions!$J:$J,Transactions!$O:$O,$A105,Transactions!$B:$B,"Buy shares")/D105))</f>
        <v/>
      </c>
      <c r="F105" s="18" t="str">
        <f aca="false">IF($A105="","",-SUMIFS(Transactions!$E:$E,Transactions!$O:$O,$A105,Transactions!$B:$B,"Sell shares"))</f>
        <v/>
      </c>
      <c r="G105" s="18" t="str">
        <f aca="false">IF($A105="","",D105-F105)</f>
        <v/>
      </c>
      <c r="H105" s="14" t="str">
        <f aca="false">IF($A105="","",SUMIFS(Transactions!$J:$J,Transactions!$O:$O,$A105,Transactions!$B:$B,"Sell call")+SUMIFS(Transactions!$J:$J,Transactions!$O:$O,$A105,Transactions!$B:$B,"Buy to close"))</f>
        <v/>
      </c>
      <c r="I105" s="26" t="str">
        <f aca="false">IF(OR($A105="",E105=""),"",E105-H105/D105)</f>
        <v/>
      </c>
      <c r="J105" s="26" t="str">
        <f aca="false">IF($A105="","",IFERROR(INDEX(Positions!$K:$K,MATCH(B105,Positions!$B:$B,0)),""))</f>
        <v/>
      </c>
      <c r="K105" s="23"/>
      <c r="L105" s="26" t="str">
        <f aca="false">IF($A105="","",IF(K105&lt;&gt;"",K105,J105))</f>
        <v/>
      </c>
      <c r="M105" s="14" t="str">
        <f aca="false">IF(OR($A105="",L105=""),"",L105*G105)</f>
        <v/>
      </c>
      <c r="N105" s="14" t="str">
        <f aca="false">IF(OR(M105="",E105=""),"",(L105-E105)*G105)</f>
        <v/>
      </c>
      <c r="O105" s="8" t="str">
        <f aca="false">IF($A105="","",IF(G105&lt;=0,"Sold",IF((-SUMIFS(Transactions!$E:$E,Transactions!$O:$O,$A105,Transactions!$B:$B,"Sell call")-SUMIFS(Transactions!$E:$E,Transactions!$O:$O,$A105,Transactions!$B:$B,"Buy to close")-SUMIFS(Transactions!$E:$E,Transactions!$O:$O,$A105,Transactions!$B:$B,"Expired")-SUMIFS(Transactions!$E:$E,Transactions!$O:$O,$A105,Transactions!$B:$B,"Assigned"))&gt;0,"Covered","Free")))</f>
        <v/>
      </c>
      <c r="P105" s="26" t="str">
        <f aca="false">IF(OR(I105="",G105&lt;=0),"",CEILING(MAX(I105,N(L105)),IF(E105&lt;50,0.5,IF(E105&lt;200,1,5))))</f>
        <v/>
      </c>
      <c r="Q105" s="8" t="str">
        <f aca="true">IF(OR(N105="",G105&lt;=0),"",IF(N105&gt;=0,"",IF(COUNTIFS($B:$B,B105,$C:$C,"&gt;="&amp;(TODAY()-30),$C:$C,"&lt;="&amp;TODAY(),$A:$A,"&lt;&gt;"&amp;$A105)&gt;0,"Loss sale now = wash sale","OK to harvest loss")))</f>
        <v/>
      </c>
      <c r="R105" s="14" t="str">
        <f aca="false">IF(OR($A105="",N(F105)&lt;=0),"",SUMIFS(Transactions!$J:$J,Transactions!$O:$O,$A105,Transactions!$B:$B,"Sell shares")-E105*F105)</f>
        <v/>
      </c>
      <c r="S105" s="10" t="str">
        <f aca="false">IF(OR($A105="",N(F105)&lt;=0),"",_xlfn.MAXIFS(Transactions!$A:$A,Transactions!$O:$O,$A105,Transactions!$B:$B,"Sell shares"))</f>
        <v/>
      </c>
      <c r="T105" s="14" t="str">
        <f aca="false">IF(OR($A105="",E105=""),"",E105*G105)</f>
        <v/>
      </c>
    </row>
    <row r="106" customFormat="false" ht="15" hidden="false" customHeight="false" outlineLevel="0" collapsed="false">
      <c r="A106" s="21"/>
      <c r="B106" s="8" t="str">
        <f aca="false">IF($A106="","",IFERROR(INDEX(Transactions!$C:$C,MATCH($A106,Transactions!$O:$O,0)),""))</f>
        <v/>
      </c>
      <c r="C106" s="10" t="str">
        <f aca="false">IF($A106="","",IF(COUNTIFS(Transactions!$O:$O,$A106,Transactions!$B:$B,"Buy shares")=0,"",_xlfn.MINIFS(Transactions!$A:$A,Transactions!$O:$O,$A106,Transactions!$B:$B,"Buy shares")))</f>
        <v/>
      </c>
      <c r="D106" s="18" t="str">
        <f aca="false">IF($A106="","",SUMIFS(Transactions!$E:$E,Transactions!$O:$O,$A106,Transactions!$B:$B,"Buy shares"))</f>
        <v/>
      </c>
      <c r="E106" s="26" t="str">
        <f aca="false">IF($A106="","",IF(D106=0,"",-SUMIFS(Transactions!$J:$J,Transactions!$O:$O,$A106,Transactions!$B:$B,"Buy shares")/D106))</f>
        <v/>
      </c>
      <c r="F106" s="18" t="str">
        <f aca="false">IF($A106="","",-SUMIFS(Transactions!$E:$E,Transactions!$O:$O,$A106,Transactions!$B:$B,"Sell shares"))</f>
        <v/>
      </c>
      <c r="G106" s="18" t="str">
        <f aca="false">IF($A106="","",D106-F106)</f>
        <v/>
      </c>
      <c r="H106" s="14" t="str">
        <f aca="false">IF($A106="","",SUMIFS(Transactions!$J:$J,Transactions!$O:$O,$A106,Transactions!$B:$B,"Sell call")+SUMIFS(Transactions!$J:$J,Transactions!$O:$O,$A106,Transactions!$B:$B,"Buy to close"))</f>
        <v/>
      </c>
      <c r="I106" s="26" t="str">
        <f aca="false">IF(OR($A106="",E106=""),"",E106-H106/D106)</f>
        <v/>
      </c>
      <c r="J106" s="26" t="str">
        <f aca="false">IF($A106="","",IFERROR(INDEX(Positions!$K:$K,MATCH(B106,Positions!$B:$B,0)),""))</f>
        <v/>
      </c>
      <c r="K106" s="23"/>
      <c r="L106" s="26" t="str">
        <f aca="false">IF($A106="","",IF(K106&lt;&gt;"",K106,J106))</f>
        <v/>
      </c>
      <c r="M106" s="14" t="str">
        <f aca="false">IF(OR($A106="",L106=""),"",L106*G106)</f>
        <v/>
      </c>
      <c r="N106" s="14" t="str">
        <f aca="false">IF(OR(M106="",E106=""),"",(L106-E106)*G106)</f>
        <v/>
      </c>
      <c r="O106" s="8" t="str">
        <f aca="false">IF($A106="","",IF(G106&lt;=0,"Sold",IF((-SUMIFS(Transactions!$E:$E,Transactions!$O:$O,$A106,Transactions!$B:$B,"Sell call")-SUMIFS(Transactions!$E:$E,Transactions!$O:$O,$A106,Transactions!$B:$B,"Buy to close")-SUMIFS(Transactions!$E:$E,Transactions!$O:$O,$A106,Transactions!$B:$B,"Expired")-SUMIFS(Transactions!$E:$E,Transactions!$O:$O,$A106,Transactions!$B:$B,"Assigned"))&gt;0,"Covered","Free")))</f>
        <v/>
      </c>
      <c r="P106" s="26" t="str">
        <f aca="false">IF(OR(I106="",G106&lt;=0),"",CEILING(MAX(I106,N(L106)),IF(E106&lt;50,0.5,IF(E106&lt;200,1,5))))</f>
        <v/>
      </c>
      <c r="Q106" s="8" t="str">
        <f aca="true">IF(OR(N106="",G106&lt;=0),"",IF(N106&gt;=0,"",IF(COUNTIFS($B:$B,B106,$C:$C,"&gt;="&amp;(TODAY()-30),$C:$C,"&lt;="&amp;TODAY(),$A:$A,"&lt;&gt;"&amp;$A106)&gt;0,"Loss sale now = wash sale","OK to harvest loss")))</f>
        <v/>
      </c>
      <c r="R106" s="14" t="str">
        <f aca="false">IF(OR($A106="",N(F106)&lt;=0),"",SUMIFS(Transactions!$J:$J,Transactions!$O:$O,$A106,Transactions!$B:$B,"Sell shares")-E106*F106)</f>
        <v/>
      </c>
      <c r="S106" s="10" t="str">
        <f aca="false">IF(OR($A106="",N(F106)&lt;=0),"",_xlfn.MAXIFS(Transactions!$A:$A,Transactions!$O:$O,$A106,Transactions!$B:$B,"Sell shares"))</f>
        <v/>
      </c>
      <c r="T106" s="14" t="str">
        <f aca="false">IF(OR($A106="",E106=""),"",E106*G106)</f>
        <v/>
      </c>
    </row>
    <row r="107" customFormat="false" ht="15" hidden="false" customHeight="false" outlineLevel="0" collapsed="false">
      <c r="A107" s="21"/>
      <c r="B107" s="8" t="str">
        <f aca="false">IF($A107="","",IFERROR(INDEX(Transactions!$C:$C,MATCH($A107,Transactions!$O:$O,0)),""))</f>
        <v/>
      </c>
      <c r="C107" s="10" t="str">
        <f aca="false">IF($A107="","",IF(COUNTIFS(Transactions!$O:$O,$A107,Transactions!$B:$B,"Buy shares")=0,"",_xlfn.MINIFS(Transactions!$A:$A,Transactions!$O:$O,$A107,Transactions!$B:$B,"Buy shares")))</f>
        <v/>
      </c>
      <c r="D107" s="18" t="str">
        <f aca="false">IF($A107="","",SUMIFS(Transactions!$E:$E,Transactions!$O:$O,$A107,Transactions!$B:$B,"Buy shares"))</f>
        <v/>
      </c>
      <c r="E107" s="26" t="str">
        <f aca="false">IF($A107="","",IF(D107=0,"",-SUMIFS(Transactions!$J:$J,Transactions!$O:$O,$A107,Transactions!$B:$B,"Buy shares")/D107))</f>
        <v/>
      </c>
      <c r="F107" s="18" t="str">
        <f aca="false">IF($A107="","",-SUMIFS(Transactions!$E:$E,Transactions!$O:$O,$A107,Transactions!$B:$B,"Sell shares"))</f>
        <v/>
      </c>
      <c r="G107" s="18" t="str">
        <f aca="false">IF($A107="","",D107-F107)</f>
        <v/>
      </c>
      <c r="H107" s="14" t="str">
        <f aca="false">IF($A107="","",SUMIFS(Transactions!$J:$J,Transactions!$O:$O,$A107,Transactions!$B:$B,"Sell call")+SUMIFS(Transactions!$J:$J,Transactions!$O:$O,$A107,Transactions!$B:$B,"Buy to close"))</f>
        <v/>
      </c>
      <c r="I107" s="26" t="str">
        <f aca="false">IF(OR($A107="",E107=""),"",E107-H107/D107)</f>
        <v/>
      </c>
      <c r="J107" s="26" t="str">
        <f aca="false">IF($A107="","",IFERROR(INDEX(Positions!$K:$K,MATCH(B107,Positions!$B:$B,0)),""))</f>
        <v/>
      </c>
      <c r="K107" s="23"/>
      <c r="L107" s="26" t="str">
        <f aca="false">IF($A107="","",IF(K107&lt;&gt;"",K107,J107))</f>
        <v/>
      </c>
      <c r="M107" s="14" t="str">
        <f aca="false">IF(OR($A107="",L107=""),"",L107*G107)</f>
        <v/>
      </c>
      <c r="N107" s="14" t="str">
        <f aca="false">IF(OR(M107="",E107=""),"",(L107-E107)*G107)</f>
        <v/>
      </c>
      <c r="O107" s="8" t="str">
        <f aca="false">IF($A107="","",IF(G107&lt;=0,"Sold",IF((-SUMIFS(Transactions!$E:$E,Transactions!$O:$O,$A107,Transactions!$B:$B,"Sell call")-SUMIFS(Transactions!$E:$E,Transactions!$O:$O,$A107,Transactions!$B:$B,"Buy to close")-SUMIFS(Transactions!$E:$E,Transactions!$O:$O,$A107,Transactions!$B:$B,"Expired")-SUMIFS(Transactions!$E:$E,Transactions!$O:$O,$A107,Transactions!$B:$B,"Assigned"))&gt;0,"Covered","Free")))</f>
        <v/>
      </c>
      <c r="P107" s="26" t="str">
        <f aca="false">IF(OR(I107="",G107&lt;=0),"",CEILING(MAX(I107,N(L107)),IF(E107&lt;50,0.5,IF(E107&lt;200,1,5))))</f>
        <v/>
      </c>
      <c r="Q107" s="8" t="str">
        <f aca="true">IF(OR(N107="",G107&lt;=0),"",IF(N107&gt;=0,"",IF(COUNTIFS($B:$B,B107,$C:$C,"&gt;="&amp;(TODAY()-30),$C:$C,"&lt;="&amp;TODAY(),$A:$A,"&lt;&gt;"&amp;$A107)&gt;0,"Loss sale now = wash sale","OK to harvest loss")))</f>
        <v/>
      </c>
      <c r="R107" s="14" t="str">
        <f aca="false">IF(OR($A107="",N(F107)&lt;=0),"",SUMIFS(Transactions!$J:$J,Transactions!$O:$O,$A107,Transactions!$B:$B,"Sell shares")-E107*F107)</f>
        <v/>
      </c>
      <c r="S107" s="10" t="str">
        <f aca="false">IF(OR($A107="",N(F107)&lt;=0),"",_xlfn.MAXIFS(Transactions!$A:$A,Transactions!$O:$O,$A107,Transactions!$B:$B,"Sell shares"))</f>
        <v/>
      </c>
      <c r="T107" s="14" t="str">
        <f aca="false">IF(OR($A107="",E107=""),"",E107*G107)</f>
        <v/>
      </c>
    </row>
    <row r="108" customFormat="false" ht="15" hidden="false" customHeight="false" outlineLevel="0" collapsed="false">
      <c r="A108" s="21"/>
      <c r="B108" s="8" t="str">
        <f aca="false">IF($A108="","",IFERROR(INDEX(Transactions!$C:$C,MATCH($A108,Transactions!$O:$O,0)),""))</f>
        <v/>
      </c>
      <c r="C108" s="10" t="str">
        <f aca="false">IF($A108="","",IF(COUNTIFS(Transactions!$O:$O,$A108,Transactions!$B:$B,"Buy shares")=0,"",_xlfn.MINIFS(Transactions!$A:$A,Transactions!$O:$O,$A108,Transactions!$B:$B,"Buy shares")))</f>
        <v/>
      </c>
      <c r="D108" s="18" t="str">
        <f aca="false">IF($A108="","",SUMIFS(Transactions!$E:$E,Transactions!$O:$O,$A108,Transactions!$B:$B,"Buy shares"))</f>
        <v/>
      </c>
      <c r="E108" s="26" t="str">
        <f aca="false">IF($A108="","",IF(D108=0,"",-SUMIFS(Transactions!$J:$J,Transactions!$O:$O,$A108,Transactions!$B:$B,"Buy shares")/D108))</f>
        <v/>
      </c>
      <c r="F108" s="18" t="str">
        <f aca="false">IF($A108="","",-SUMIFS(Transactions!$E:$E,Transactions!$O:$O,$A108,Transactions!$B:$B,"Sell shares"))</f>
        <v/>
      </c>
      <c r="G108" s="18" t="str">
        <f aca="false">IF($A108="","",D108-F108)</f>
        <v/>
      </c>
      <c r="H108" s="14" t="str">
        <f aca="false">IF($A108="","",SUMIFS(Transactions!$J:$J,Transactions!$O:$O,$A108,Transactions!$B:$B,"Sell call")+SUMIFS(Transactions!$J:$J,Transactions!$O:$O,$A108,Transactions!$B:$B,"Buy to close"))</f>
        <v/>
      </c>
      <c r="I108" s="26" t="str">
        <f aca="false">IF(OR($A108="",E108=""),"",E108-H108/D108)</f>
        <v/>
      </c>
      <c r="J108" s="26" t="str">
        <f aca="false">IF($A108="","",IFERROR(INDEX(Positions!$K:$K,MATCH(B108,Positions!$B:$B,0)),""))</f>
        <v/>
      </c>
      <c r="K108" s="23"/>
      <c r="L108" s="26" t="str">
        <f aca="false">IF($A108="","",IF(K108&lt;&gt;"",K108,J108))</f>
        <v/>
      </c>
      <c r="M108" s="14" t="str">
        <f aca="false">IF(OR($A108="",L108=""),"",L108*G108)</f>
        <v/>
      </c>
      <c r="N108" s="14" t="str">
        <f aca="false">IF(OR(M108="",E108=""),"",(L108-E108)*G108)</f>
        <v/>
      </c>
      <c r="O108" s="8" t="str">
        <f aca="false">IF($A108="","",IF(G108&lt;=0,"Sold",IF((-SUMIFS(Transactions!$E:$E,Transactions!$O:$O,$A108,Transactions!$B:$B,"Sell call")-SUMIFS(Transactions!$E:$E,Transactions!$O:$O,$A108,Transactions!$B:$B,"Buy to close")-SUMIFS(Transactions!$E:$E,Transactions!$O:$O,$A108,Transactions!$B:$B,"Expired")-SUMIFS(Transactions!$E:$E,Transactions!$O:$O,$A108,Transactions!$B:$B,"Assigned"))&gt;0,"Covered","Free")))</f>
        <v/>
      </c>
      <c r="P108" s="26" t="str">
        <f aca="false">IF(OR(I108="",G108&lt;=0),"",CEILING(MAX(I108,N(L108)),IF(E108&lt;50,0.5,IF(E108&lt;200,1,5))))</f>
        <v/>
      </c>
      <c r="Q108" s="8" t="str">
        <f aca="true">IF(OR(N108="",G108&lt;=0),"",IF(N108&gt;=0,"",IF(COUNTIFS($B:$B,B108,$C:$C,"&gt;="&amp;(TODAY()-30),$C:$C,"&lt;="&amp;TODAY(),$A:$A,"&lt;&gt;"&amp;$A108)&gt;0,"Loss sale now = wash sale","OK to harvest loss")))</f>
        <v/>
      </c>
      <c r="R108" s="14" t="str">
        <f aca="false">IF(OR($A108="",N(F108)&lt;=0),"",SUMIFS(Transactions!$J:$J,Transactions!$O:$O,$A108,Transactions!$B:$B,"Sell shares")-E108*F108)</f>
        <v/>
      </c>
      <c r="S108" s="10" t="str">
        <f aca="false">IF(OR($A108="",N(F108)&lt;=0),"",_xlfn.MAXIFS(Transactions!$A:$A,Transactions!$O:$O,$A108,Transactions!$B:$B,"Sell shares"))</f>
        <v/>
      </c>
      <c r="T108" s="14" t="str">
        <f aca="false">IF(OR($A108="",E108=""),"",E108*G108)</f>
        <v/>
      </c>
    </row>
    <row r="109" customFormat="false" ht="15" hidden="false" customHeight="false" outlineLevel="0" collapsed="false">
      <c r="A109" s="21"/>
      <c r="B109" s="8" t="str">
        <f aca="false">IF($A109="","",IFERROR(INDEX(Transactions!$C:$C,MATCH($A109,Transactions!$O:$O,0)),""))</f>
        <v/>
      </c>
      <c r="C109" s="10" t="str">
        <f aca="false">IF($A109="","",IF(COUNTIFS(Transactions!$O:$O,$A109,Transactions!$B:$B,"Buy shares")=0,"",_xlfn.MINIFS(Transactions!$A:$A,Transactions!$O:$O,$A109,Transactions!$B:$B,"Buy shares")))</f>
        <v/>
      </c>
      <c r="D109" s="18" t="str">
        <f aca="false">IF($A109="","",SUMIFS(Transactions!$E:$E,Transactions!$O:$O,$A109,Transactions!$B:$B,"Buy shares"))</f>
        <v/>
      </c>
      <c r="E109" s="26" t="str">
        <f aca="false">IF($A109="","",IF(D109=0,"",-SUMIFS(Transactions!$J:$J,Transactions!$O:$O,$A109,Transactions!$B:$B,"Buy shares")/D109))</f>
        <v/>
      </c>
      <c r="F109" s="18" t="str">
        <f aca="false">IF($A109="","",-SUMIFS(Transactions!$E:$E,Transactions!$O:$O,$A109,Transactions!$B:$B,"Sell shares"))</f>
        <v/>
      </c>
      <c r="G109" s="18" t="str">
        <f aca="false">IF($A109="","",D109-F109)</f>
        <v/>
      </c>
      <c r="H109" s="14" t="str">
        <f aca="false">IF($A109="","",SUMIFS(Transactions!$J:$J,Transactions!$O:$O,$A109,Transactions!$B:$B,"Sell call")+SUMIFS(Transactions!$J:$J,Transactions!$O:$O,$A109,Transactions!$B:$B,"Buy to close"))</f>
        <v/>
      </c>
      <c r="I109" s="26" t="str">
        <f aca="false">IF(OR($A109="",E109=""),"",E109-H109/D109)</f>
        <v/>
      </c>
      <c r="J109" s="26" t="str">
        <f aca="false">IF($A109="","",IFERROR(INDEX(Positions!$K:$K,MATCH(B109,Positions!$B:$B,0)),""))</f>
        <v/>
      </c>
      <c r="K109" s="23"/>
      <c r="L109" s="26" t="str">
        <f aca="false">IF($A109="","",IF(K109&lt;&gt;"",K109,J109))</f>
        <v/>
      </c>
      <c r="M109" s="14" t="str">
        <f aca="false">IF(OR($A109="",L109=""),"",L109*G109)</f>
        <v/>
      </c>
      <c r="N109" s="14" t="str">
        <f aca="false">IF(OR(M109="",E109=""),"",(L109-E109)*G109)</f>
        <v/>
      </c>
      <c r="O109" s="8" t="str">
        <f aca="false">IF($A109="","",IF(G109&lt;=0,"Sold",IF((-SUMIFS(Transactions!$E:$E,Transactions!$O:$O,$A109,Transactions!$B:$B,"Sell call")-SUMIFS(Transactions!$E:$E,Transactions!$O:$O,$A109,Transactions!$B:$B,"Buy to close")-SUMIFS(Transactions!$E:$E,Transactions!$O:$O,$A109,Transactions!$B:$B,"Expired")-SUMIFS(Transactions!$E:$E,Transactions!$O:$O,$A109,Transactions!$B:$B,"Assigned"))&gt;0,"Covered","Free")))</f>
        <v/>
      </c>
      <c r="P109" s="26" t="str">
        <f aca="false">IF(OR(I109="",G109&lt;=0),"",CEILING(MAX(I109,N(L109)),IF(E109&lt;50,0.5,IF(E109&lt;200,1,5))))</f>
        <v/>
      </c>
      <c r="Q109" s="8" t="str">
        <f aca="true">IF(OR(N109="",G109&lt;=0),"",IF(N109&gt;=0,"",IF(COUNTIFS($B:$B,B109,$C:$C,"&gt;="&amp;(TODAY()-30),$C:$C,"&lt;="&amp;TODAY(),$A:$A,"&lt;&gt;"&amp;$A109)&gt;0,"Loss sale now = wash sale","OK to harvest loss")))</f>
        <v/>
      </c>
      <c r="R109" s="14" t="str">
        <f aca="false">IF(OR($A109="",N(F109)&lt;=0),"",SUMIFS(Transactions!$J:$J,Transactions!$O:$O,$A109,Transactions!$B:$B,"Sell shares")-E109*F109)</f>
        <v/>
      </c>
      <c r="S109" s="10" t="str">
        <f aca="false">IF(OR($A109="",N(F109)&lt;=0),"",_xlfn.MAXIFS(Transactions!$A:$A,Transactions!$O:$O,$A109,Transactions!$B:$B,"Sell shares"))</f>
        <v/>
      </c>
      <c r="T109" s="14" t="str">
        <f aca="false">IF(OR($A109="",E109=""),"",E109*G109)</f>
        <v/>
      </c>
    </row>
    <row r="110" customFormat="false" ht="15" hidden="false" customHeight="false" outlineLevel="0" collapsed="false">
      <c r="A110" s="21"/>
      <c r="B110" s="8" t="str">
        <f aca="false">IF($A110="","",IFERROR(INDEX(Transactions!$C:$C,MATCH($A110,Transactions!$O:$O,0)),""))</f>
        <v/>
      </c>
      <c r="C110" s="10" t="str">
        <f aca="false">IF($A110="","",IF(COUNTIFS(Transactions!$O:$O,$A110,Transactions!$B:$B,"Buy shares")=0,"",_xlfn.MINIFS(Transactions!$A:$A,Transactions!$O:$O,$A110,Transactions!$B:$B,"Buy shares")))</f>
        <v/>
      </c>
      <c r="D110" s="18" t="str">
        <f aca="false">IF($A110="","",SUMIFS(Transactions!$E:$E,Transactions!$O:$O,$A110,Transactions!$B:$B,"Buy shares"))</f>
        <v/>
      </c>
      <c r="E110" s="26" t="str">
        <f aca="false">IF($A110="","",IF(D110=0,"",-SUMIFS(Transactions!$J:$J,Transactions!$O:$O,$A110,Transactions!$B:$B,"Buy shares")/D110))</f>
        <v/>
      </c>
      <c r="F110" s="18" t="str">
        <f aca="false">IF($A110="","",-SUMIFS(Transactions!$E:$E,Transactions!$O:$O,$A110,Transactions!$B:$B,"Sell shares"))</f>
        <v/>
      </c>
      <c r="G110" s="18" t="str">
        <f aca="false">IF($A110="","",D110-F110)</f>
        <v/>
      </c>
      <c r="H110" s="14" t="str">
        <f aca="false">IF($A110="","",SUMIFS(Transactions!$J:$J,Transactions!$O:$O,$A110,Transactions!$B:$B,"Sell call")+SUMIFS(Transactions!$J:$J,Transactions!$O:$O,$A110,Transactions!$B:$B,"Buy to close"))</f>
        <v/>
      </c>
      <c r="I110" s="26" t="str">
        <f aca="false">IF(OR($A110="",E110=""),"",E110-H110/D110)</f>
        <v/>
      </c>
      <c r="J110" s="26" t="str">
        <f aca="false">IF($A110="","",IFERROR(INDEX(Positions!$K:$K,MATCH(B110,Positions!$B:$B,0)),""))</f>
        <v/>
      </c>
      <c r="K110" s="23"/>
      <c r="L110" s="26" t="str">
        <f aca="false">IF($A110="","",IF(K110&lt;&gt;"",K110,J110))</f>
        <v/>
      </c>
      <c r="M110" s="14" t="str">
        <f aca="false">IF(OR($A110="",L110=""),"",L110*G110)</f>
        <v/>
      </c>
      <c r="N110" s="14" t="str">
        <f aca="false">IF(OR(M110="",E110=""),"",(L110-E110)*G110)</f>
        <v/>
      </c>
      <c r="O110" s="8" t="str">
        <f aca="false">IF($A110="","",IF(G110&lt;=0,"Sold",IF((-SUMIFS(Transactions!$E:$E,Transactions!$O:$O,$A110,Transactions!$B:$B,"Sell call")-SUMIFS(Transactions!$E:$E,Transactions!$O:$O,$A110,Transactions!$B:$B,"Buy to close")-SUMIFS(Transactions!$E:$E,Transactions!$O:$O,$A110,Transactions!$B:$B,"Expired")-SUMIFS(Transactions!$E:$E,Transactions!$O:$O,$A110,Transactions!$B:$B,"Assigned"))&gt;0,"Covered","Free")))</f>
        <v/>
      </c>
      <c r="P110" s="26" t="str">
        <f aca="false">IF(OR(I110="",G110&lt;=0),"",CEILING(MAX(I110,N(L110)),IF(E110&lt;50,0.5,IF(E110&lt;200,1,5))))</f>
        <v/>
      </c>
      <c r="Q110" s="8" t="str">
        <f aca="true">IF(OR(N110="",G110&lt;=0),"",IF(N110&gt;=0,"",IF(COUNTIFS($B:$B,B110,$C:$C,"&gt;="&amp;(TODAY()-30),$C:$C,"&lt;="&amp;TODAY(),$A:$A,"&lt;&gt;"&amp;$A110)&gt;0,"Loss sale now = wash sale","OK to harvest loss")))</f>
        <v/>
      </c>
      <c r="R110" s="14" t="str">
        <f aca="false">IF(OR($A110="",N(F110)&lt;=0),"",SUMIFS(Transactions!$J:$J,Transactions!$O:$O,$A110,Transactions!$B:$B,"Sell shares")-E110*F110)</f>
        <v/>
      </c>
      <c r="S110" s="10" t="str">
        <f aca="false">IF(OR($A110="",N(F110)&lt;=0),"",_xlfn.MAXIFS(Transactions!$A:$A,Transactions!$O:$O,$A110,Transactions!$B:$B,"Sell shares"))</f>
        <v/>
      </c>
      <c r="T110" s="14" t="str">
        <f aca="false">IF(OR($A110="",E110=""),"",E110*G110)</f>
        <v/>
      </c>
    </row>
    <row r="111" customFormat="false" ht="15" hidden="false" customHeight="false" outlineLevel="0" collapsed="false">
      <c r="A111" s="21"/>
      <c r="B111" s="8" t="str">
        <f aca="false">IF($A111="","",IFERROR(INDEX(Transactions!$C:$C,MATCH($A111,Transactions!$O:$O,0)),""))</f>
        <v/>
      </c>
      <c r="C111" s="10" t="str">
        <f aca="false">IF($A111="","",IF(COUNTIFS(Transactions!$O:$O,$A111,Transactions!$B:$B,"Buy shares")=0,"",_xlfn.MINIFS(Transactions!$A:$A,Transactions!$O:$O,$A111,Transactions!$B:$B,"Buy shares")))</f>
        <v/>
      </c>
      <c r="D111" s="18" t="str">
        <f aca="false">IF($A111="","",SUMIFS(Transactions!$E:$E,Transactions!$O:$O,$A111,Transactions!$B:$B,"Buy shares"))</f>
        <v/>
      </c>
      <c r="E111" s="26" t="str">
        <f aca="false">IF($A111="","",IF(D111=0,"",-SUMIFS(Transactions!$J:$J,Transactions!$O:$O,$A111,Transactions!$B:$B,"Buy shares")/D111))</f>
        <v/>
      </c>
      <c r="F111" s="18" t="str">
        <f aca="false">IF($A111="","",-SUMIFS(Transactions!$E:$E,Transactions!$O:$O,$A111,Transactions!$B:$B,"Sell shares"))</f>
        <v/>
      </c>
      <c r="G111" s="18" t="str">
        <f aca="false">IF($A111="","",D111-F111)</f>
        <v/>
      </c>
      <c r="H111" s="14" t="str">
        <f aca="false">IF($A111="","",SUMIFS(Transactions!$J:$J,Transactions!$O:$O,$A111,Transactions!$B:$B,"Sell call")+SUMIFS(Transactions!$J:$J,Transactions!$O:$O,$A111,Transactions!$B:$B,"Buy to close"))</f>
        <v/>
      </c>
      <c r="I111" s="26" t="str">
        <f aca="false">IF(OR($A111="",E111=""),"",E111-H111/D111)</f>
        <v/>
      </c>
      <c r="J111" s="26" t="str">
        <f aca="false">IF($A111="","",IFERROR(INDEX(Positions!$K:$K,MATCH(B111,Positions!$B:$B,0)),""))</f>
        <v/>
      </c>
      <c r="K111" s="23"/>
      <c r="L111" s="26" t="str">
        <f aca="false">IF($A111="","",IF(K111&lt;&gt;"",K111,J111))</f>
        <v/>
      </c>
      <c r="M111" s="14" t="str">
        <f aca="false">IF(OR($A111="",L111=""),"",L111*G111)</f>
        <v/>
      </c>
      <c r="N111" s="14" t="str">
        <f aca="false">IF(OR(M111="",E111=""),"",(L111-E111)*G111)</f>
        <v/>
      </c>
      <c r="O111" s="8" t="str">
        <f aca="false">IF($A111="","",IF(G111&lt;=0,"Sold",IF((-SUMIFS(Transactions!$E:$E,Transactions!$O:$O,$A111,Transactions!$B:$B,"Sell call")-SUMIFS(Transactions!$E:$E,Transactions!$O:$O,$A111,Transactions!$B:$B,"Buy to close")-SUMIFS(Transactions!$E:$E,Transactions!$O:$O,$A111,Transactions!$B:$B,"Expired")-SUMIFS(Transactions!$E:$E,Transactions!$O:$O,$A111,Transactions!$B:$B,"Assigned"))&gt;0,"Covered","Free")))</f>
        <v/>
      </c>
      <c r="P111" s="26" t="str">
        <f aca="false">IF(OR(I111="",G111&lt;=0),"",CEILING(MAX(I111,N(L111)),IF(E111&lt;50,0.5,IF(E111&lt;200,1,5))))</f>
        <v/>
      </c>
      <c r="Q111" s="8" t="str">
        <f aca="true">IF(OR(N111="",G111&lt;=0),"",IF(N111&gt;=0,"",IF(COUNTIFS($B:$B,B111,$C:$C,"&gt;="&amp;(TODAY()-30),$C:$C,"&lt;="&amp;TODAY(),$A:$A,"&lt;&gt;"&amp;$A111)&gt;0,"Loss sale now = wash sale","OK to harvest loss")))</f>
        <v/>
      </c>
      <c r="R111" s="14" t="str">
        <f aca="false">IF(OR($A111="",N(F111)&lt;=0),"",SUMIFS(Transactions!$J:$J,Transactions!$O:$O,$A111,Transactions!$B:$B,"Sell shares")-E111*F111)</f>
        <v/>
      </c>
      <c r="S111" s="10" t="str">
        <f aca="false">IF(OR($A111="",N(F111)&lt;=0),"",_xlfn.MAXIFS(Transactions!$A:$A,Transactions!$O:$O,$A111,Transactions!$B:$B,"Sell shares"))</f>
        <v/>
      </c>
      <c r="T111" s="14" t="str">
        <f aca="false">IF(OR($A111="",E111=""),"",E111*G111)</f>
        <v/>
      </c>
    </row>
    <row r="112" customFormat="false" ht="15" hidden="false" customHeight="false" outlineLevel="0" collapsed="false">
      <c r="A112" s="21"/>
      <c r="B112" s="8" t="str">
        <f aca="false">IF($A112="","",IFERROR(INDEX(Transactions!$C:$C,MATCH($A112,Transactions!$O:$O,0)),""))</f>
        <v/>
      </c>
      <c r="C112" s="10" t="str">
        <f aca="false">IF($A112="","",IF(COUNTIFS(Transactions!$O:$O,$A112,Transactions!$B:$B,"Buy shares")=0,"",_xlfn.MINIFS(Transactions!$A:$A,Transactions!$O:$O,$A112,Transactions!$B:$B,"Buy shares")))</f>
        <v/>
      </c>
      <c r="D112" s="18" t="str">
        <f aca="false">IF($A112="","",SUMIFS(Transactions!$E:$E,Transactions!$O:$O,$A112,Transactions!$B:$B,"Buy shares"))</f>
        <v/>
      </c>
      <c r="E112" s="26" t="str">
        <f aca="false">IF($A112="","",IF(D112=0,"",-SUMIFS(Transactions!$J:$J,Transactions!$O:$O,$A112,Transactions!$B:$B,"Buy shares")/D112))</f>
        <v/>
      </c>
      <c r="F112" s="18" t="str">
        <f aca="false">IF($A112="","",-SUMIFS(Transactions!$E:$E,Transactions!$O:$O,$A112,Transactions!$B:$B,"Sell shares"))</f>
        <v/>
      </c>
      <c r="G112" s="18" t="str">
        <f aca="false">IF($A112="","",D112-F112)</f>
        <v/>
      </c>
      <c r="H112" s="14" t="str">
        <f aca="false">IF($A112="","",SUMIFS(Transactions!$J:$J,Transactions!$O:$O,$A112,Transactions!$B:$B,"Sell call")+SUMIFS(Transactions!$J:$J,Transactions!$O:$O,$A112,Transactions!$B:$B,"Buy to close"))</f>
        <v/>
      </c>
      <c r="I112" s="26" t="str">
        <f aca="false">IF(OR($A112="",E112=""),"",E112-H112/D112)</f>
        <v/>
      </c>
      <c r="J112" s="26" t="str">
        <f aca="false">IF($A112="","",IFERROR(INDEX(Positions!$K:$K,MATCH(B112,Positions!$B:$B,0)),""))</f>
        <v/>
      </c>
      <c r="K112" s="23"/>
      <c r="L112" s="26" t="str">
        <f aca="false">IF($A112="","",IF(K112&lt;&gt;"",K112,J112))</f>
        <v/>
      </c>
      <c r="M112" s="14" t="str">
        <f aca="false">IF(OR($A112="",L112=""),"",L112*G112)</f>
        <v/>
      </c>
      <c r="N112" s="14" t="str">
        <f aca="false">IF(OR(M112="",E112=""),"",(L112-E112)*G112)</f>
        <v/>
      </c>
      <c r="O112" s="8" t="str">
        <f aca="false">IF($A112="","",IF(G112&lt;=0,"Sold",IF((-SUMIFS(Transactions!$E:$E,Transactions!$O:$O,$A112,Transactions!$B:$B,"Sell call")-SUMIFS(Transactions!$E:$E,Transactions!$O:$O,$A112,Transactions!$B:$B,"Buy to close")-SUMIFS(Transactions!$E:$E,Transactions!$O:$O,$A112,Transactions!$B:$B,"Expired")-SUMIFS(Transactions!$E:$E,Transactions!$O:$O,$A112,Transactions!$B:$B,"Assigned"))&gt;0,"Covered","Free")))</f>
        <v/>
      </c>
      <c r="P112" s="26" t="str">
        <f aca="false">IF(OR(I112="",G112&lt;=0),"",CEILING(MAX(I112,N(L112)),IF(E112&lt;50,0.5,IF(E112&lt;200,1,5))))</f>
        <v/>
      </c>
      <c r="Q112" s="8" t="str">
        <f aca="true">IF(OR(N112="",G112&lt;=0),"",IF(N112&gt;=0,"",IF(COUNTIFS($B:$B,B112,$C:$C,"&gt;="&amp;(TODAY()-30),$C:$C,"&lt;="&amp;TODAY(),$A:$A,"&lt;&gt;"&amp;$A112)&gt;0,"Loss sale now = wash sale","OK to harvest loss")))</f>
        <v/>
      </c>
      <c r="R112" s="14" t="str">
        <f aca="false">IF(OR($A112="",N(F112)&lt;=0),"",SUMIFS(Transactions!$J:$J,Transactions!$O:$O,$A112,Transactions!$B:$B,"Sell shares")-E112*F112)</f>
        <v/>
      </c>
      <c r="S112" s="10" t="str">
        <f aca="false">IF(OR($A112="",N(F112)&lt;=0),"",_xlfn.MAXIFS(Transactions!$A:$A,Transactions!$O:$O,$A112,Transactions!$B:$B,"Sell shares"))</f>
        <v/>
      </c>
      <c r="T112" s="14" t="str">
        <f aca="false">IF(OR($A112="",E112=""),"",E112*G112)</f>
        <v/>
      </c>
    </row>
    <row r="113" customFormat="false" ht="15" hidden="false" customHeight="false" outlineLevel="0" collapsed="false">
      <c r="A113" s="21"/>
      <c r="B113" s="8" t="str">
        <f aca="false">IF($A113="","",IFERROR(INDEX(Transactions!$C:$C,MATCH($A113,Transactions!$O:$O,0)),""))</f>
        <v/>
      </c>
      <c r="C113" s="10" t="str">
        <f aca="false">IF($A113="","",IF(COUNTIFS(Transactions!$O:$O,$A113,Transactions!$B:$B,"Buy shares")=0,"",_xlfn.MINIFS(Transactions!$A:$A,Transactions!$O:$O,$A113,Transactions!$B:$B,"Buy shares")))</f>
        <v/>
      </c>
      <c r="D113" s="18" t="str">
        <f aca="false">IF($A113="","",SUMIFS(Transactions!$E:$E,Transactions!$O:$O,$A113,Transactions!$B:$B,"Buy shares"))</f>
        <v/>
      </c>
      <c r="E113" s="26" t="str">
        <f aca="false">IF($A113="","",IF(D113=0,"",-SUMIFS(Transactions!$J:$J,Transactions!$O:$O,$A113,Transactions!$B:$B,"Buy shares")/D113))</f>
        <v/>
      </c>
      <c r="F113" s="18" t="str">
        <f aca="false">IF($A113="","",-SUMIFS(Transactions!$E:$E,Transactions!$O:$O,$A113,Transactions!$B:$B,"Sell shares"))</f>
        <v/>
      </c>
      <c r="G113" s="18" t="str">
        <f aca="false">IF($A113="","",D113-F113)</f>
        <v/>
      </c>
      <c r="H113" s="14" t="str">
        <f aca="false">IF($A113="","",SUMIFS(Transactions!$J:$J,Transactions!$O:$O,$A113,Transactions!$B:$B,"Sell call")+SUMIFS(Transactions!$J:$J,Transactions!$O:$O,$A113,Transactions!$B:$B,"Buy to close"))</f>
        <v/>
      </c>
      <c r="I113" s="26" t="str">
        <f aca="false">IF(OR($A113="",E113=""),"",E113-H113/D113)</f>
        <v/>
      </c>
      <c r="J113" s="26" t="str">
        <f aca="false">IF($A113="","",IFERROR(INDEX(Positions!$K:$K,MATCH(B113,Positions!$B:$B,0)),""))</f>
        <v/>
      </c>
      <c r="K113" s="23"/>
      <c r="L113" s="26" t="str">
        <f aca="false">IF($A113="","",IF(K113&lt;&gt;"",K113,J113))</f>
        <v/>
      </c>
      <c r="M113" s="14" t="str">
        <f aca="false">IF(OR($A113="",L113=""),"",L113*G113)</f>
        <v/>
      </c>
      <c r="N113" s="14" t="str">
        <f aca="false">IF(OR(M113="",E113=""),"",(L113-E113)*G113)</f>
        <v/>
      </c>
      <c r="O113" s="8" t="str">
        <f aca="false">IF($A113="","",IF(G113&lt;=0,"Sold",IF((-SUMIFS(Transactions!$E:$E,Transactions!$O:$O,$A113,Transactions!$B:$B,"Sell call")-SUMIFS(Transactions!$E:$E,Transactions!$O:$O,$A113,Transactions!$B:$B,"Buy to close")-SUMIFS(Transactions!$E:$E,Transactions!$O:$O,$A113,Transactions!$B:$B,"Expired")-SUMIFS(Transactions!$E:$E,Transactions!$O:$O,$A113,Transactions!$B:$B,"Assigned"))&gt;0,"Covered","Free")))</f>
        <v/>
      </c>
      <c r="P113" s="26" t="str">
        <f aca="false">IF(OR(I113="",G113&lt;=0),"",CEILING(MAX(I113,N(L113)),IF(E113&lt;50,0.5,IF(E113&lt;200,1,5))))</f>
        <v/>
      </c>
      <c r="Q113" s="8" t="str">
        <f aca="true">IF(OR(N113="",G113&lt;=0),"",IF(N113&gt;=0,"",IF(COUNTIFS($B:$B,B113,$C:$C,"&gt;="&amp;(TODAY()-30),$C:$C,"&lt;="&amp;TODAY(),$A:$A,"&lt;&gt;"&amp;$A113)&gt;0,"Loss sale now = wash sale","OK to harvest loss")))</f>
        <v/>
      </c>
      <c r="R113" s="14" t="str">
        <f aca="false">IF(OR($A113="",N(F113)&lt;=0),"",SUMIFS(Transactions!$J:$J,Transactions!$O:$O,$A113,Transactions!$B:$B,"Sell shares")-E113*F113)</f>
        <v/>
      </c>
      <c r="S113" s="10" t="str">
        <f aca="false">IF(OR($A113="",N(F113)&lt;=0),"",_xlfn.MAXIFS(Transactions!$A:$A,Transactions!$O:$O,$A113,Transactions!$B:$B,"Sell shares"))</f>
        <v/>
      </c>
      <c r="T113" s="14" t="str">
        <f aca="false">IF(OR($A113="",E113=""),"",E113*G113)</f>
        <v/>
      </c>
    </row>
    <row r="114" customFormat="false" ht="15" hidden="false" customHeight="false" outlineLevel="0" collapsed="false">
      <c r="A114" s="21"/>
      <c r="B114" s="8" t="str">
        <f aca="false">IF($A114="","",IFERROR(INDEX(Transactions!$C:$C,MATCH($A114,Transactions!$O:$O,0)),""))</f>
        <v/>
      </c>
      <c r="C114" s="10" t="str">
        <f aca="false">IF($A114="","",IF(COUNTIFS(Transactions!$O:$O,$A114,Transactions!$B:$B,"Buy shares")=0,"",_xlfn.MINIFS(Transactions!$A:$A,Transactions!$O:$O,$A114,Transactions!$B:$B,"Buy shares")))</f>
        <v/>
      </c>
      <c r="D114" s="18" t="str">
        <f aca="false">IF($A114="","",SUMIFS(Transactions!$E:$E,Transactions!$O:$O,$A114,Transactions!$B:$B,"Buy shares"))</f>
        <v/>
      </c>
      <c r="E114" s="26" t="str">
        <f aca="false">IF($A114="","",IF(D114=0,"",-SUMIFS(Transactions!$J:$J,Transactions!$O:$O,$A114,Transactions!$B:$B,"Buy shares")/D114))</f>
        <v/>
      </c>
      <c r="F114" s="18" t="str">
        <f aca="false">IF($A114="","",-SUMIFS(Transactions!$E:$E,Transactions!$O:$O,$A114,Transactions!$B:$B,"Sell shares"))</f>
        <v/>
      </c>
      <c r="G114" s="18" t="str">
        <f aca="false">IF($A114="","",D114-F114)</f>
        <v/>
      </c>
      <c r="H114" s="14" t="str">
        <f aca="false">IF($A114="","",SUMIFS(Transactions!$J:$J,Transactions!$O:$O,$A114,Transactions!$B:$B,"Sell call")+SUMIFS(Transactions!$J:$J,Transactions!$O:$O,$A114,Transactions!$B:$B,"Buy to close"))</f>
        <v/>
      </c>
      <c r="I114" s="26" t="str">
        <f aca="false">IF(OR($A114="",E114=""),"",E114-H114/D114)</f>
        <v/>
      </c>
      <c r="J114" s="26" t="str">
        <f aca="false">IF($A114="","",IFERROR(INDEX(Positions!$K:$K,MATCH(B114,Positions!$B:$B,0)),""))</f>
        <v/>
      </c>
      <c r="K114" s="23"/>
      <c r="L114" s="26" t="str">
        <f aca="false">IF($A114="","",IF(K114&lt;&gt;"",K114,J114))</f>
        <v/>
      </c>
      <c r="M114" s="14" t="str">
        <f aca="false">IF(OR($A114="",L114=""),"",L114*G114)</f>
        <v/>
      </c>
      <c r="N114" s="14" t="str">
        <f aca="false">IF(OR(M114="",E114=""),"",(L114-E114)*G114)</f>
        <v/>
      </c>
      <c r="O114" s="8" t="str">
        <f aca="false">IF($A114="","",IF(G114&lt;=0,"Sold",IF((-SUMIFS(Transactions!$E:$E,Transactions!$O:$O,$A114,Transactions!$B:$B,"Sell call")-SUMIFS(Transactions!$E:$E,Transactions!$O:$O,$A114,Transactions!$B:$B,"Buy to close")-SUMIFS(Transactions!$E:$E,Transactions!$O:$O,$A114,Transactions!$B:$B,"Expired")-SUMIFS(Transactions!$E:$E,Transactions!$O:$O,$A114,Transactions!$B:$B,"Assigned"))&gt;0,"Covered","Free")))</f>
        <v/>
      </c>
      <c r="P114" s="26" t="str">
        <f aca="false">IF(OR(I114="",G114&lt;=0),"",CEILING(MAX(I114,N(L114)),IF(E114&lt;50,0.5,IF(E114&lt;200,1,5))))</f>
        <v/>
      </c>
      <c r="Q114" s="8" t="str">
        <f aca="true">IF(OR(N114="",G114&lt;=0),"",IF(N114&gt;=0,"",IF(COUNTIFS($B:$B,B114,$C:$C,"&gt;="&amp;(TODAY()-30),$C:$C,"&lt;="&amp;TODAY(),$A:$A,"&lt;&gt;"&amp;$A114)&gt;0,"Loss sale now = wash sale","OK to harvest loss")))</f>
        <v/>
      </c>
      <c r="R114" s="14" t="str">
        <f aca="false">IF(OR($A114="",N(F114)&lt;=0),"",SUMIFS(Transactions!$J:$J,Transactions!$O:$O,$A114,Transactions!$B:$B,"Sell shares")-E114*F114)</f>
        <v/>
      </c>
      <c r="S114" s="10" t="str">
        <f aca="false">IF(OR($A114="",N(F114)&lt;=0),"",_xlfn.MAXIFS(Transactions!$A:$A,Transactions!$O:$O,$A114,Transactions!$B:$B,"Sell shares"))</f>
        <v/>
      </c>
      <c r="T114" s="14" t="str">
        <f aca="false">IF(OR($A114="",E114=""),"",E114*G114)</f>
        <v/>
      </c>
    </row>
    <row r="115" customFormat="false" ht="15" hidden="false" customHeight="false" outlineLevel="0" collapsed="false">
      <c r="A115" s="21"/>
      <c r="B115" s="8" t="str">
        <f aca="false">IF($A115="","",IFERROR(INDEX(Transactions!$C:$C,MATCH($A115,Transactions!$O:$O,0)),""))</f>
        <v/>
      </c>
      <c r="C115" s="10" t="str">
        <f aca="false">IF($A115="","",IF(COUNTIFS(Transactions!$O:$O,$A115,Transactions!$B:$B,"Buy shares")=0,"",_xlfn.MINIFS(Transactions!$A:$A,Transactions!$O:$O,$A115,Transactions!$B:$B,"Buy shares")))</f>
        <v/>
      </c>
      <c r="D115" s="18" t="str">
        <f aca="false">IF($A115="","",SUMIFS(Transactions!$E:$E,Transactions!$O:$O,$A115,Transactions!$B:$B,"Buy shares"))</f>
        <v/>
      </c>
      <c r="E115" s="26" t="str">
        <f aca="false">IF($A115="","",IF(D115=0,"",-SUMIFS(Transactions!$J:$J,Transactions!$O:$O,$A115,Transactions!$B:$B,"Buy shares")/D115))</f>
        <v/>
      </c>
      <c r="F115" s="18" t="str">
        <f aca="false">IF($A115="","",-SUMIFS(Transactions!$E:$E,Transactions!$O:$O,$A115,Transactions!$B:$B,"Sell shares"))</f>
        <v/>
      </c>
      <c r="G115" s="18" t="str">
        <f aca="false">IF($A115="","",D115-F115)</f>
        <v/>
      </c>
      <c r="H115" s="14" t="str">
        <f aca="false">IF($A115="","",SUMIFS(Transactions!$J:$J,Transactions!$O:$O,$A115,Transactions!$B:$B,"Sell call")+SUMIFS(Transactions!$J:$J,Transactions!$O:$O,$A115,Transactions!$B:$B,"Buy to close"))</f>
        <v/>
      </c>
      <c r="I115" s="26" t="str">
        <f aca="false">IF(OR($A115="",E115=""),"",E115-H115/D115)</f>
        <v/>
      </c>
      <c r="J115" s="26" t="str">
        <f aca="false">IF($A115="","",IFERROR(INDEX(Positions!$K:$K,MATCH(B115,Positions!$B:$B,0)),""))</f>
        <v/>
      </c>
      <c r="K115" s="23"/>
      <c r="L115" s="26" t="str">
        <f aca="false">IF($A115="","",IF(K115&lt;&gt;"",K115,J115))</f>
        <v/>
      </c>
      <c r="M115" s="14" t="str">
        <f aca="false">IF(OR($A115="",L115=""),"",L115*G115)</f>
        <v/>
      </c>
      <c r="N115" s="14" t="str">
        <f aca="false">IF(OR(M115="",E115=""),"",(L115-E115)*G115)</f>
        <v/>
      </c>
      <c r="O115" s="8" t="str">
        <f aca="false">IF($A115="","",IF(G115&lt;=0,"Sold",IF((-SUMIFS(Transactions!$E:$E,Transactions!$O:$O,$A115,Transactions!$B:$B,"Sell call")-SUMIFS(Transactions!$E:$E,Transactions!$O:$O,$A115,Transactions!$B:$B,"Buy to close")-SUMIFS(Transactions!$E:$E,Transactions!$O:$O,$A115,Transactions!$B:$B,"Expired")-SUMIFS(Transactions!$E:$E,Transactions!$O:$O,$A115,Transactions!$B:$B,"Assigned"))&gt;0,"Covered","Free")))</f>
        <v/>
      </c>
      <c r="P115" s="26" t="str">
        <f aca="false">IF(OR(I115="",G115&lt;=0),"",CEILING(MAX(I115,N(L115)),IF(E115&lt;50,0.5,IF(E115&lt;200,1,5))))</f>
        <v/>
      </c>
      <c r="Q115" s="8" t="str">
        <f aca="true">IF(OR(N115="",G115&lt;=0),"",IF(N115&gt;=0,"",IF(COUNTIFS($B:$B,B115,$C:$C,"&gt;="&amp;(TODAY()-30),$C:$C,"&lt;="&amp;TODAY(),$A:$A,"&lt;&gt;"&amp;$A115)&gt;0,"Loss sale now = wash sale","OK to harvest loss")))</f>
        <v/>
      </c>
      <c r="R115" s="14" t="str">
        <f aca="false">IF(OR($A115="",N(F115)&lt;=0),"",SUMIFS(Transactions!$J:$J,Transactions!$O:$O,$A115,Transactions!$B:$B,"Sell shares")-E115*F115)</f>
        <v/>
      </c>
      <c r="S115" s="10" t="str">
        <f aca="false">IF(OR($A115="",N(F115)&lt;=0),"",_xlfn.MAXIFS(Transactions!$A:$A,Transactions!$O:$O,$A115,Transactions!$B:$B,"Sell shares"))</f>
        <v/>
      </c>
      <c r="T115" s="14" t="str">
        <f aca="false">IF(OR($A115="",E115=""),"",E115*G115)</f>
        <v/>
      </c>
    </row>
    <row r="116" customFormat="false" ht="15" hidden="false" customHeight="false" outlineLevel="0" collapsed="false">
      <c r="A116" s="21"/>
      <c r="B116" s="8" t="str">
        <f aca="false">IF($A116="","",IFERROR(INDEX(Transactions!$C:$C,MATCH($A116,Transactions!$O:$O,0)),""))</f>
        <v/>
      </c>
      <c r="C116" s="10" t="str">
        <f aca="false">IF($A116="","",IF(COUNTIFS(Transactions!$O:$O,$A116,Transactions!$B:$B,"Buy shares")=0,"",_xlfn.MINIFS(Transactions!$A:$A,Transactions!$O:$O,$A116,Transactions!$B:$B,"Buy shares")))</f>
        <v/>
      </c>
      <c r="D116" s="18" t="str">
        <f aca="false">IF($A116="","",SUMIFS(Transactions!$E:$E,Transactions!$O:$O,$A116,Transactions!$B:$B,"Buy shares"))</f>
        <v/>
      </c>
      <c r="E116" s="26" t="str">
        <f aca="false">IF($A116="","",IF(D116=0,"",-SUMIFS(Transactions!$J:$J,Transactions!$O:$O,$A116,Transactions!$B:$B,"Buy shares")/D116))</f>
        <v/>
      </c>
      <c r="F116" s="18" t="str">
        <f aca="false">IF($A116="","",-SUMIFS(Transactions!$E:$E,Transactions!$O:$O,$A116,Transactions!$B:$B,"Sell shares"))</f>
        <v/>
      </c>
      <c r="G116" s="18" t="str">
        <f aca="false">IF($A116="","",D116-F116)</f>
        <v/>
      </c>
      <c r="H116" s="14" t="str">
        <f aca="false">IF($A116="","",SUMIFS(Transactions!$J:$J,Transactions!$O:$O,$A116,Transactions!$B:$B,"Sell call")+SUMIFS(Transactions!$J:$J,Transactions!$O:$O,$A116,Transactions!$B:$B,"Buy to close"))</f>
        <v/>
      </c>
      <c r="I116" s="26" t="str">
        <f aca="false">IF(OR($A116="",E116=""),"",E116-H116/D116)</f>
        <v/>
      </c>
      <c r="J116" s="26" t="str">
        <f aca="false">IF($A116="","",IFERROR(INDEX(Positions!$K:$K,MATCH(B116,Positions!$B:$B,0)),""))</f>
        <v/>
      </c>
      <c r="K116" s="23"/>
      <c r="L116" s="26" t="str">
        <f aca="false">IF($A116="","",IF(K116&lt;&gt;"",K116,J116))</f>
        <v/>
      </c>
      <c r="M116" s="14" t="str">
        <f aca="false">IF(OR($A116="",L116=""),"",L116*G116)</f>
        <v/>
      </c>
      <c r="N116" s="14" t="str">
        <f aca="false">IF(OR(M116="",E116=""),"",(L116-E116)*G116)</f>
        <v/>
      </c>
      <c r="O116" s="8" t="str">
        <f aca="false">IF($A116="","",IF(G116&lt;=0,"Sold",IF((-SUMIFS(Transactions!$E:$E,Transactions!$O:$O,$A116,Transactions!$B:$B,"Sell call")-SUMIFS(Transactions!$E:$E,Transactions!$O:$O,$A116,Transactions!$B:$B,"Buy to close")-SUMIFS(Transactions!$E:$E,Transactions!$O:$O,$A116,Transactions!$B:$B,"Expired")-SUMIFS(Transactions!$E:$E,Transactions!$O:$O,$A116,Transactions!$B:$B,"Assigned"))&gt;0,"Covered","Free")))</f>
        <v/>
      </c>
      <c r="P116" s="26" t="str">
        <f aca="false">IF(OR(I116="",G116&lt;=0),"",CEILING(MAX(I116,N(L116)),IF(E116&lt;50,0.5,IF(E116&lt;200,1,5))))</f>
        <v/>
      </c>
      <c r="Q116" s="8" t="str">
        <f aca="true">IF(OR(N116="",G116&lt;=0),"",IF(N116&gt;=0,"",IF(COUNTIFS($B:$B,B116,$C:$C,"&gt;="&amp;(TODAY()-30),$C:$C,"&lt;="&amp;TODAY(),$A:$A,"&lt;&gt;"&amp;$A116)&gt;0,"Loss sale now = wash sale","OK to harvest loss")))</f>
        <v/>
      </c>
      <c r="R116" s="14" t="str">
        <f aca="false">IF(OR($A116="",N(F116)&lt;=0),"",SUMIFS(Transactions!$J:$J,Transactions!$O:$O,$A116,Transactions!$B:$B,"Sell shares")-E116*F116)</f>
        <v/>
      </c>
      <c r="S116" s="10" t="str">
        <f aca="false">IF(OR($A116="",N(F116)&lt;=0),"",_xlfn.MAXIFS(Transactions!$A:$A,Transactions!$O:$O,$A116,Transactions!$B:$B,"Sell shares"))</f>
        <v/>
      </c>
      <c r="T116" s="14" t="str">
        <f aca="false">IF(OR($A116="",E116=""),"",E116*G116)</f>
        <v/>
      </c>
    </row>
    <row r="117" customFormat="false" ht="15" hidden="false" customHeight="false" outlineLevel="0" collapsed="false">
      <c r="A117" s="21"/>
      <c r="B117" s="8" t="str">
        <f aca="false">IF($A117="","",IFERROR(INDEX(Transactions!$C:$C,MATCH($A117,Transactions!$O:$O,0)),""))</f>
        <v/>
      </c>
      <c r="C117" s="10" t="str">
        <f aca="false">IF($A117="","",IF(COUNTIFS(Transactions!$O:$O,$A117,Transactions!$B:$B,"Buy shares")=0,"",_xlfn.MINIFS(Transactions!$A:$A,Transactions!$O:$O,$A117,Transactions!$B:$B,"Buy shares")))</f>
        <v/>
      </c>
      <c r="D117" s="18" t="str">
        <f aca="false">IF($A117="","",SUMIFS(Transactions!$E:$E,Transactions!$O:$O,$A117,Transactions!$B:$B,"Buy shares"))</f>
        <v/>
      </c>
      <c r="E117" s="26" t="str">
        <f aca="false">IF($A117="","",IF(D117=0,"",-SUMIFS(Transactions!$J:$J,Transactions!$O:$O,$A117,Transactions!$B:$B,"Buy shares")/D117))</f>
        <v/>
      </c>
      <c r="F117" s="18" t="str">
        <f aca="false">IF($A117="","",-SUMIFS(Transactions!$E:$E,Transactions!$O:$O,$A117,Transactions!$B:$B,"Sell shares"))</f>
        <v/>
      </c>
      <c r="G117" s="18" t="str">
        <f aca="false">IF($A117="","",D117-F117)</f>
        <v/>
      </c>
      <c r="H117" s="14" t="str">
        <f aca="false">IF($A117="","",SUMIFS(Transactions!$J:$J,Transactions!$O:$O,$A117,Transactions!$B:$B,"Sell call")+SUMIFS(Transactions!$J:$J,Transactions!$O:$O,$A117,Transactions!$B:$B,"Buy to close"))</f>
        <v/>
      </c>
      <c r="I117" s="26" t="str">
        <f aca="false">IF(OR($A117="",E117=""),"",E117-H117/D117)</f>
        <v/>
      </c>
      <c r="J117" s="26" t="str">
        <f aca="false">IF($A117="","",IFERROR(INDEX(Positions!$K:$K,MATCH(B117,Positions!$B:$B,0)),""))</f>
        <v/>
      </c>
      <c r="K117" s="23"/>
      <c r="L117" s="26" t="str">
        <f aca="false">IF($A117="","",IF(K117&lt;&gt;"",K117,J117))</f>
        <v/>
      </c>
      <c r="M117" s="14" t="str">
        <f aca="false">IF(OR($A117="",L117=""),"",L117*G117)</f>
        <v/>
      </c>
      <c r="N117" s="14" t="str">
        <f aca="false">IF(OR(M117="",E117=""),"",(L117-E117)*G117)</f>
        <v/>
      </c>
      <c r="O117" s="8" t="str">
        <f aca="false">IF($A117="","",IF(G117&lt;=0,"Sold",IF((-SUMIFS(Transactions!$E:$E,Transactions!$O:$O,$A117,Transactions!$B:$B,"Sell call")-SUMIFS(Transactions!$E:$E,Transactions!$O:$O,$A117,Transactions!$B:$B,"Buy to close")-SUMIFS(Transactions!$E:$E,Transactions!$O:$O,$A117,Transactions!$B:$B,"Expired")-SUMIFS(Transactions!$E:$E,Transactions!$O:$O,$A117,Transactions!$B:$B,"Assigned"))&gt;0,"Covered","Free")))</f>
        <v/>
      </c>
      <c r="P117" s="26" t="str">
        <f aca="false">IF(OR(I117="",G117&lt;=0),"",CEILING(MAX(I117,N(L117)),IF(E117&lt;50,0.5,IF(E117&lt;200,1,5))))</f>
        <v/>
      </c>
      <c r="Q117" s="8" t="str">
        <f aca="true">IF(OR(N117="",G117&lt;=0),"",IF(N117&gt;=0,"",IF(COUNTIFS($B:$B,B117,$C:$C,"&gt;="&amp;(TODAY()-30),$C:$C,"&lt;="&amp;TODAY(),$A:$A,"&lt;&gt;"&amp;$A117)&gt;0,"Loss sale now = wash sale","OK to harvest loss")))</f>
        <v/>
      </c>
      <c r="R117" s="14" t="str">
        <f aca="false">IF(OR($A117="",N(F117)&lt;=0),"",SUMIFS(Transactions!$J:$J,Transactions!$O:$O,$A117,Transactions!$B:$B,"Sell shares")-E117*F117)</f>
        <v/>
      </c>
      <c r="S117" s="10" t="str">
        <f aca="false">IF(OR($A117="",N(F117)&lt;=0),"",_xlfn.MAXIFS(Transactions!$A:$A,Transactions!$O:$O,$A117,Transactions!$B:$B,"Sell shares"))</f>
        <v/>
      </c>
      <c r="T117" s="14" t="str">
        <f aca="false">IF(OR($A117="",E117=""),"",E117*G117)</f>
        <v/>
      </c>
    </row>
    <row r="118" customFormat="false" ht="15" hidden="false" customHeight="false" outlineLevel="0" collapsed="false">
      <c r="A118" s="21"/>
      <c r="B118" s="8" t="str">
        <f aca="false">IF($A118="","",IFERROR(INDEX(Transactions!$C:$C,MATCH($A118,Transactions!$O:$O,0)),""))</f>
        <v/>
      </c>
      <c r="C118" s="10" t="str">
        <f aca="false">IF($A118="","",IF(COUNTIFS(Transactions!$O:$O,$A118,Transactions!$B:$B,"Buy shares")=0,"",_xlfn.MINIFS(Transactions!$A:$A,Transactions!$O:$O,$A118,Transactions!$B:$B,"Buy shares")))</f>
        <v/>
      </c>
      <c r="D118" s="18" t="str">
        <f aca="false">IF($A118="","",SUMIFS(Transactions!$E:$E,Transactions!$O:$O,$A118,Transactions!$B:$B,"Buy shares"))</f>
        <v/>
      </c>
      <c r="E118" s="26" t="str">
        <f aca="false">IF($A118="","",IF(D118=0,"",-SUMIFS(Transactions!$J:$J,Transactions!$O:$O,$A118,Transactions!$B:$B,"Buy shares")/D118))</f>
        <v/>
      </c>
      <c r="F118" s="18" t="str">
        <f aca="false">IF($A118="","",-SUMIFS(Transactions!$E:$E,Transactions!$O:$O,$A118,Transactions!$B:$B,"Sell shares"))</f>
        <v/>
      </c>
      <c r="G118" s="18" t="str">
        <f aca="false">IF($A118="","",D118-F118)</f>
        <v/>
      </c>
      <c r="H118" s="14" t="str">
        <f aca="false">IF($A118="","",SUMIFS(Transactions!$J:$J,Transactions!$O:$O,$A118,Transactions!$B:$B,"Sell call")+SUMIFS(Transactions!$J:$J,Transactions!$O:$O,$A118,Transactions!$B:$B,"Buy to close"))</f>
        <v/>
      </c>
      <c r="I118" s="26" t="str">
        <f aca="false">IF(OR($A118="",E118=""),"",E118-H118/D118)</f>
        <v/>
      </c>
      <c r="J118" s="26" t="str">
        <f aca="false">IF($A118="","",IFERROR(INDEX(Positions!$K:$K,MATCH(B118,Positions!$B:$B,0)),""))</f>
        <v/>
      </c>
      <c r="K118" s="23"/>
      <c r="L118" s="26" t="str">
        <f aca="false">IF($A118="","",IF(K118&lt;&gt;"",K118,J118))</f>
        <v/>
      </c>
      <c r="M118" s="14" t="str">
        <f aca="false">IF(OR($A118="",L118=""),"",L118*G118)</f>
        <v/>
      </c>
      <c r="N118" s="14" t="str">
        <f aca="false">IF(OR(M118="",E118=""),"",(L118-E118)*G118)</f>
        <v/>
      </c>
      <c r="O118" s="8" t="str">
        <f aca="false">IF($A118="","",IF(G118&lt;=0,"Sold",IF((-SUMIFS(Transactions!$E:$E,Transactions!$O:$O,$A118,Transactions!$B:$B,"Sell call")-SUMIFS(Transactions!$E:$E,Transactions!$O:$O,$A118,Transactions!$B:$B,"Buy to close")-SUMIFS(Transactions!$E:$E,Transactions!$O:$O,$A118,Transactions!$B:$B,"Expired")-SUMIFS(Transactions!$E:$E,Transactions!$O:$O,$A118,Transactions!$B:$B,"Assigned"))&gt;0,"Covered","Free")))</f>
        <v/>
      </c>
      <c r="P118" s="26" t="str">
        <f aca="false">IF(OR(I118="",G118&lt;=0),"",CEILING(MAX(I118,N(L118)),IF(E118&lt;50,0.5,IF(E118&lt;200,1,5))))</f>
        <v/>
      </c>
      <c r="Q118" s="8" t="str">
        <f aca="true">IF(OR(N118="",G118&lt;=0),"",IF(N118&gt;=0,"",IF(COUNTIFS($B:$B,B118,$C:$C,"&gt;="&amp;(TODAY()-30),$C:$C,"&lt;="&amp;TODAY(),$A:$A,"&lt;&gt;"&amp;$A118)&gt;0,"Loss sale now = wash sale","OK to harvest loss")))</f>
        <v/>
      </c>
      <c r="R118" s="14" t="str">
        <f aca="false">IF(OR($A118="",N(F118)&lt;=0),"",SUMIFS(Transactions!$J:$J,Transactions!$O:$O,$A118,Transactions!$B:$B,"Sell shares")-E118*F118)</f>
        <v/>
      </c>
      <c r="S118" s="10" t="str">
        <f aca="false">IF(OR($A118="",N(F118)&lt;=0),"",_xlfn.MAXIFS(Transactions!$A:$A,Transactions!$O:$O,$A118,Transactions!$B:$B,"Sell shares"))</f>
        <v/>
      </c>
      <c r="T118" s="14" t="str">
        <f aca="false">IF(OR($A118="",E118=""),"",E118*G118)</f>
        <v/>
      </c>
    </row>
    <row r="119" customFormat="false" ht="15" hidden="false" customHeight="false" outlineLevel="0" collapsed="false">
      <c r="A119" s="21"/>
      <c r="B119" s="8" t="str">
        <f aca="false">IF($A119="","",IFERROR(INDEX(Transactions!$C:$C,MATCH($A119,Transactions!$O:$O,0)),""))</f>
        <v/>
      </c>
      <c r="C119" s="10" t="str">
        <f aca="false">IF($A119="","",IF(COUNTIFS(Transactions!$O:$O,$A119,Transactions!$B:$B,"Buy shares")=0,"",_xlfn.MINIFS(Transactions!$A:$A,Transactions!$O:$O,$A119,Transactions!$B:$B,"Buy shares")))</f>
        <v/>
      </c>
      <c r="D119" s="18" t="str">
        <f aca="false">IF($A119="","",SUMIFS(Transactions!$E:$E,Transactions!$O:$O,$A119,Transactions!$B:$B,"Buy shares"))</f>
        <v/>
      </c>
      <c r="E119" s="26" t="str">
        <f aca="false">IF($A119="","",IF(D119=0,"",-SUMIFS(Transactions!$J:$J,Transactions!$O:$O,$A119,Transactions!$B:$B,"Buy shares")/D119))</f>
        <v/>
      </c>
      <c r="F119" s="18" t="str">
        <f aca="false">IF($A119="","",-SUMIFS(Transactions!$E:$E,Transactions!$O:$O,$A119,Transactions!$B:$B,"Sell shares"))</f>
        <v/>
      </c>
      <c r="G119" s="18" t="str">
        <f aca="false">IF($A119="","",D119-F119)</f>
        <v/>
      </c>
      <c r="H119" s="14" t="str">
        <f aca="false">IF($A119="","",SUMIFS(Transactions!$J:$J,Transactions!$O:$O,$A119,Transactions!$B:$B,"Sell call")+SUMIFS(Transactions!$J:$J,Transactions!$O:$O,$A119,Transactions!$B:$B,"Buy to close"))</f>
        <v/>
      </c>
      <c r="I119" s="26" t="str">
        <f aca="false">IF(OR($A119="",E119=""),"",E119-H119/D119)</f>
        <v/>
      </c>
      <c r="J119" s="26" t="str">
        <f aca="false">IF($A119="","",IFERROR(INDEX(Positions!$K:$K,MATCH(B119,Positions!$B:$B,0)),""))</f>
        <v/>
      </c>
      <c r="K119" s="23"/>
      <c r="L119" s="26" t="str">
        <f aca="false">IF($A119="","",IF(K119&lt;&gt;"",K119,J119))</f>
        <v/>
      </c>
      <c r="M119" s="14" t="str">
        <f aca="false">IF(OR($A119="",L119=""),"",L119*G119)</f>
        <v/>
      </c>
      <c r="N119" s="14" t="str">
        <f aca="false">IF(OR(M119="",E119=""),"",(L119-E119)*G119)</f>
        <v/>
      </c>
      <c r="O119" s="8" t="str">
        <f aca="false">IF($A119="","",IF(G119&lt;=0,"Sold",IF((-SUMIFS(Transactions!$E:$E,Transactions!$O:$O,$A119,Transactions!$B:$B,"Sell call")-SUMIFS(Transactions!$E:$E,Transactions!$O:$O,$A119,Transactions!$B:$B,"Buy to close")-SUMIFS(Transactions!$E:$E,Transactions!$O:$O,$A119,Transactions!$B:$B,"Expired")-SUMIFS(Transactions!$E:$E,Transactions!$O:$O,$A119,Transactions!$B:$B,"Assigned"))&gt;0,"Covered","Free")))</f>
        <v/>
      </c>
      <c r="P119" s="26" t="str">
        <f aca="false">IF(OR(I119="",G119&lt;=0),"",CEILING(MAX(I119,N(L119)),IF(E119&lt;50,0.5,IF(E119&lt;200,1,5))))</f>
        <v/>
      </c>
      <c r="Q119" s="8" t="str">
        <f aca="true">IF(OR(N119="",G119&lt;=0),"",IF(N119&gt;=0,"",IF(COUNTIFS($B:$B,B119,$C:$C,"&gt;="&amp;(TODAY()-30),$C:$C,"&lt;="&amp;TODAY(),$A:$A,"&lt;&gt;"&amp;$A119)&gt;0,"Loss sale now = wash sale","OK to harvest loss")))</f>
        <v/>
      </c>
      <c r="R119" s="14" t="str">
        <f aca="false">IF(OR($A119="",N(F119)&lt;=0),"",SUMIFS(Transactions!$J:$J,Transactions!$O:$O,$A119,Transactions!$B:$B,"Sell shares")-E119*F119)</f>
        <v/>
      </c>
      <c r="S119" s="10" t="str">
        <f aca="false">IF(OR($A119="",N(F119)&lt;=0),"",_xlfn.MAXIFS(Transactions!$A:$A,Transactions!$O:$O,$A119,Transactions!$B:$B,"Sell shares"))</f>
        <v/>
      </c>
      <c r="T119" s="14" t="str">
        <f aca="false">IF(OR($A119="",E119=""),"",E119*G119)</f>
        <v/>
      </c>
    </row>
    <row r="120" customFormat="false" ht="15" hidden="false" customHeight="false" outlineLevel="0" collapsed="false">
      <c r="A120" s="21"/>
      <c r="B120" s="8" t="str">
        <f aca="false">IF($A120="","",IFERROR(INDEX(Transactions!$C:$C,MATCH($A120,Transactions!$O:$O,0)),""))</f>
        <v/>
      </c>
      <c r="C120" s="10" t="str">
        <f aca="false">IF($A120="","",IF(COUNTIFS(Transactions!$O:$O,$A120,Transactions!$B:$B,"Buy shares")=0,"",_xlfn.MINIFS(Transactions!$A:$A,Transactions!$O:$O,$A120,Transactions!$B:$B,"Buy shares")))</f>
        <v/>
      </c>
      <c r="D120" s="18" t="str">
        <f aca="false">IF($A120="","",SUMIFS(Transactions!$E:$E,Transactions!$O:$O,$A120,Transactions!$B:$B,"Buy shares"))</f>
        <v/>
      </c>
      <c r="E120" s="26" t="str">
        <f aca="false">IF($A120="","",IF(D120=0,"",-SUMIFS(Transactions!$J:$J,Transactions!$O:$O,$A120,Transactions!$B:$B,"Buy shares")/D120))</f>
        <v/>
      </c>
      <c r="F120" s="18" t="str">
        <f aca="false">IF($A120="","",-SUMIFS(Transactions!$E:$E,Transactions!$O:$O,$A120,Transactions!$B:$B,"Sell shares"))</f>
        <v/>
      </c>
      <c r="G120" s="18" t="str">
        <f aca="false">IF($A120="","",D120-F120)</f>
        <v/>
      </c>
      <c r="H120" s="14" t="str">
        <f aca="false">IF($A120="","",SUMIFS(Transactions!$J:$J,Transactions!$O:$O,$A120,Transactions!$B:$B,"Sell call")+SUMIFS(Transactions!$J:$J,Transactions!$O:$O,$A120,Transactions!$B:$B,"Buy to close"))</f>
        <v/>
      </c>
      <c r="I120" s="26" t="str">
        <f aca="false">IF(OR($A120="",E120=""),"",E120-H120/D120)</f>
        <v/>
      </c>
      <c r="J120" s="26" t="str">
        <f aca="false">IF($A120="","",IFERROR(INDEX(Positions!$K:$K,MATCH(B120,Positions!$B:$B,0)),""))</f>
        <v/>
      </c>
      <c r="K120" s="23"/>
      <c r="L120" s="26" t="str">
        <f aca="false">IF($A120="","",IF(K120&lt;&gt;"",K120,J120))</f>
        <v/>
      </c>
      <c r="M120" s="14" t="str">
        <f aca="false">IF(OR($A120="",L120=""),"",L120*G120)</f>
        <v/>
      </c>
      <c r="N120" s="14" t="str">
        <f aca="false">IF(OR(M120="",E120=""),"",(L120-E120)*G120)</f>
        <v/>
      </c>
      <c r="O120" s="8" t="str">
        <f aca="false">IF($A120="","",IF(G120&lt;=0,"Sold",IF((-SUMIFS(Transactions!$E:$E,Transactions!$O:$O,$A120,Transactions!$B:$B,"Sell call")-SUMIFS(Transactions!$E:$E,Transactions!$O:$O,$A120,Transactions!$B:$B,"Buy to close")-SUMIFS(Transactions!$E:$E,Transactions!$O:$O,$A120,Transactions!$B:$B,"Expired")-SUMIFS(Transactions!$E:$E,Transactions!$O:$O,$A120,Transactions!$B:$B,"Assigned"))&gt;0,"Covered","Free")))</f>
        <v/>
      </c>
      <c r="P120" s="26" t="str">
        <f aca="false">IF(OR(I120="",G120&lt;=0),"",CEILING(MAX(I120,N(L120)),IF(E120&lt;50,0.5,IF(E120&lt;200,1,5))))</f>
        <v/>
      </c>
      <c r="Q120" s="8" t="str">
        <f aca="true">IF(OR(N120="",G120&lt;=0),"",IF(N120&gt;=0,"",IF(COUNTIFS($B:$B,B120,$C:$C,"&gt;="&amp;(TODAY()-30),$C:$C,"&lt;="&amp;TODAY(),$A:$A,"&lt;&gt;"&amp;$A120)&gt;0,"Loss sale now = wash sale","OK to harvest loss")))</f>
        <v/>
      </c>
      <c r="R120" s="14" t="str">
        <f aca="false">IF(OR($A120="",N(F120)&lt;=0),"",SUMIFS(Transactions!$J:$J,Transactions!$O:$O,$A120,Transactions!$B:$B,"Sell shares")-E120*F120)</f>
        <v/>
      </c>
      <c r="S120" s="10" t="str">
        <f aca="false">IF(OR($A120="",N(F120)&lt;=0),"",_xlfn.MAXIFS(Transactions!$A:$A,Transactions!$O:$O,$A120,Transactions!$B:$B,"Sell shares"))</f>
        <v/>
      </c>
      <c r="T120" s="14" t="str">
        <f aca="false">IF(OR($A120="",E120=""),"",E120*G120)</f>
        <v/>
      </c>
    </row>
    <row r="121" customFormat="false" ht="15" hidden="false" customHeight="false" outlineLevel="0" collapsed="false">
      <c r="A121" s="21"/>
      <c r="B121" s="8" t="str">
        <f aca="false">IF($A121="","",IFERROR(INDEX(Transactions!$C:$C,MATCH($A121,Transactions!$O:$O,0)),""))</f>
        <v/>
      </c>
      <c r="C121" s="10" t="str">
        <f aca="false">IF($A121="","",IF(COUNTIFS(Transactions!$O:$O,$A121,Transactions!$B:$B,"Buy shares")=0,"",_xlfn.MINIFS(Transactions!$A:$A,Transactions!$O:$O,$A121,Transactions!$B:$B,"Buy shares")))</f>
        <v/>
      </c>
      <c r="D121" s="18" t="str">
        <f aca="false">IF($A121="","",SUMIFS(Transactions!$E:$E,Transactions!$O:$O,$A121,Transactions!$B:$B,"Buy shares"))</f>
        <v/>
      </c>
      <c r="E121" s="26" t="str">
        <f aca="false">IF($A121="","",IF(D121=0,"",-SUMIFS(Transactions!$J:$J,Transactions!$O:$O,$A121,Transactions!$B:$B,"Buy shares")/D121))</f>
        <v/>
      </c>
      <c r="F121" s="18" t="str">
        <f aca="false">IF($A121="","",-SUMIFS(Transactions!$E:$E,Transactions!$O:$O,$A121,Transactions!$B:$B,"Sell shares"))</f>
        <v/>
      </c>
      <c r="G121" s="18" t="str">
        <f aca="false">IF($A121="","",D121-F121)</f>
        <v/>
      </c>
      <c r="H121" s="14" t="str">
        <f aca="false">IF($A121="","",SUMIFS(Transactions!$J:$J,Transactions!$O:$O,$A121,Transactions!$B:$B,"Sell call")+SUMIFS(Transactions!$J:$J,Transactions!$O:$O,$A121,Transactions!$B:$B,"Buy to close"))</f>
        <v/>
      </c>
      <c r="I121" s="26" t="str">
        <f aca="false">IF(OR($A121="",E121=""),"",E121-H121/D121)</f>
        <v/>
      </c>
      <c r="J121" s="26" t="str">
        <f aca="false">IF($A121="","",IFERROR(INDEX(Positions!$K:$K,MATCH(B121,Positions!$B:$B,0)),""))</f>
        <v/>
      </c>
      <c r="K121" s="23"/>
      <c r="L121" s="26" t="str">
        <f aca="false">IF($A121="","",IF(K121&lt;&gt;"",K121,J121))</f>
        <v/>
      </c>
      <c r="M121" s="14" t="str">
        <f aca="false">IF(OR($A121="",L121=""),"",L121*G121)</f>
        <v/>
      </c>
      <c r="N121" s="14" t="str">
        <f aca="false">IF(OR(M121="",E121=""),"",(L121-E121)*G121)</f>
        <v/>
      </c>
      <c r="O121" s="8" t="str">
        <f aca="false">IF($A121="","",IF(G121&lt;=0,"Sold",IF((-SUMIFS(Transactions!$E:$E,Transactions!$O:$O,$A121,Transactions!$B:$B,"Sell call")-SUMIFS(Transactions!$E:$E,Transactions!$O:$O,$A121,Transactions!$B:$B,"Buy to close")-SUMIFS(Transactions!$E:$E,Transactions!$O:$O,$A121,Transactions!$B:$B,"Expired")-SUMIFS(Transactions!$E:$E,Transactions!$O:$O,$A121,Transactions!$B:$B,"Assigned"))&gt;0,"Covered","Free")))</f>
        <v/>
      </c>
      <c r="P121" s="26" t="str">
        <f aca="false">IF(OR(I121="",G121&lt;=0),"",CEILING(MAX(I121,N(L121)),IF(E121&lt;50,0.5,IF(E121&lt;200,1,5))))</f>
        <v/>
      </c>
      <c r="Q121" s="8" t="str">
        <f aca="true">IF(OR(N121="",G121&lt;=0),"",IF(N121&gt;=0,"",IF(COUNTIFS($B:$B,B121,$C:$C,"&gt;="&amp;(TODAY()-30),$C:$C,"&lt;="&amp;TODAY(),$A:$A,"&lt;&gt;"&amp;$A121)&gt;0,"Loss sale now = wash sale","OK to harvest loss")))</f>
        <v/>
      </c>
      <c r="R121" s="14" t="str">
        <f aca="false">IF(OR($A121="",N(F121)&lt;=0),"",SUMIFS(Transactions!$J:$J,Transactions!$O:$O,$A121,Transactions!$B:$B,"Sell shares")-E121*F121)</f>
        <v/>
      </c>
      <c r="S121" s="10" t="str">
        <f aca="false">IF(OR($A121="",N(F121)&lt;=0),"",_xlfn.MAXIFS(Transactions!$A:$A,Transactions!$O:$O,$A121,Transactions!$B:$B,"Sell shares"))</f>
        <v/>
      </c>
      <c r="T121" s="14" t="str">
        <f aca="false">IF(OR($A121="",E121=""),"",E121*G121)</f>
        <v/>
      </c>
    </row>
    <row r="122" customFormat="false" ht="15" hidden="false" customHeight="false" outlineLevel="0" collapsed="false">
      <c r="A122" s="21"/>
      <c r="B122" s="8" t="str">
        <f aca="false">IF($A122="","",IFERROR(INDEX(Transactions!$C:$C,MATCH($A122,Transactions!$O:$O,0)),""))</f>
        <v/>
      </c>
      <c r="C122" s="10" t="str">
        <f aca="false">IF($A122="","",IF(COUNTIFS(Transactions!$O:$O,$A122,Transactions!$B:$B,"Buy shares")=0,"",_xlfn.MINIFS(Transactions!$A:$A,Transactions!$O:$O,$A122,Transactions!$B:$B,"Buy shares")))</f>
        <v/>
      </c>
      <c r="D122" s="18" t="str">
        <f aca="false">IF($A122="","",SUMIFS(Transactions!$E:$E,Transactions!$O:$O,$A122,Transactions!$B:$B,"Buy shares"))</f>
        <v/>
      </c>
      <c r="E122" s="26" t="str">
        <f aca="false">IF($A122="","",IF(D122=0,"",-SUMIFS(Transactions!$J:$J,Transactions!$O:$O,$A122,Transactions!$B:$B,"Buy shares")/D122))</f>
        <v/>
      </c>
      <c r="F122" s="18" t="str">
        <f aca="false">IF($A122="","",-SUMIFS(Transactions!$E:$E,Transactions!$O:$O,$A122,Transactions!$B:$B,"Sell shares"))</f>
        <v/>
      </c>
      <c r="G122" s="18" t="str">
        <f aca="false">IF($A122="","",D122-F122)</f>
        <v/>
      </c>
      <c r="H122" s="14" t="str">
        <f aca="false">IF($A122="","",SUMIFS(Transactions!$J:$J,Transactions!$O:$O,$A122,Transactions!$B:$B,"Sell call")+SUMIFS(Transactions!$J:$J,Transactions!$O:$O,$A122,Transactions!$B:$B,"Buy to close"))</f>
        <v/>
      </c>
      <c r="I122" s="26" t="str">
        <f aca="false">IF(OR($A122="",E122=""),"",E122-H122/D122)</f>
        <v/>
      </c>
      <c r="J122" s="26" t="str">
        <f aca="false">IF($A122="","",IFERROR(INDEX(Positions!$K:$K,MATCH(B122,Positions!$B:$B,0)),""))</f>
        <v/>
      </c>
      <c r="K122" s="23"/>
      <c r="L122" s="26" t="str">
        <f aca="false">IF($A122="","",IF(K122&lt;&gt;"",K122,J122))</f>
        <v/>
      </c>
      <c r="M122" s="14" t="str">
        <f aca="false">IF(OR($A122="",L122=""),"",L122*G122)</f>
        <v/>
      </c>
      <c r="N122" s="14" t="str">
        <f aca="false">IF(OR(M122="",E122=""),"",(L122-E122)*G122)</f>
        <v/>
      </c>
      <c r="O122" s="8" t="str">
        <f aca="false">IF($A122="","",IF(G122&lt;=0,"Sold",IF((-SUMIFS(Transactions!$E:$E,Transactions!$O:$O,$A122,Transactions!$B:$B,"Sell call")-SUMIFS(Transactions!$E:$E,Transactions!$O:$O,$A122,Transactions!$B:$B,"Buy to close")-SUMIFS(Transactions!$E:$E,Transactions!$O:$O,$A122,Transactions!$B:$B,"Expired")-SUMIFS(Transactions!$E:$E,Transactions!$O:$O,$A122,Transactions!$B:$B,"Assigned"))&gt;0,"Covered","Free")))</f>
        <v/>
      </c>
      <c r="P122" s="26" t="str">
        <f aca="false">IF(OR(I122="",G122&lt;=0),"",CEILING(MAX(I122,N(L122)),IF(E122&lt;50,0.5,IF(E122&lt;200,1,5))))</f>
        <v/>
      </c>
      <c r="Q122" s="8" t="str">
        <f aca="true">IF(OR(N122="",G122&lt;=0),"",IF(N122&gt;=0,"",IF(COUNTIFS($B:$B,B122,$C:$C,"&gt;="&amp;(TODAY()-30),$C:$C,"&lt;="&amp;TODAY(),$A:$A,"&lt;&gt;"&amp;$A122)&gt;0,"Loss sale now = wash sale","OK to harvest loss")))</f>
        <v/>
      </c>
      <c r="R122" s="14" t="str">
        <f aca="false">IF(OR($A122="",N(F122)&lt;=0),"",SUMIFS(Transactions!$J:$J,Transactions!$O:$O,$A122,Transactions!$B:$B,"Sell shares")-E122*F122)</f>
        <v/>
      </c>
      <c r="S122" s="10" t="str">
        <f aca="false">IF(OR($A122="",N(F122)&lt;=0),"",_xlfn.MAXIFS(Transactions!$A:$A,Transactions!$O:$O,$A122,Transactions!$B:$B,"Sell shares"))</f>
        <v/>
      </c>
      <c r="T122" s="14" t="str">
        <f aca="false">IF(OR($A122="",E122=""),"",E122*G122)</f>
        <v/>
      </c>
    </row>
    <row r="123" customFormat="false" ht="15" hidden="false" customHeight="false" outlineLevel="0" collapsed="false">
      <c r="A123" s="21"/>
      <c r="B123" s="8" t="str">
        <f aca="false">IF($A123="","",IFERROR(INDEX(Transactions!$C:$C,MATCH($A123,Transactions!$O:$O,0)),""))</f>
        <v/>
      </c>
      <c r="C123" s="10" t="str">
        <f aca="false">IF($A123="","",IF(COUNTIFS(Transactions!$O:$O,$A123,Transactions!$B:$B,"Buy shares")=0,"",_xlfn.MINIFS(Transactions!$A:$A,Transactions!$O:$O,$A123,Transactions!$B:$B,"Buy shares")))</f>
        <v/>
      </c>
      <c r="D123" s="18" t="str">
        <f aca="false">IF($A123="","",SUMIFS(Transactions!$E:$E,Transactions!$O:$O,$A123,Transactions!$B:$B,"Buy shares"))</f>
        <v/>
      </c>
      <c r="E123" s="26" t="str">
        <f aca="false">IF($A123="","",IF(D123=0,"",-SUMIFS(Transactions!$J:$J,Transactions!$O:$O,$A123,Transactions!$B:$B,"Buy shares")/D123))</f>
        <v/>
      </c>
      <c r="F123" s="18" t="str">
        <f aca="false">IF($A123="","",-SUMIFS(Transactions!$E:$E,Transactions!$O:$O,$A123,Transactions!$B:$B,"Sell shares"))</f>
        <v/>
      </c>
      <c r="G123" s="18" t="str">
        <f aca="false">IF($A123="","",D123-F123)</f>
        <v/>
      </c>
      <c r="H123" s="14" t="str">
        <f aca="false">IF($A123="","",SUMIFS(Transactions!$J:$J,Transactions!$O:$O,$A123,Transactions!$B:$B,"Sell call")+SUMIFS(Transactions!$J:$J,Transactions!$O:$O,$A123,Transactions!$B:$B,"Buy to close"))</f>
        <v/>
      </c>
      <c r="I123" s="26" t="str">
        <f aca="false">IF(OR($A123="",E123=""),"",E123-H123/D123)</f>
        <v/>
      </c>
      <c r="J123" s="26" t="str">
        <f aca="false">IF($A123="","",IFERROR(INDEX(Positions!$K:$K,MATCH(B123,Positions!$B:$B,0)),""))</f>
        <v/>
      </c>
      <c r="K123" s="23"/>
      <c r="L123" s="26" t="str">
        <f aca="false">IF($A123="","",IF(K123&lt;&gt;"",K123,J123))</f>
        <v/>
      </c>
      <c r="M123" s="14" t="str">
        <f aca="false">IF(OR($A123="",L123=""),"",L123*G123)</f>
        <v/>
      </c>
      <c r="N123" s="14" t="str">
        <f aca="false">IF(OR(M123="",E123=""),"",(L123-E123)*G123)</f>
        <v/>
      </c>
      <c r="O123" s="8" t="str">
        <f aca="false">IF($A123="","",IF(G123&lt;=0,"Sold",IF((-SUMIFS(Transactions!$E:$E,Transactions!$O:$O,$A123,Transactions!$B:$B,"Sell call")-SUMIFS(Transactions!$E:$E,Transactions!$O:$O,$A123,Transactions!$B:$B,"Buy to close")-SUMIFS(Transactions!$E:$E,Transactions!$O:$O,$A123,Transactions!$B:$B,"Expired")-SUMIFS(Transactions!$E:$E,Transactions!$O:$O,$A123,Transactions!$B:$B,"Assigned"))&gt;0,"Covered","Free")))</f>
        <v/>
      </c>
      <c r="P123" s="26" t="str">
        <f aca="false">IF(OR(I123="",G123&lt;=0),"",CEILING(MAX(I123,N(L123)),IF(E123&lt;50,0.5,IF(E123&lt;200,1,5))))</f>
        <v/>
      </c>
      <c r="Q123" s="8" t="str">
        <f aca="true">IF(OR(N123="",G123&lt;=0),"",IF(N123&gt;=0,"",IF(COUNTIFS($B:$B,B123,$C:$C,"&gt;="&amp;(TODAY()-30),$C:$C,"&lt;="&amp;TODAY(),$A:$A,"&lt;&gt;"&amp;$A123)&gt;0,"Loss sale now = wash sale","OK to harvest loss")))</f>
        <v/>
      </c>
      <c r="R123" s="14" t="str">
        <f aca="false">IF(OR($A123="",N(F123)&lt;=0),"",SUMIFS(Transactions!$J:$J,Transactions!$O:$O,$A123,Transactions!$B:$B,"Sell shares")-E123*F123)</f>
        <v/>
      </c>
      <c r="S123" s="10" t="str">
        <f aca="false">IF(OR($A123="",N(F123)&lt;=0),"",_xlfn.MAXIFS(Transactions!$A:$A,Transactions!$O:$O,$A123,Transactions!$B:$B,"Sell shares"))</f>
        <v/>
      </c>
      <c r="T123" s="14" t="str">
        <f aca="false">IF(OR($A123="",E123=""),"",E123*G123)</f>
        <v/>
      </c>
    </row>
    <row r="124" customFormat="false" ht="15" hidden="false" customHeight="false" outlineLevel="0" collapsed="false">
      <c r="A124" s="21"/>
      <c r="B124" s="8" t="str">
        <f aca="false">IF($A124="","",IFERROR(INDEX(Transactions!$C:$C,MATCH($A124,Transactions!$O:$O,0)),""))</f>
        <v/>
      </c>
      <c r="C124" s="10" t="str">
        <f aca="false">IF($A124="","",IF(COUNTIFS(Transactions!$O:$O,$A124,Transactions!$B:$B,"Buy shares")=0,"",_xlfn.MINIFS(Transactions!$A:$A,Transactions!$O:$O,$A124,Transactions!$B:$B,"Buy shares")))</f>
        <v/>
      </c>
      <c r="D124" s="18" t="str">
        <f aca="false">IF($A124="","",SUMIFS(Transactions!$E:$E,Transactions!$O:$O,$A124,Transactions!$B:$B,"Buy shares"))</f>
        <v/>
      </c>
      <c r="E124" s="26" t="str">
        <f aca="false">IF($A124="","",IF(D124=0,"",-SUMIFS(Transactions!$J:$J,Transactions!$O:$O,$A124,Transactions!$B:$B,"Buy shares")/D124))</f>
        <v/>
      </c>
      <c r="F124" s="18" t="str">
        <f aca="false">IF($A124="","",-SUMIFS(Transactions!$E:$E,Transactions!$O:$O,$A124,Transactions!$B:$B,"Sell shares"))</f>
        <v/>
      </c>
      <c r="G124" s="18" t="str">
        <f aca="false">IF($A124="","",D124-F124)</f>
        <v/>
      </c>
      <c r="H124" s="14" t="str">
        <f aca="false">IF($A124="","",SUMIFS(Transactions!$J:$J,Transactions!$O:$O,$A124,Transactions!$B:$B,"Sell call")+SUMIFS(Transactions!$J:$J,Transactions!$O:$O,$A124,Transactions!$B:$B,"Buy to close"))</f>
        <v/>
      </c>
      <c r="I124" s="26" t="str">
        <f aca="false">IF(OR($A124="",E124=""),"",E124-H124/D124)</f>
        <v/>
      </c>
      <c r="J124" s="26" t="str">
        <f aca="false">IF($A124="","",IFERROR(INDEX(Positions!$K:$K,MATCH(B124,Positions!$B:$B,0)),""))</f>
        <v/>
      </c>
      <c r="K124" s="23"/>
      <c r="L124" s="26" t="str">
        <f aca="false">IF($A124="","",IF(K124&lt;&gt;"",K124,J124))</f>
        <v/>
      </c>
      <c r="M124" s="14" t="str">
        <f aca="false">IF(OR($A124="",L124=""),"",L124*G124)</f>
        <v/>
      </c>
      <c r="N124" s="14" t="str">
        <f aca="false">IF(OR(M124="",E124=""),"",(L124-E124)*G124)</f>
        <v/>
      </c>
      <c r="O124" s="8" t="str">
        <f aca="false">IF($A124="","",IF(G124&lt;=0,"Sold",IF((-SUMIFS(Transactions!$E:$E,Transactions!$O:$O,$A124,Transactions!$B:$B,"Sell call")-SUMIFS(Transactions!$E:$E,Transactions!$O:$O,$A124,Transactions!$B:$B,"Buy to close")-SUMIFS(Transactions!$E:$E,Transactions!$O:$O,$A124,Transactions!$B:$B,"Expired")-SUMIFS(Transactions!$E:$E,Transactions!$O:$O,$A124,Transactions!$B:$B,"Assigned"))&gt;0,"Covered","Free")))</f>
        <v/>
      </c>
      <c r="P124" s="26" t="str">
        <f aca="false">IF(OR(I124="",G124&lt;=0),"",CEILING(MAX(I124,N(L124)),IF(E124&lt;50,0.5,IF(E124&lt;200,1,5))))</f>
        <v/>
      </c>
      <c r="Q124" s="8" t="str">
        <f aca="true">IF(OR(N124="",G124&lt;=0),"",IF(N124&gt;=0,"",IF(COUNTIFS($B:$B,B124,$C:$C,"&gt;="&amp;(TODAY()-30),$C:$C,"&lt;="&amp;TODAY(),$A:$A,"&lt;&gt;"&amp;$A124)&gt;0,"Loss sale now = wash sale","OK to harvest loss")))</f>
        <v/>
      </c>
      <c r="R124" s="14" t="str">
        <f aca="false">IF(OR($A124="",N(F124)&lt;=0),"",SUMIFS(Transactions!$J:$J,Transactions!$O:$O,$A124,Transactions!$B:$B,"Sell shares")-E124*F124)</f>
        <v/>
      </c>
      <c r="S124" s="10" t="str">
        <f aca="false">IF(OR($A124="",N(F124)&lt;=0),"",_xlfn.MAXIFS(Transactions!$A:$A,Transactions!$O:$O,$A124,Transactions!$B:$B,"Sell shares"))</f>
        <v/>
      </c>
      <c r="T124" s="14" t="str">
        <f aca="false">IF(OR($A124="",E124=""),"",E124*G124)</f>
        <v/>
      </c>
    </row>
    <row r="125" customFormat="false" ht="15" hidden="false" customHeight="false" outlineLevel="0" collapsed="false">
      <c r="A125" s="21"/>
      <c r="B125" s="8" t="str">
        <f aca="false">IF($A125="","",IFERROR(INDEX(Transactions!$C:$C,MATCH($A125,Transactions!$O:$O,0)),""))</f>
        <v/>
      </c>
      <c r="C125" s="10" t="str">
        <f aca="false">IF($A125="","",IF(COUNTIFS(Transactions!$O:$O,$A125,Transactions!$B:$B,"Buy shares")=0,"",_xlfn.MINIFS(Transactions!$A:$A,Transactions!$O:$O,$A125,Transactions!$B:$B,"Buy shares")))</f>
        <v/>
      </c>
      <c r="D125" s="18" t="str">
        <f aca="false">IF($A125="","",SUMIFS(Transactions!$E:$E,Transactions!$O:$O,$A125,Transactions!$B:$B,"Buy shares"))</f>
        <v/>
      </c>
      <c r="E125" s="26" t="str">
        <f aca="false">IF($A125="","",IF(D125=0,"",-SUMIFS(Transactions!$J:$J,Transactions!$O:$O,$A125,Transactions!$B:$B,"Buy shares")/D125))</f>
        <v/>
      </c>
      <c r="F125" s="18" t="str">
        <f aca="false">IF($A125="","",-SUMIFS(Transactions!$E:$E,Transactions!$O:$O,$A125,Transactions!$B:$B,"Sell shares"))</f>
        <v/>
      </c>
      <c r="G125" s="18" t="str">
        <f aca="false">IF($A125="","",D125-F125)</f>
        <v/>
      </c>
      <c r="H125" s="14" t="str">
        <f aca="false">IF($A125="","",SUMIFS(Transactions!$J:$J,Transactions!$O:$O,$A125,Transactions!$B:$B,"Sell call")+SUMIFS(Transactions!$J:$J,Transactions!$O:$O,$A125,Transactions!$B:$B,"Buy to close"))</f>
        <v/>
      </c>
      <c r="I125" s="26" t="str">
        <f aca="false">IF(OR($A125="",E125=""),"",E125-H125/D125)</f>
        <v/>
      </c>
      <c r="J125" s="26" t="str">
        <f aca="false">IF($A125="","",IFERROR(INDEX(Positions!$K:$K,MATCH(B125,Positions!$B:$B,0)),""))</f>
        <v/>
      </c>
      <c r="K125" s="23"/>
      <c r="L125" s="26" t="str">
        <f aca="false">IF($A125="","",IF(K125&lt;&gt;"",K125,J125))</f>
        <v/>
      </c>
      <c r="M125" s="14" t="str">
        <f aca="false">IF(OR($A125="",L125=""),"",L125*G125)</f>
        <v/>
      </c>
      <c r="N125" s="14" t="str">
        <f aca="false">IF(OR(M125="",E125=""),"",(L125-E125)*G125)</f>
        <v/>
      </c>
      <c r="O125" s="8" t="str">
        <f aca="false">IF($A125="","",IF(G125&lt;=0,"Sold",IF((-SUMIFS(Transactions!$E:$E,Transactions!$O:$O,$A125,Transactions!$B:$B,"Sell call")-SUMIFS(Transactions!$E:$E,Transactions!$O:$O,$A125,Transactions!$B:$B,"Buy to close")-SUMIFS(Transactions!$E:$E,Transactions!$O:$O,$A125,Transactions!$B:$B,"Expired")-SUMIFS(Transactions!$E:$E,Transactions!$O:$O,$A125,Transactions!$B:$B,"Assigned"))&gt;0,"Covered","Free")))</f>
        <v/>
      </c>
      <c r="P125" s="26" t="str">
        <f aca="false">IF(OR(I125="",G125&lt;=0),"",CEILING(MAX(I125,N(L125)),IF(E125&lt;50,0.5,IF(E125&lt;200,1,5))))</f>
        <v/>
      </c>
      <c r="Q125" s="8" t="str">
        <f aca="true">IF(OR(N125="",G125&lt;=0),"",IF(N125&gt;=0,"",IF(COUNTIFS($B:$B,B125,$C:$C,"&gt;="&amp;(TODAY()-30),$C:$C,"&lt;="&amp;TODAY(),$A:$A,"&lt;&gt;"&amp;$A125)&gt;0,"Loss sale now = wash sale","OK to harvest loss")))</f>
        <v/>
      </c>
      <c r="R125" s="14" t="str">
        <f aca="false">IF(OR($A125="",N(F125)&lt;=0),"",SUMIFS(Transactions!$J:$J,Transactions!$O:$O,$A125,Transactions!$B:$B,"Sell shares")-E125*F125)</f>
        <v/>
      </c>
      <c r="S125" s="10" t="str">
        <f aca="false">IF(OR($A125="",N(F125)&lt;=0),"",_xlfn.MAXIFS(Transactions!$A:$A,Transactions!$O:$O,$A125,Transactions!$B:$B,"Sell shares"))</f>
        <v/>
      </c>
      <c r="T125" s="14" t="str">
        <f aca="false">IF(OR($A125="",E125=""),"",E125*G125)</f>
        <v/>
      </c>
    </row>
    <row r="126" customFormat="false" ht="15" hidden="false" customHeight="false" outlineLevel="0" collapsed="false">
      <c r="A126" s="21"/>
      <c r="B126" s="8" t="str">
        <f aca="false">IF($A126="","",IFERROR(INDEX(Transactions!$C:$C,MATCH($A126,Transactions!$O:$O,0)),""))</f>
        <v/>
      </c>
      <c r="C126" s="10" t="str">
        <f aca="false">IF($A126="","",IF(COUNTIFS(Transactions!$O:$O,$A126,Transactions!$B:$B,"Buy shares")=0,"",_xlfn.MINIFS(Transactions!$A:$A,Transactions!$O:$O,$A126,Transactions!$B:$B,"Buy shares")))</f>
        <v/>
      </c>
      <c r="D126" s="18" t="str">
        <f aca="false">IF($A126="","",SUMIFS(Transactions!$E:$E,Transactions!$O:$O,$A126,Transactions!$B:$B,"Buy shares"))</f>
        <v/>
      </c>
      <c r="E126" s="26" t="str">
        <f aca="false">IF($A126="","",IF(D126=0,"",-SUMIFS(Transactions!$J:$J,Transactions!$O:$O,$A126,Transactions!$B:$B,"Buy shares")/D126))</f>
        <v/>
      </c>
      <c r="F126" s="18" t="str">
        <f aca="false">IF($A126="","",-SUMIFS(Transactions!$E:$E,Transactions!$O:$O,$A126,Transactions!$B:$B,"Sell shares"))</f>
        <v/>
      </c>
      <c r="G126" s="18" t="str">
        <f aca="false">IF($A126="","",D126-F126)</f>
        <v/>
      </c>
      <c r="H126" s="14" t="str">
        <f aca="false">IF($A126="","",SUMIFS(Transactions!$J:$J,Transactions!$O:$O,$A126,Transactions!$B:$B,"Sell call")+SUMIFS(Transactions!$J:$J,Transactions!$O:$O,$A126,Transactions!$B:$B,"Buy to close"))</f>
        <v/>
      </c>
      <c r="I126" s="26" t="str">
        <f aca="false">IF(OR($A126="",E126=""),"",E126-H126/D126)</f>
        <v/>
      </c>
      <c r="J126" s="26" t="str">
        <f aca="false">IF($A126="","",IFERROR(INDEX(Positions!$K:$K,MATCH(B126,Positions!$B:$B,0)),""))</f>
        <v/>
      </c>
      <c r="K126" s="23"/>
      <c r="L126" s="26" t="str">
        <f aca="false">IF($A126="","",IF(K126&lt;&gt;"",K126,J126))</f>
        <v/>
      </c>
      <c r="M126" s="14" t="str">
        <f aca="false">IF(OR($A126="",L126=""),"",L126*G126)</f>
        <v/>
      </c>
      <c r="N126" s="14" t="str">
        <f aca="false">IF(OR(M126="",E126=""),"",(L126-E126)*G126)</f>
        <v/>
      </c>
      <c r="O126" s="8" t="str">
        <f aca="false">IF($A126="","",IF(G126&lt;=0,"Sold",IF((-SUMIFS(Transactions!$E:$E,Transactions!$O:$O,$A126,Transactions!$B:$B,"Sell call")-SUMIFS(Transactions!$E:$E,Transactions!$O:$O,$A126,Transactions!$B:$B,"Buy to close")-SUMIFS(Transactions!$E:$E,Transactions!$O:$O,$A126,Transactions!$B:$B,"Expired")-SUMIFS(Transactions!$E:$E,Transactions!$O:$O,$A126,Transactions!$B:$B,"Assigned"))&gt;0,"Covered","Free")))</f>
        <v/>
      </c>
      <c r="P126" s="26" t="str">
        <f aca="false">IF(OR(I126="",G126&lt;=0),"",CEILING(MAX(I126,N(L126)),IF(E126&lt;50,0.5,IF(E126&lt;200,1,5))))</f>
        <v/>
      </c>
      <c r="Q126" s="8" t="str">
        <f aca="true">IF(OR(N126="",G126&lt;=0),"",IF(N126&gt;=0,"",IF(COUNTIFS($B:$B,B126,$C:$C,"&gt;="&amp;(TODAY()-30),$C:$C,"&lt;="&amp;TODAY(),$A:$A,"&lt;&gt;"&amp;$A126)&gt;0,"Loss sale now = wash sale","OK to harvest loss")))</f>
        <v/>
      </c>
      <c r="R126" s="14" t="str">
        <f aca="false">IF(OR($A126="",N(F126)&lt;=0),"",SUMIFS(Transactions!$J:$J,Transactions!$O:$O,$A126,Transactions!$B:$B,"Sell shares")-E126*F126)</f>
        <v/>
      </c>
      <c r="S126" s="10" t="str">
        <f aca="false">IF(OR($A126="",N(F126)&lt;=0),"",_xlfn.MAXIFS(Transactions!$A:$A,Transactions!$O:$O,$A126,Transactions!$B:$B,"Sell shares"))</f>
        <v/>
      </c>
      <c r="T126" s="14" t="str">
        <f aca="false">IF(OR($A126="",E126=""),"",E126*G126)</f>
        <v/>
      </c>
    </row>
    <row r="127" customFormat="false" ht="15" hidden="false" customHeight="false" outlineLevel="0" collapsed="false">
      <c r="A127" s="21"/>
      <c r="B127" s="8" t="str">
        <f aca="false">IF($A127="","",IFERROR(INDEX(Transactions!$C:$C,MATCH($A127,Transactions!$O:$O,0)),""))</f>
        <v/>
      </c>
      <c r="C127" s="10" t="str">
        <f aca="false">IF($A127="","",IF(COUNTIFS(Transactions!$O:$O,$A127,Transactions!$B:$B,"Buy shares")=0,"",_xlfn.MINIFS(Transactions!$A:$A,Transactions!$O:$O,$A127,Transactions!$B:$B,"Buy shares")))</f>
        <v/>
      </c>
      <c r="D127" s="18" t="str">
        <f aca="false">IF($A127="","",SUMIFS(Transactions!$E:$E,Transactions!$O:$O,$A127,Transactions!$B:$B,"Buy shares"))</f>
        <v/>
      </c>
      <c r="E127" s="26" t="str">
        <f aca="false">IF($A127="","",IF(D127=0,"",-SUMIFS(Transactions!$J:$J,Transactions!$O:$O,$A127,Transactions!$B:$B,"Buy shares")/D127))</f>
        <v/>
      </c>
      <c r="F127" s="18" t="str">
        <f aca="false">IF($A127="","",-SUMIFS(Transactions!$E:$E,Transactions!$O:$O,$A127,Transactions!$B:$B,"Sell shares"))</f>
        <v/>
      </c>
      <c r="G127" s="18" t="str">
        <f aca="false">IF($A127="","",D127-F127)</f>
        <v/>
      </c>
      <c r="H127" s="14" t="str">
        <f aca="false">IF($A127="","",SUMIFS(Transactions!$J:$J,Transactions!$O:$O,$A127,Transactions!$B:$B,"Sell call")+SUMIFS(Transactions!$J:$J,Transactions!$O:$O,$A127,Transactions!$B:$B,"Buy to close"))</f>
        <v/>
      </c>
      <c r="I127" s="26" t="str">
        <f aca="false">IF(OR($A127="",E127=""),"",E127-H127/D127)</f>
        <v/>
      </c>
      <c r="J127" s="26" t="str">
        <f aca="false">IF($A127="","",IFERROR(INDEX(Positions!$K:$K,MATCH(B127,Positions!$B:$B,0)),""))</f>
        <v/>
      </c>
      <c r="K127" s="23"/>
      <c r="L127" s="26" t="str">
        <f aca="false">IF($A127="","",IF(K127&lt;&gt;"",K127,J127))</f>
        <v/>
      </c>
      <c r="M127" s="14" t="str">
        <f aca="false">IF(OR($A127="",L127=""),"",L127*G127)</f>
        <v/>
      </c>
      <c r="N127" s="14" t="str">
        <f aca="false">IF(OR(M127="",E127=""),"",(L127-E127)*G127)</f>
        <v/>
      </c>
      <c r="O127" s="8" t="str">
        <f aca="false">IF($A127="","",IF(G127&lt;=0,"Sold",IF((-SUMIFS(Transactions!$E:$E,Transactions!$O:$O,$A127,Transactions!$B:$B,"Sell call")-SUMIFS(Transactions!$E:$E,Transactions!$O:$O,$A127,Transactions!$B:$B,"Buy to close")-SUMIFS(Transactions!$E:$E,Transactions!$O:$O,$A127,Transactions!$B:$B,"Expired")-SUMIFS(Transactions!$E:$E,Transactions!$O:$O,$A127,Transactions!$B:$B,"Assigned"))&gt;0,"Covered","Free")))</f>
        <v/>
      </c>
      <c r="P127" s="26" t="str">
        <f aca="false">IF(OR(I127="",G127&lt;=0),"",CEILING(MAX(I127,N(L127)),IF(E127&lt;50,0.5,IF(E127&lt;200,1,5))))</f>
        <v/>
      </c>
      <c r="Q127" s="8" t="str">
        <f aca="true">IF(OR(N127="",G127&lt;=0),"",IF(N127&gt;=0,"",IF(COUNTIFS($B:$B,B127,$C:$C,"&gt;="&amp;(TODAY()-30),$C:$C,"&lt;="&amp;TODAY(),$A:$A,"&lt;&gt;"&amp;$A127)&gt;0,"Loss sale now = wash sale","OK to harvest loss")))</f>
        <v/>
      </c>
      <c r="R127" s="14" t="str">
        <f aca="false">IF(OR($A127="",N(F127)&lt;=0),"",SUMIFS(Transactions!$J:$J,Transactions!$O:$O,$A127,Transactions!$B:$B,"Sell shares")-E127*F127)</f>
        <v/>
      </c>
      <c r="S127" s="10" t="str">
        <f aca="false">IF(OR($A127="",N(F127)&lt;=0),"",_xlfn.MAXIFS(Transactions!$A:$A,Transactions!$O:$O,$A127,Transactions!$B:$B,"Sell shares"))</f>
        <v/>
      </c>
      <c r="T127" s="14" t="str">
        <f aca="false">IF(OR($A127="",E127=""),"",E127*G127)</f>
        <v/>
      </c>
    </row>
    <row r="128" customFormat="false" ht="15" hidden="false" customHeight="false" outlineLevel="0" collapsed="false">
      <c r="A128" s="21"/>
      <c r="B128" s="8" t="str">
        <f aca="false">IF($A128="","",IFERROR(INDEX(Transactions!$C:$C,MATCH($A128,Transactions!$O:$O,0)),""))</f>
        <v/>
      </c>
      <c r="C128" s="10" t="str">
        <f aca="false">IF($A128="","",IF(COUNTIFS(Transactions!$O:$O,$A128,Transactions!$B:$B,"Buy shares")=0,"",_xlfn.MINIFS(Transactions!$A:$A,Transactions!$O:$O,$A128,Transactions!$B:$B,"Buy shares")))</f>
        <v/>
      </c>
      <c r="D128" s="18" t="str">
        <f aca="false">IF($A128="","",SUMIFS(Transactions!$E:$E,Transactions!$O:$O,$A128,Transactions!$B:$B,"Buy shares"))</f>
        <v/>
      </c>
      <c r="E128" s="26" t="str">
        <f aca="false">IF($A128="","",IF(D128=0,"",-SUMIFS(Transactions!$J:$J,Transactions!$O:$O,$A128,Transactions!$B:$B,"Buy shares")/D128))</f>
        <v/>
      </c>
      <c r="F128" s="18" t="str">
        <f aca="false">IF($A128="","",-SUMIFS(Transactions!$E:$E,Transactions!$O:$O,$A128,Transactions!$B:$B,"Sell shares"))</f>
        <v/>
      </c>
      <c r="G128" s="18" t="str">
        <f aca="false">IF($A128="","",D128-F128)</f>
        <v/>
      </c>
      <c r="H128" s="14" t="str">
        <f aca="false">IF($A128="","",SUMIFS(Transactions!$J:$J,Transactions!$O:$O,$A128,Transactions!$B:$B,"Sell call")+SUMIFS(Transactions!$J:$J,Transactions!$O:$O,$A128,Transactions!$B:$B,"Buy to close"))</f>
        <v/>
      </c>
      <c r="I128" s="26" t="str">
        <f aca="false">IF(OR($A128="",E128=""),"",E128-H128/D128)</f>
        <v/>
      </c>
      <c r="J128" s="26" t="str">
        <f aca="false">IF($A128="","",IFERROR(INDEX(Positions!$K:$K,MATCH(B128,Positions!$B:$B,0)),""))</f>
        <v/>
      </c>
      <c r="K128" s="23"/>
      <c r="L128" s="26" t="str">
        <f aca="false">IF($A128="","",IF(K128&lt;&gt;"",K128,J128))</f>
        <v/>
      </c>
      <c r="M128" s="14" t="str">
        <f aca="false">IF(OR($A128="",L128=""),"",L128*G128)</f>
        <v/>
      </c>
      <c r="N128" s="14" t="str">
        <f aca="false">IF(OR(M128="",E128=""),"",(L128-E128)*G128)</f>
        <v/>
      </c>
      <c r="O128" s="8" t="str">
        <f aca="false">IF($A128="","",IF(G128&lt;=0,"Sold",IF((-SUMIFS(Transactions!$E:$E,Transactions!$O:$O,$A128,Transactions!$B:$B,"Sell call")-SUMIFS(Transactions!$E:$E,Transactions!$O:$O,$A128,Transactions!$B:$B,"Buy to close")-SUMIFS(Transactions!$E:$E,Transactions!$O:$O,$A128,Transactions!$B:$B,"Expired")-SUMIFS(Transactions!$E:$E,Transactions!$O:$O,$A128,Transactions!$B:$B,"Assigned"))&gt;0,"Covered","Free")))</f>
        <v/>
      </c>
      <c r="P128" s="26" t="str">
        <f aca="false">IF(OR(I128="",G128&lt;=0),"",CEILING(MAX(I128,N(L128)),IF(E128&lt;50,0.5,IF(E128&lt;200,1,5))))</f>
        <v/>
      </c>
      <c r="Q128" s="8" t="str">
        <f aca="true">IF(OR(N128="",G128&lt;=0),"",IF(N128&gt;=0,"",IF(COUNTIFS($B:$B,B128,$C:$C,"&gt;="&amp;(TODAY()-30),$C:$C,"&lt;="&amp;TODAY(),$A:$A,"&lt;&gt;"&amp;$A128)&gt;0,"Loss sale now = wash sale","OK to harvest loss")))</f>
        <v/>
      </c>
      <c r="R128" s="14" t="str">
        <f aca="false">IF(OR($A128="",N(F128)&lt;=0),"",SUMIFS(Transactions!$J:$J,Transactions!$O:$O,$A128,Transactions!$B:$B,"Sell shares")-E128*F128)</f>
        <v/>
      </c>
      <c r="S128" s="10" t="str">
        <f aca="false">IF(OR($A128="",N(F128)&lt;=0),"",_xlfn.MAXIFS(Transactions!$A:$A,Transactions!$O:$O,$A128,Transactions!$B:$B,"Sell shares"))</f>
        <v/>
      </c>
      <c r="T128" s="14" t="str">
        <f aca="false">IF(OR($A128="",E128=""),"",E128*G128)</f>
        <v/>
      </c>
    </row>
    <row r="129" customFormat="false" ht="15" hidden="false" customHeight="false" outlineLevel="0" collapsed="false">
      <c r="A129" s="21"/>
      <c r="B129" s="8" t="str">
        <f aca="false">IF($A129="","",IFERROR(INDEX(Transactions!$C:$C,MATCH($A129,Transactions!$O:$O,0)),""))</f>
        <v/>
      </c>
      <c r="C129" s="10" t="str">
        <f aca="false">IF($A129="","",IF(COUNTIFS(Transactions!$O:$O,$A129,Transactions!$B:$B,"Buy shares")=0,"",_xlfn.MINIFS(Transactions!$A:$A,Transactions!$O:$O,$A129,Transactions!$B:$B,"Buy shares")))</f>
        <v/>
      </c>
      <c r="D129" s="18" t="str">
        <f aca="false">IF($A129="","",SUMIFS(Transactions!$E:$E,Transactions!$O:$O,$A129,Transactions!$B:$B,"Buy shares"))</f>
        <v/>
      </c>
      <c r="E129" s="26" t="str">
        <f aca="false">IF($A129="","",IF(D129=0,"",-SUMIFS(Transactions!$J:$J,Transactions!$O:$O,$A129,Transactions!$B:$B,"Buy shares")/D129))</f>
        <v/>
      </c>
      <c r="F129" s="18" t="str">
        <f aca="false">IF($A129="","",-SUMIFS(Transactions!$E:$E,Transactions!$O:$O,$A129,Transactions!$B:$B,"Sell shares"))</f>
        <v/>
      </c>
      <c r="G129" s="18" t="str">
        <f aca="false">IF($A129="","",D129-F129)</f>
        <v/>
      </c>
      <c r="H129" s="14" t="str">
        <f aca="false">IF($A129="","",SUMIFS(Transactions!$J:$J,Transactions!$O:$O,$A129,Transactions!$B:$B,"Sell call")+SUMIFS(Transactions!$J:$J,Transactions!$O:$O,$A129,Transactions!$B:$B,"Buy to close"))</f>
        <v/>
      </c>
      <c r="I129" s="26" t="str">
        <f aca="false">IF(OR($A129="",E129=""),"",E129-H129/D129)</f>
        <v/>
      </c>
      <c r="J129" s="26" t="str">
        <f aca="false">IF($A129="","",IFERROR(INDEX(Positions!$K:$K,MATCH(B129,Positions!$B:$B,0)),""))</f>
        <v/>
      </c>
      <c r="K129" s="23"/>
      <c r="L129" s="26" t="str">
        <f aca="false">IF($A129="","",IF(K129&lt;&gt;"",K129,J129))</f>
        <v/>
      </c>
      <c r="M129" s="14" t="str">
        <f aca="false">IF(OR($A129="",L129=""),"",L129*G129)</f>
        <v/>
      </c>
      <c r="N129" s="14" t="str">
        <f aca="false">IF(OR(M129="",E129=""),"",(L129-E129)*G129)</f>
        <v/>
      </c>
      <c r="O129" s="8" t="str">
        <f aca="false">IF($A129="","",IF(G129&lt;=0,"Sold",IF((-SUMIFS(Transactions!$E:$E,Transactions!$O:$O,$A129,Transactions!$B:$B,"Sell call")-SUMIFS(Transactions!$E:$E,Transactions!$O:$O,$A129,Transactions!$B:$B,"Buy to close")-SUMIFS(Transactions!$E:$E,Transactions!$O:$O,$A129,Transactions!$B:$B,"Expired")-SUMIFS(Transactions!$E:$E,Transactions!$O:$O,$A129,Transactions!$B:$B,"Assigned"))&gt;0,"Covered","Free")))</f>
        <v/>
      </c>
      <c r="P129" s="26" t="str">
        <f aca="false">IF(OR(I129="",G129&lt;=0),"",CEILING(MAX(I129,N(L129)),IF(E129&lt;50,0.5,IF(E129&lt;200,1,5))))</f>
        <v/>
      </c>
      <c r="Q129" s="8" t="str">
        <f aca="true">IF(OR(N129="",G129&lt;=0),"",IF(N129&gt;=0,"",IF(COUNTIFS($B:$B,B129,$C:$C,"&gt;="&amp;(TODAY()-30),$C:$C,"&lt;="&amp;TODAY(),$A:$A,"&lt;&gt;"&amp;$A129)&gt;0,"Loss sale now = wash sale","OK to harvest loss")))</f>
        <v/>
      </c>
      <c r="R129" s="14" t="str">
        <f aca="false">IF(OR($A129="",N(F129)&lt;=0),"",SUMIFS(Transactions!$J:$J,Transactions!$O:$O,$A129,Transactions!$B:$B,"Sell shares")-E129*F129)</f>
        <v/>
      </c>
      <c r="S129" s="10" t="str">
        <f aca="false">IF(OR($A129="",N(F129)&lt;=0),"",_xlfn.MAXIFS(Transactions!$A:$A,Transactions!$O:$O,$A129,Transactions!$B:$B,"Sell shares"))</f>
        <v/>
      </c>
      <c r="T129" s="14" t="str">
        <f aca="false">IF(OR($A129="",E129=""),"",E129*G129)</f>
        <v/>
      </c>
    </row>
    <row r="130" customFormat="false" ht="15" hidden="false" customHeight="false" outlineLevel="0" collapsed="false">
      <c r="A130" s="21"/>
      <c r="B130" s="8" t="str">
        <f aca="false">IF($A130="","",IFERROR(INDEX(Transactions!$C:$C,MATCH($A130,Transactions!$O:$O,0)),""))</f>
        <v/>
      </c>
      <c r="C130" s="10" t="str">
        <f aca="false">IF($A130="","",IF(COUNTIFS(Transactions!$O:$O,$A130,Transactions!$B:$B,"Buy shares")=0,"",_xlfn.MINIFS(Transactions!$A:$A,Transactions!$O:$O,$A130,Transactions!$B:$B,"Buy shares")))</f>
        <v/>
      </c>
      <c r="D130" s="18" t="str">
        <f aca="false">IF($A130="","",SUMIFS(Transactions!$E:$E,Transactions!$O:$O,$A130,Transactions!$B:$B,"Buy shares"))</f>
        <v/>
      </c>
      <c r="E130" s="26" t="str">
        <f aca="false">IF($A130="","",IF(D130=0,"",-SUMIFS(Transactions!$J:$J,Transactions!$O:$O,$A130,Transactions!$B:$B,"Buy shares")/D130))</f>
        <v/>
      </c>
      <c r="F130" s="18" t="str">
        <f aca="false">IF($A130="","",-SUMIFS(Transactions!$E:$E,Transactions!$O:$O,$A130,Transactions!$B:$B,"Sell shares"))</f>
        <v/>
      </c>
      <c r="G130" s="18" t="str">
        <f aca="false">IF($A130="","",D130-F130)</f>
        <v/>
      </c>
      <c r="H130" s="14" t="str">
        <f aca="false">IF($A130="","",SUMIFS(Transactions!$J:$J,Transactions!$O:$O,$A130,Transactions!$B:$B,"Sell call")+SUMIFS(Transactions!$J:$J,Transactions!$O:$O,$A130,Transactions!$B:$B,"Buy to close"))</f>
        <v/>
      </c>
      <c r="I130" s="26" t="str">
        <f aca="false">IF(OR($A130="",E130=""),"",E130-H130/D130)</f>
        <v/>
      </c>
      <c r="J130" s="26" t="str">
        <f aca="false">IF($A130="","",IFERROR(INDEX(Positions!$K:$K,MATCH(B130,Positions!$B:$B,0)),""))</f>
        <v/>
      </c>
      <c r="K130" s="23"/>
      <c r="L130" s="26" t="str">
        <f aca="false">IF($A130="","",IF(K130&lt;&gt;"",K130,J130))</f>
        <v/>
      </c>
      <c r="M130" s="14" t="str">
        <f aca="false">IF(OR($A130="",L130=""),"",L130*G130)</f>
        <v/>
      </c>
      <c r="N130" s="14" t="str">
        <f aca="false">IF(OR(M130="",E130=""),"",(L130-E130)*G130)</f>
        <v/>
      </c>
      <c r="O130" s="8" t="str">
        <f aca="false">IF($A130="","",IF(G130&lt;=0,"Sold",IF((-SUMIFS(Transactions!$E:$E,Transactions!$O:$O,$A130,Transactions!$B:$B,"Sell call")-SUMIFS(Transactions!$E:$E,Transactions!$O:$O,$A130,Transactions!$B:$B,"Buy to close")-SUMIFS(Transactions!$E:$E,Transactions!$O:$O,$A130,Transactions!$B:$B,"Expired")-SUMIFS(Transactions!$E:$E,Transactions!$O:$O,$A130,Transactions!$B:$B,"Assigned"))&gt;0,"Covered","Free")))</f>
        <v/>
      </c>
      <c r="P130" s="26" t="str">
        <f aca="false">IF(OR(I130="",G130&lt;=0),"",CEILING(MAX(I130,N(L130)),IF(E130&lt;50,0.5,IF(E130&lt;200,1,5))))</f>
        <v/>
      </c>
      <c r="Q130" s="8" t="str">
        <f aca="true">IF(OR(N130="",G130&lt;=0),"",IF(N130&gt;=0,"",IF(COUNTIFS($B:$B,B130,$C:$C,"&gt;="&amp;(TODAY()-30),$C:$C,"&lt;="&amp;TODAY(),$A:$A,"&lt;&gt;"&amp;$A130)&gt;0,"Loss sale now = wash sale","OK to harvest loss")))</f>
        <v/>
      </c>
      <c r="R130" s="14" t="str">
        <f aca="false">IF(OR($A130="",N(F130)&lt;=0),"",SUMIFS(Transactions!$J:$J,Transactions!$O:$O,$A130,Transactions!$B:$B,"Sell shares")-E130*F130)</f>
        <v/>
      </c>
      <c r="S130" s="10" t="str">
        <f aca="false">IF(OR($A130="",N(F130)&lt;=0),"",_xlfn.MAXIFS(Transactions!$A:$A,Transactions!$O:$O,$A130,Transactions!$B:$B,"Sell shares"))</f>
        <v/>
      </c>
      <c r="T130" s="14" t="str">
        <f aca="false">IF(OR($A130="",E130=""),"",E130*G130)</f>
        <v/>
      </c>
    </row>
    <row r="131" customFormat="false" ht="15" hidden="false" customHeight="false" outlineLevel="0" collapsed="false">
      <c r="A131" s="21"/>
      <c r="B131" s="8" t="str">
        <f aca="false">IF($A131="","",IFERROR(INDEX(Transactions!$C:$C,MATCH($A131,Transactions!$O:$O,0)),""))</f>
        <v/>
      </c>
      <c r="C131" s="10" t="str">
        <f aca="false">IF($A131="","",IF(COUNTIFS(Transactions!$O:$O,$A131,Transactions!$B:$B,"Buy shares")=0,"",_xlfn.MINIFS(Transactions!$A:$A,Transactions!$O:$O,$A131,Transactions!$B:$B,"Buy shares")))</f>
        <v/>
      </c>
      <c r="D131" s="18" t="str">
        <f aca="false">IF($A131="","",SUMIFS(Transactions!$E:$E,Transactions!$O:$O,$A131,Transactions!$B:$B,"Buy shares"))</f>
        <v/>
      </c>
      <c r="E131" s="26" t="str">
        <f aca="false">IF($A131="","",IF(D131=0,"",-SUMIFS(Transactions!$J:$J,Transactions!$O:$O,$A131,Transactions!$B:$B,"Buy shares")/D131))</f>
        <v/>
      </c>
      <c r="F131" s="18" t="str">
        <f aca="false">IF($A131="","",-SUMIFS(Transactions!$E:$E,Transactions!$O:$O,$A131,Transactions!$B:$B,"Sell shares"))</f>
        <v/>
      </c>
      <c r="G131" s="18" t="str">
        <f aca="false">IF($A131="","",D131-F131)</f>
        <v/>
      </c>
      <c r="H131" s="14" t="str">
        <f aca="false">IF($A131="","",SUMIFS(Transactions!$J:$J,Transactions!$O:$O,$A131,Transactions!$B:$B,"Sell call")+SUMIFS(Transactions!$J:$J,Transactions!$O:$O,$A131,Transactions!$B:$B,"Buy to close"))</f>
        <v/>
      </c>
      <c r="I131" s="26" t="str">
        <f aca="false">IF(OR($A131="",E131=""),"",E131-H131/D131)</f>
        <v/>
      </c>
      <c r="J131" s="26" t="str">
        <f aca="false">IF($A131="","",IFERROR(INDEX(Positions!$K:$K,MATCH(B131,Positions!$B:$B,0)),""))</f>
        <v/>
      </c>
      <c r="K131" s="23"/>
      <c r="L131" s="26" t="str">
        <f aca="false">IF($A131="","",IF(K131&lt;&gt;"",K131,J131))</f>
        <v/>
      </c>
      <c r="M131" s="14" t="str">
        <f aca="false">IF(OR($A131="",L131=""),"",L131*G131)</f>
        <v/>
      </c>
      <c r="N131" s="14" t="str">
        <f aca="false">IF(OR(M131="",E131=""),"",(L131-E131)*G131)</f>
        <v/>
      </c>
      <c r="O131" s="8" t="str">
        <f aca="false">IF($A131="","",IF(G131&lt;=0,"Sold",IF((-SUMIFS(Transactions!$E:$E,Transactions!$O:$O,$A131,Transactions!$B:$B,"Sell call")-SUMIFS(Transactions!$E:$E,Transactions!$O:$O,$A131,Transactions!$B:$B,"Buy to close")-SUMIFS(Transactions!$E:$E,Transactions!$O:$O,$A131,Transactions!$B:$B,"Expired")-SUMIFS(Transactions!$E:$E,Transactions!$O:$O,$A131,Transactions!$B:$B,"Assigned"))&gt;0,"Covered","Free")))</f>
        <v/>
      </c>
      <c r="P131" s="26" t="str">
        <f aca="false">IF(OR(I131="",G131&lt;=0),"",CEILING(MAX(I131,N(L131)),IF(E131&lt;50,0.5,IF(E131&lt;200,1,5))))</f>
        <v/>
      </c>
      <c r="Q131" s="8" t="str">
        <f aca="true">IF(OR(N131="",G131&lt;=0),"",IF(N131&gt;=0,"",IF(COUNTIFS($B:$B,B131,$C:$C,"&gt;="&amp;(TODAY()-30),$C:$C,"&lt;="&amp;TODAY(),$A:$A,"&lt;&gt;"&amp;$A131)&gt;0,"Loss sale now = wash sale","OK to harvest loss")))</f>
        <v/>
      </c>
      <c r="R131" s="14" t="str">
        <f aca="false">IF(OR($A131="",N(F131)&lt;=0),"",SUMIFS(Transactions!$J:$J,Transactions!$O:$O,$A131,Transactions!$B:$B,"Sell shares")-E131*F131)</f>
        <v/>
      </c>
      <c r="S131" s="10" t="str">
        <f aca="false">IF(OR($A131="",N(F131)&lt;=0),"",_xlfn.MAXIFS(Transactions!$A:$A,Transactions!$O:$O,$A131,Transactions!$B:$B,"Sell shares"))</f>
        <v/>
      </c>
      <c r="T131" s="14" t="str">
        <f aca="false">IF(OR($A131="",E131=""),"",E131*G131)</f>
        <v/>
      </c>
    </row>
    <row r="132" customFormat="false" ht="15" hidden="false" customHeight="false" outlineLevel="0" collapsed="false">
      <c r="A132" s="21"/>
      <c r="B132" s="8" t="str">
        <f aca="false">IF($A132="","",IFERROR(INDEX(Transactions!$C:$C,MATCH($A132,Transactions!$O:$O,0)),""))</f>
        <v/>
      </c>
      <c r="C132" s="10" t="str">
        <f aca="false">IF($A132="","",IF(COUNTIFS(Transactions!$O:$O,$A132,Transactions!$B:$B,"Buy shares")=0,"",_xlfn.MINIFS(Transactions!$A:$A,Transactions!$O:$O,$A132,Transactions!$B:$B,"Buy shares")))</f>
        <v/>
      </c>
      <c r="D132" s="18" t="str">
        <f aca="false">IF($A132="","",SUMIFS(Transactions!$E:$E,Transactions!$O:$O,$A132,Transactions!$B:$B,"Buy shares"))</f>
        <v/>
      </c>
      <c r="E132" s="26" t="str">
        <f aca="false">IF($A132="","",IF(D132=0,"",-SUMIFS(Transactions!$J:$J,Transactions!$O:$O,$A132,Transactions!$B:$B,"Buy shares")/D132))</f>
        <v/>
      </c>
      <c r="F132" s="18" t="str">
        <f aca="false">IF($A132="","",-SUMIFS(Transactions!$E:$E,Transactions!$O:$O,$A132,Transactions!$B:$B,"Sell shares"))</f>
        <v/>
      </c>
      <c r="G132" s="18" t="str">
        <f aca="false">IF($A132="","",D132-F132)</f>
        <v/>
      </c>
      <c r="H132" s="14" t="str">
        <f aca="false">IF($A132="","",SUMIFS(Transactions!$J:$J,Transactions!$O:$O,$A132,Transactions!$B:$B,"Sell call")+SUMIFS(Transactions!$J:$J,Transactions!$O:$O,$A132,Transactions!$B:$B,"Buy to close"))</f>
        <v/>
      </c>
      <c r="I132" s="26" t="str">
        <f aca="false">IF(OR($A132="",E132=""),"",E132-H132/D132)</f>
        <v/>
      </c>
      <c r="J132" s="26" t="str">
        <f aca="false">IF($A132="","",IFERROR(INDEX(Positions!$K:$K,MATCH(B132,Positions!$B:$B,0)),""))</f>
        <v/>
      </c>
      <c r="K132" s="23"/>
      <c r="L132" s="26" t="str">
        <f aca="false">IF($A132="","",IF(K132&lt;&gt;"",K132,J132))</f>
        <v/>
      </c>
      <c r="M132" s="14" t="str">
        <f aca="false">IF(OR($A132="",L132=""),"",L132*G132)</f>
        <v/>
      </c>
      <c r="N132" s="14" t="str">
        <f aca="false">IF(OR(M132="",E132=""),"",(L132-E132)*G132)</f>
        <v/>
      </c>
      <c r="O132" s="8" t="str">
        <f aca="false">IF($A132="","",IF(G132&lt;=0,"Sold",IF((-SUMIFS(Transactions!$E:$E,Transactions!$O:$O,$A132,Transactions!$B:$B,"Sell call")-SUMIFS(Transactions!$E:$E,Transactions!$O:$O,$A132,Transactions!$B:$B,"Buy to close")-SUMIFS(Transactions!$E:$E,Transactions!$O:$O,$A132,Transactions!$B:$B,"Expired")-SUMIFS(Transactions!$E:$E,Transactions!$O:$O,$A132,Transactions!$B:$B,"Assigned"))&gt;0,"Covered","Free")))</f>
        <v/>
      </c>
      <c r="P132" s="26" t="str">
        <f aca="false">IF(OR(I132="",G132&lt;=0),"",CEILING(MAX(I132,N(L132)),IF(E132&lt;50,0.5,IF(E132&lt;200,1,5))))</f>
        <v/>
      </c>
      <c r="Q132" s="8" t="str">
        <f aca="true">IF(OR(N132="",G132&lt;=0),"",IF(N132&gt;=0,"",IF(COUNTIFS($B:$B,B132,$C:$C,"&gt;="&amp;(TODAY()-30),$C:$C,"&lt;="&amp;TODAY(),$A:$A,"&lt;&gt;"&amp;$A132)&gt;0,"Loss sale now = wash sale","OK to harvest loss")))</f>
        <v/>
      </c>
      <c r="R132" s="14" t="str">
        <f aca="false">IF(OR($A132="",N(F132)&lt;=0),"",SUMIFS(Transactions!$J:$J,Transactions!$O:$O,$A132,Transactions!$B:$B,"Sell shares")-E132*F132)</f>
        <v/>
      </c>
      <c r="S132" s="10" t="str">
        <f aca="false">IF(OR($A132="",N(F132)&lt;=0),"",_xlfn.MAXIFS(Transactions!$A:$A,Transactions!$O:$O,$A132,Transactions!$B:$B,"Sell shares"))</f>
        <v/>
      </c>
      <c r="T132" s="14" t="str">
        <f aca="false">IF(OR($A132="",E132=""),"",E132*G132)</f>
        <v/>
      </c>
    </row>
    <row r="133" customFormat="false" ht="15" hidden="false" customHeight="false" outlineLevel="0" collapsed="false">
      <c r="A133" s="21"/>
      <c r="B133" s="8" t="str">
        <f aca="false">IF($A133="","",IFERROR(INDEX(Transactions!$C:$C,MATCH($A133,Transactions!$O:$O,0)),""))</f>
        <v/>
      </c>
      <c r="C133" s="10" t="str">
        <f aca="false">IF($A133="","",IF(COUNTIFS(Transactions!$O:$O,$A133,Transactions!$B:$B,"Buy shares")=0,"",_xlfn.MINIFS(Transactions!$A:$A,Transactions!$O:$O,$A133,Transactions!$B:$B,"Buy shares")))</f>
        <v/>
      </c>
      <c r="D133" s="18" t="str">
        <f aca="false">IF($A133="","",SUMIFS(Transactions!$E:$E,Transactions!$O:$O,$A133,Transactions!$B:$B,"Buy shares"))</f>
        <v/>
      </c>
      <c r="E133" s="26" t="str">
        <f aca="false">IF($A133="","",IF(D133=0,"",-SUMIFS(Transactions!$J:$J,Transactions!$O:$O,$A133,Transactions!$B:$B,"Buy shares")/D133))</f>
        <v/>
      </c>
      <c r="F133" s="18" t="str">
        <f aca="false">IF($A133="","",-SUMIFS(Transactions!$E:$E,Transactions!$O:$O,$A133,Transactions!$B:$B,"Sell shares"))</f>
        <v/>
      </c>
      <c r="G133" s="18" t="str">
        <f aca="false">IF($A133="","",D133-F133)</f>
        <v/>
      </c>
      <c r="H133" s="14" t="str">
        <f aca="false">IF($A133="","",SUMIFS(Transactions!$J:$J,Transactions!$O:$O,$A133,Transactions!$B:$B,"Sell call")+SUMIFS(Transactions!$J:$J,Transactions!$O:$O,$A133,Transactions!$B:$B,"Buy to close"))</f>
        <v/>
      </c>
      <c r="I133" s="26" t="str">
        <f aca="false">IF(OR($A133="",E133=""),"",E133-H133/D133)</f>
        <v/>
      </c>
      <c r="J133" s="26" t="str">
        <f aca="false">IF($A133="","",IFERROR(INDEX(Positions!$K:$K,MATCH(B133,Positions!$B:$B,0)),""))</f>
        <v/>
      </c>
      <c r="K133" s="23"/>
      <c r="L133" s="26" t="str">
        <f aca="false">IF($A133="","",IF(K133&lt;&gt;"",K133,J133))</f>
        <v/>
      </c>
      <c r="M133" s="14" t="str">
        <f aca="false">IF(OR($A133="",L133=""),"",L133*G133)</f>
        <v/>
      </c>
      <c r="N133" s="14" t="str">
        <f aca="false">IF(OR(M133="",E133=""),"",(L133-E133)*G133)</f>
        <v/>
      </c>
      <c r="O133" s="8" t="str">
        <f aca="false">IF($A133="","",IF(G133&lt;=0,"Sold",IF((-SUMIFS(Transactions!$E:$E,Transactions!$O:$O,$A133,Transactions!$B:$B,"Sell call")-SUMIFS(Transactions!$E:$E,Transactions!$O:$O,$A133,Transactions!$B:$B,"Buy to close")-SUMIFS(Transactions!$E:$E,Transactions!$O:$O,$A133,Transactions!$B:$B,"Expired")-SUMIFS(Transactions!$E:$E,Transactions!$O:$O,$A133,Transactions!$B:$B,"Assigned"))&gt;0,"Covered","Free")))</f>
        <v/>
      </c>
      <c r="P133" s="26" t="str">
        <f aca="false">IF(OR(I133="",G133&lt;=0),"",CEILING(MAX(I133,N(L133)),IF(E133&lt;50,0.5,IF(E133&lt;200,1,5))))</f>
        <v/>
      </c>
      <c r="Q133" s="8" t="str">
        <f aca="true">IF(OR(N133="",G133&lt;=0),"",IF(N133&gt;=0,"",IF(COUNTIFS($B:$B,B133,$C:$C,"&gt;="&amp;(TODAY()-30),$C:$C,"&lt;="&amp;TODAY(),$A:$A,"&lt;&gt;"&amp;$A133)&gt;0,"Loss sale now = wash sale","OK to harvest loss")))</f>
        <v/>
      </c>
      <c r="R133" s="14" t="str">
        <f aca="false">IF(OR($A133="",N(F133)&lt;=0),"",SUMIFS(Transactions!$J:$J,Transactions!$O:$O,$A133,Transactions!$B:$B,"Sell shares")-E133*F133)</f>
        <v/>
      </c>
      <c r="S133" s="10" t="str">
        <f aca="false">IF(OR($A133="",N(F133)&lt;=0),"",_xlfn.MAXIFS(Transactions!$A:$A,Transactions!$O:$O,$A133,Transactions!$B:$B,"Sell shares"))</f>
        <v/>
      </c>
      <c r="T133" s="14" t="str">
        <f aca="false">IF(OR($A133="",E133=""),"",E133*G133)</f>
        <v/>
      </c>
    </row>
    <row r="134" customFormat="false" ht="15" hidden="false" customHeight="false" outlineLevel="0" collapsed="false">
      <c r="A134" s="21"/>
      <c r="B134" s="8" t="str">
        <f aca="false">IF($A134="","",IFERROR(INDEX(Transactions!$C:$C,MATCH($A134,Transactions!$O:$O,0)),""))</f>
        <v/>
      </c>
      <c r="C134" s="10" t="str">
        <f aca="false">IF($A134="","",IF(COUNTIFS(Transactions!$O:$O,$A134,Transactions!$B:$B,"Buy shares")=0,"",_xlfn.MINIFS(Transactions!$A:$A,Transactions!$O:$O,$A134,Transactions!$B:$B,"Buy shares")))</f>
        <v/>
      </c>
      <c r="D134" s="18" t="str">
        <f aca="false">IF($A134="","",SUMIFS(Transactions!$E:$E,Transactions!$O:$O,$A134,Transactions!$B:$B,"Buy shares"))</f>
        <v/>
      </c>
      <c r="E134" s="26" t="str">
        <f aca="false">IF($A134="","",IF(D134=0,"",-SUMIFS(Transactions!$J:$J,Transactions!$O:$O,$A134,Transactions!$B:$B,"Buy shares")/D134))</f>
        <v/>
      </c>
      <c r="F134" s="18" t="str">
        <f aca="false">IF($A134="","",-SUMIFS(Transactions!$E:$E,Transactions!$O:$O,$A134,Transactions!$B:$B,"Sell shares"))</f>
        <v/>
      </c>
      <c r="G134" s="18" t="str">
        <f aca="false">IF($A134="","",D134-F134)</f>
        <v/>
      </c>
      <c r="H134" s="14" t="str">
        <f aca="false">IF($A134="","",SUMIFS(Transactions!$J:$J,Transactions!$O:$O,$A134,Transactions!$B:$B,"Sell call")+SUMIFS(Transactions!$J:$J,Transactions!$O:$O,$A134,Transactions!$B:$B,"Buy to close"))</f>
        <v/>
      </c>
      <c r="I134" s="26" t="str">
        <f aca="false">IF(OR($A134="",E134=""),"",E134-H134/D134)</f>
        <v/>
      </c>
      <c r="J134" s="26" t="str">
        <f aca="false">IF($A134="","",IFERROR(INDEX(Positions!$K:$K,MATCH(B134,Positions!$B:$B,0)),""))</f>
        <v/>
      </c>
      <c r="K134" s="23"/>
      <c r="L134" s="26" t="str">
        <f aca="false">IF($A134="","",IF(K134&lt;&gt;"",K134,J134))</f>
        <v/>
      </c>
      <c r="M134" s="14" t="str">
        <f aca="false">IF(OR($A134="",L134=""),"",L134*G134)</f>
        <v/>
      </c>
      <c r="N134" s="14" t="str">
        <f aca="false">IF(OR(M134="",E134=""),"",(L134-E134)*G134)</f>
        <v/>
      </c>
      <c r="O134" s="8" t="str">
        <f aca="false">IF($A134="","",IF(G134&lt;=0,"Sold",IF((-SUMIFS(Transactions!$E:$E,Transactions!$O:$O,$A134,Transactions!$B:$B,"Sell call")-SUMIFS(Transactions!$E:$E,Transactions!$O:$O,$A134,Transactions!$B:$B,"Buy to close")-SUMIFS(Transactions!$E:$E,Transactions!$O:$O,$A134,Transactions!$B:$B,"Expired")-SUMIFS(Transactions!$E:$E,Transactions!$O:$O,$A134,Transactions!$B:$B,"Assigned"))&gt;0,"Covered","Free")))</f>
        <v/>
      </c>
      <c r="P134" s="26" t="str">
        <f aca="false">IF(OR(I134="",G134&lt;=0),"",CEILING(MAX(I134,N(L134)),IF(E134&lt;50,0.5,IF(E134&lt;200,1,5))))</f>
        <v/>
      </c>
      <c r="Q134" s="8" t="str">
        <f aca="true">IF(OR(N134="",G134&lt;=0),"",IF(N134&gt;=0,"",IF(COUNTIFS($B:$B,B134,$C:$C,"&gt;="&amp;(TODAY()-30),$C:$C,"&lt;="&amp;TODAY(),$A:$A,"&lt;&gt;"&amp;$A134)&gt;0,"Loss sale now = wash sale","OK to harvest loss")))</f>
        <v/>
      </c>
      <c r="R134" s="14" t="str">
        <f aca="false">IF(OR($A134="",N(F134)&lt;=0),"",SUMIFS(Transactions!$J:$J,Transactions!$O:$O,$A134,Transactions!$B:$B,"Sell shares")-E134*F134)</f>
        <v/>
      </c>
      <c r="S134" s="10" t="str">
        <f aca="false">IF(OR($A134="",N(F134)&lt;=0),"",_xlfn.MAXIFS(Transactions!$A:$A,Transactions!$O:$O,$A134,Transactions!$B:$B,"Sell shares"))</f>
        <v/>
      </c>
      <c r="T134" s="14" t="str">
        <f aca="false">IF(OR($A134="",E134=""),"",E134*G134)</f>
        <v/>
      </c>
    </row>
    <row r="135" customFormat="false" ht="15" hidden="false" customHeight="false" outlineLevel="0" collapsed="false">
      <c r="A135" s="21"/>
      <c r="B135" s="8" t="str">
        <f aca="false">IF($A135="","",IFERROR(INDEX(Transactions!$C:$C,MATCH($A135,Transactions!$O:$O,0)),""))</f>
        <v/>
      </c>
      <c r="C135" s="10" t="str">
        <f aca="false">IF($A135="","",IF(COUNTIFS(Transactions!$O:$O,$A135,Transactions!$B:$B,"Buy shares")=0,"",_xlfn.MINIFS(Transactions!$A:$A,Transactions!$O:$O,$A135,Transactions!$B:$B,"Buy shares")))</f>
        <v/>
      </c>
      <c r="D135" s="18" t="str">
        <f aca="false">IF($A135="","",SUMIFS(Transactions!$E:$E,Transactions!$O:$O,$A135,Transactions!$B:$B,"Buy shares"))</f>
        <v/>
      </c>
      <c r="E135" s="26" t="str">
        <f aca="false">IF($A135="","",IF(D135=0,"",-SUMIFS(Transactions!$J:$J,Transactions!$O:$O,$A135,Transactions!$B:$B,"Buy shares")/D135))</f>
        <v/>
      </c>
      <c r="F135" s="18" t="str">
        <f aca="false">IF($A135="","",-SUMIFS(Transactions!$E:$E,Transactions!$O:$O,$A135,Transactions!$B:$B,"Sell shares"))</f>
        <v/>
      </c>
      <c r="G135" s="18" t="str">
        <f aca="false">IF($A135="","",D135-F135)</f>
        <v/>
      </c>
      <c r="H135" s="14" t="str">
        <f aca="false">IF($A135="","",SUMIFS(Transactions!$J:$J,Transactions!$O:$O,$A135,Transactions!$B:$B,"Sell call")+SUMIFS(Transactions!$J:$J,Transactions!$O:$O,$A135,Transactions!$B:$B,"Buy to close"))</f>
        <v/>
      </c>
      <c r="I135" s="26" t="str">
        <f aca="false">IF(OR($A135="",E135=""),"",E135-H135/D135)</f>
        <v/>
      </c>
      <c r="J135" s="26" t="str">
        <f aca="false">IF($A135="","",IFERROR(INDEX(Positions!$K:$K,MATCH(B135,Positions!$B:$B,0)),""))</f>
        <v/>
      </c>
      <c r="K135" s="23"/>
      <c r="L135" s="26" t="str">
        <f aca="false">IF($A135="","",IF(K135&lt;&gt;"",K135,J135))</f>
        <v/>
      </c>
      <c r="M135" s="14" t="str">
        <f aca="false">IF(OR($A135="",L135=""),"",L135*G135)</f>
        <v/>
      </c>
      <c r="N135" s="14" t="str">
        <f aca="false">IF(OR(M135="",E135=""),"",(L135-E135)*G135)</f>
        <v/>
      </c>
      <c r="O135" s="8" t="str">
        <f aca="false">IF($A135="","",IF(G135&lt;=0,"Sold",IF((-SUMIFS(Transactions!$E:$E,Transactions!$O:$O,$A135,Transactions!$B:$B,"Sell call")-SUMIFS(Transactions!$E:$E,Transactions!$O:$O,$A135,Transactions!$B:$B,"Buy to close")-SUMIFS(Transactions!$E:$E,Transactions!$O:$O,$A135,Transactions!$B:$B,"Expired")-SUMIFS(Transactions!$E:$E,Transactions!$O:$O,$A135,Transactions!$B:$B,"Assigned"))&gt;0,"Covered","Free")))</f>
        <v/>
      </c>
      <c r="P135" s="26" t="str">
        <f aca="false">IF(OR(I135="",G135&lt;=0),"",CEILING(MAX(I135,N(L135)),IF(E135&lt;50,0.5,IF(E135&lt;200,1,5))))</f>
        <v/>
      </c>
      <c r="Q135" s="8" t="str">
        <f aca="true">IF(OR(N135="",G135&lt;=0),"",IF(N135&gt;=0,"",IF(COUNTIFS($B:$B,B135,$C:$C,"&gt;="&amp;(TODAY()-30),$C:$C,"&lt;="&amp;TODAY(),$A:$A,"&lt;&gt;"&amp;$A135)&gt;0,"Loss sale now = wash sale","OK to harvest loss")))</f>
        <v/>
      </c>
      <c r="R135" s="14" t="str">
        <f aca="false">IF(OR($A135="",N(F135)&lt;=0),"",SUMIFS(Transactions!$J:$J,Transactions!$O:$O,$A135,Transactions!$B:$B,"Sell shares")-E135*F135)</f>
        <v/>
      </c>
      <c r="S135" s="10" t="str">
        <f aca="false">IF(OR($A135="",N(F135)&lt;=0),"",_xlfn.MAXIFS(Transactions!$A:$A,Transactions!$O:$O,$A135,Transactions!$B:$B,"Sell shares"))</f>
        <v/>
      </c>
      <c r="T135" s="14" t="str">
        <f aca="false">IF(OR($A135="",E135=""),"",E135*G135)</f>
        <v/>
      </c>
    </row>
    <row r="136" customFormat="false" ht="15" hidden="false" customHeight="false" outlineLevel="0" collapsed="false">
      <c r="A136" s="21"/>
      <c r="B136" s="8" t="str">
        <f aca="false">IF($A136="","",IFERROR(INDEX(Transactions!$C:$C,MATCH($A136,Transactions!$O:$O,0)),""))</f>
        <v/>
      </c>
      <c r="C136" s="10" t="str">
        <f aca="false">IF($A136="","",IF(COUNTIFS(Transactions!$O:$O,$A136,Transactions!$B:$B,"Buy shares")=0,"",_xlfn.MINIFS(Transactions!$A:$A,Transactions!$O:$O,$A136,Transactions!$B:$B,"Buy shares")))</f>
        <v/>
      </c>
      <c r="D136" s="18" t="str">
        <f aca="false">IF($A136="","",SUMIFS(Transactions!$E:$E,Transactions!$O:$O,$A136,Transactions!$B:$B,"Buy shares"))</f>
        <v/>
      </c>
      <c r="E136" s="26" t="str">
        <f aca="false">IF($A136="","",IF(D136=0,"",-SUMIFS(Transactions!$J:$J,Transactions!$O:$O,$A136,Transactions!$B:$B,"Buy shares")/D136))</f>
        <v/>
      </c>
      <c r="F136" s="18" t="str">
        <f aca="false">IF($A136="","",-SUMIFS(Transactions!$E:$E,Transactions!$O:$O,$A136,Transactions!$B:$B,"Sell shares"))</f>
        <v/>
      </c>
      <c r="G136" s="18" t="str">
        <f aca="false">IF($A136="","",D136-F136)</f>
        <v/>
      </c>
      <c r="H136" s="14" t="str">
        <f aca="false">IF($A136="","",SUMIFS(Transactions!$J:$J,Transactions!$O:$O,$A136,Transactions!$B:$B,"Sell call")+SUMIFS(Transactions!$J:$J,Transactions!$O:$O,$A136,Transactions!$B:$B,"Buy to close"))</f>
        <v/>
      </c>
      <c r="I136" s="26" t="str">
        <f aca="false">IF(OR($A136="",E136=""),"",E136-H136/D136)</f>
        <v/>
      </c>
      <c r="J136" s="26" t="str">
        <f aca="false">IF($A136="","",IFERROR(INDEX(Positions!$K:$K,MATCH(B136,Positions!$B:$B,0)),""))</f>
        <v/>
      </c>
      <c r="K136" s="23"/>
      <c r="L136" s="26" t="str">
        <f aca="false">IF($A136="","",IF(K136&lt;&gt;"",K136,J136))</f>
        <v/>
      </c>
      <c r="M136" s="14" t="str">
        <f aca="false">IF(OR($A136="",L136=""),"",L136*G136)</f>
        <v/>
      </c>
      <c r="N136" s="14" t="str">
        <f aca="false">IF(OR(M136="",E136=""),"",(L136-E136)*G136)</f>
        <v/>
      </c>
      <c r="O136" s="8" t="str">
        <f aca="false">IF($A136="","",IF(G136&lt;=0,"Sold",IF((-SUMIFS(Transactions!$E:$E,Transactions!$O:$O,$A136,Transactions!$B:$B,"Sell call")-SUMIFS(Transactions!$E:$E,Transactions!$O:$O,$A136,Transactions!$B:$B,"Buy to close")-SUMIFS(Transactions!$E:$E,Transactions!$O:$O,$A136,Transactions!$B:$B,"Expired")-SUMIFS(Transactions!$E:$E,Transactions!$O:$O,$A136,Transactions!$B:$B,"Assigned"))&gt;0,"Covered","Free")))</f>
        <v/>
      </c>
      <c r="P136" s="26" t="str">
        <f aca="false">IF(OR(I136="",G136&lt;=0),"",CEILING(MAX(I136,N(L136)),IF(E136&lt;50,0.5,IF(E136&lt;200,1,5))))</f>
        <v/>
      </c>
      <c r="Q136" s="8" t="str">
        <f aca="true">IF(OR(N136="",G136&lt;=0),"",IF(N136&gt;=0,"",IF(COUNTIFS($B:$B,B136,$C:$C,"&gt;="&amp;(TODAY()-30),$C:$C,"&lt;="&amp;TODAY(),$A:$A,"&lt;&gt;"&amp;$A136)&gt;0,"Loss sale now = wash sale","OK to harvest loss")))</f>
        <v/>
      </c>
      <c r="R136" s="14" t="str">
        <f aca="false">IF(OR($A136="",N(F136)&lt;=0),"",SUMIFS(Transactions!$J:$J,Transactions!$O:$O,$A136,Transactions!$B:$B,"Sell shares")-E136*F136)</f>
        <v/>
      </c>
      <c r="S136" s="10" t="str">
        <f aca="false">IF(OR($A136="",N(F136)&lt;=0),"",_xlfn.MAXIFS(Transactions!$A:$A,Transactions!$O:$O,$A136,Transactions!$B:$B,"Sell shares"))</f>
        <v/>
      </c>
      <c r="T136" s="14" t="str">
        <f aca="false">IF(OR($A136="",E136=""),"",E136*G136)</f>
        <v/>
      </c>
    </row>
    <row r="137" customFormat="false" ht="15" hidden="false" customHeight="false" outlineLevel="0" collapsed="false">
      <c r="A137" s="21"/>
      <c r="B137" s="8" t="str">
        <f aca="false">IF($A137="","",IFERROR(INDEX(Transactions!$C:$C,MATCH($A137,Transactions!$O:$O,0)),""))</f>
        <v/>
      </c>
      <c r="C137" s="10" t="str">
        <f aca="false">IF($A137="","",IF(COUNTIFS(Transactions!$O:$O,$A137,Transactions!$B:$B,"Buy shares")=0,"",_xlfn.MINIFS(Transactions!$A:$A,Transactions!$O:$O,$A137,Transactions!$B:$B,"Buy shares")))</f>
        <v/>
      </c>
      <c r="D137" s="18" t="str">
        <f aca="false">IF($A137="","",SUMIFS(Transactions!$E:$E,Transactions!$O:$O,$A137,Transactions!$B:$B,"Buy shares"))</f>
        <v/>
      </c>
      <c r="E137" s="26" t="str">
        <f aca="false">IF($A137="","",IF(D137=0,"",-SUMIFS(Transactions!$J:$J,Transactions!$O:$O,$A137,Transactions!$B:$B,"Buy shares")/D137))</f>
        <v/>
      </c>
      <c r="F137" s="18" t="str">
        <f aca="false">IF($A137="","",-SUMIFS(Transactions!$E:$E,Transactions!$O:$O,$A137,Transactions!$B:$B,"Sell shares"))</f>
        <v/>
      </c>
      <c r="G137" s="18" t="str">
        <f aca="false">IF($A137="","",D137-F137)</f>
        <v/>
      </c>
      <c r="H137" s="14" t="str">
        <f aca="false">IF($A137="","",SUMIFS(Transactions!$J:$J,Transactions!$O:$O,$A137,Transactions!$B:$B,"Sell call")+SUMIFS(Transactions!$J:$J,Transactions!$O:$O,$A137,Transactions!$B:$B,"Buy to close"))</f>
        <v/>
      </c>
      <c r="I137" s="26" t="str">
        <f aca="false">IF(OR($A137="",E137=""),"",E137-H137/D137)</f>
        <v/>
      </c>
      <c r="J137" s="26" t="str">
        <f aca="false">IF($A137="","",IFERROR(INDEX(Positions!$K:$K,MATCH(B137,Positions!$B:$B,0)),""))</f>
        <v/>
      </c>
      <c r="K137" s="23"/>
      <c r="L137" s="26" t="str">
        <f aca="false">IF($A137="","",IF(K137&lt;&gt;"",K137,J137))</f>
        <v/>
      </c>
      <c r="M137" s="14" t="str">
        <f aca="false">IF(OR($A137="",L137=""),"",L137*G137)</f>
        <v/>
      </c>
      <c r="N137" s="14" t="str">
        <f aca="false">IF(OR(M137="",E137=""),"",(L137-E137)*G137)</f>
        <v/>
      </c>
      <c r="O137" s="8" t="str">
        <f aca="false">IF($A137="","",IF(G137&lt;=0,"Sold",IF((-SUMIFS(Transactions!$E:$E,Transactions!$O:$O,$A137,Transactions!$B:$B,"Sell call")-SUMIFS(Transactions!$E:$E,Transactions!$O:$O,$A137,Transactions!$B:$B,"Buy to close")-SUMIFS(Transactions!$E:$E,Transactions!$O:$O,$A137,Transactions!$B:$B,"Expired")-SUMIFS(Transactions!$E:$E,Transactions!$O:$O,$A137,Transactions!$B:$B,"Assigned"))&gt;0,"Covered","Free")))</f>
        <v/>
      </c>
      <c r="P137" s="26" t="str">
        <f aca="false">IF(OR(I137="",G137&lt;=0),"",CEILING(MAX(I137,N(L137)),IF(E137&lt;50,0.5,IF(E137&lt;200,1,5))))</f>
        <v/>
      </c>
      <c r="Q137" s="8" t="str">
        <f aca="true">IF(OR(N137="",G137&lt;=0),"",IF(N137&gt;=0,"",IF(COUNTIFS($B:$B,B137,$C:$C,"&gt;="&amp;(TODAY()-30),$C:$C,"&lt;="&amp;TODAY(),$A:$A,"&lt;&gt;"&amp;$A137)&gt;0,"Loss sale now = wash sale","OK to harvest loss")))</f>
        <v/>
      </c>
      <c r="R137" s="14" t="str">
        <f aca="false">IF(OR($A137="",N(F137)&lt;=0),"",SUMIFS(Transactions!$J:$J,Transactions!$O:$O,$A137,Transactions!$B:$B,"Sell shares")-E137*F137)</f>
        <v/>
      </c>
      <c r="S137" s="10" t="str">
        <f aca="false">IF(OR($A137="",N(F137)&lt;=0),"",_xlfn.MAXIFS(Transactions!$A:$A,Transactions!$O:$O,$A137,Transactions!$B:$B,"Sell shares"))</f>
        <v/>
      </c>
      <c r="T137" s="14" t="str">
        <f aca="false">IF(OR($A137="",E137=""),"",E137*G137)</f>
        <v/>
      </c>
    </row>
    <row r="138" customFormat="false" ht="15" hidden="false" customHeight="false" outlineLevel="0" collapsed="false">
      <c r="A138" s="21"/>
      <c r="B138" s="8" t="str">
        <f aca="false">IF($A138="","",IFERROR(INDEX(Transactions!$C:$C,MATCH($A138,Transactions!$O:$O,0)),""))</f>
        <v/>
      </c>
      <c r="C138" s="10" t="str">
        <f aca="false">IF($A138="","",IF(COUNTIFS(Transactions!$O:$O,$A138,Transactions!$B:$B,"Buy shares")=0,"",_xlfn.MINIFS(Transactions!$A:$A,Transactions!$O:$O,$A138,Transactions!$B:$B,"Buy shares")))</f>
        <v/>
      </c>
      <c r="D138" s="18" t="str">
        <f aca="false">IF($A138="","",SUMIFS(Transactions!$E:$E,Transactions!$O:$O,$A138,Transactions!$B:$B,"Buy shares"))</f>
        <v/>
      </c>
      <c r="E138" s="26" t="str">
        <f aca="false">IF($A138="","",IF(D138=0,"",-SUMIFS(Transactions!$J:$J,Transactions!$O:$O,$A138,Transactions!$B:$B,"Buy shares")/D138))</f>
        <v/>
      </c>
      <c r="F138" s="18" t="str">
        <f aca="false">IF($A138="","",-SUMIFS(Transactions!$E:$E,Transactions!$O:$O,$A138,Transactions!$B:$B,"Sell shares"))</f>
        <v/>
      </c>
      <c r="G138" s="18" t="str">
        <f aca="false">IF($A138="","",D138-F138)</f>
        <v/>
      </c>
      <c r="H138" s="14" t="str">
        <f aca="false">IF($A138="","",SUMIFS(Transactions!$J:$J,Transactions!$O:$O,$A138,Transactions!$B:$B,"Sell call")+SUMIFS(Transactions!$J:$J,Transactions!$O:$O,$A138,Transactions!$B:$B,"Buy to close"))</f>
        <v/>
      </c>
      <c r="I138" s="26" t="str">
        <f aca="false">IF(OR($A138="",E138=""),"",E138-H138/D138)</f>
        <v/>
      </c>
      <c r="J138" s="26" t="str">
        <f aca="false">IF($A138="","",IFERROR(INDEX(Positions!$K:$K,MATCH(B138,Positions!$B:$B,0)),""))</f>
        <v/>
      </c>
      <c r="K138" s="23"/>
      <c r="L138" s="26" t="str">
        <f aca="false">IF($A138="","",IF(K138&lt;&gt;"",K138,J138))</f>
        <v/>
      </c>
      <c r="M138" s="14" t="str">
        <f aca="false">IF(OR($A138="",L138=""),"",L138*G138)</f>
        <v/>
      </c>
      <c r="N138" s="14" t="str">
        <f aca="false">IF(OR(M138="",E138=""),"",(L138-E138)*G138)</f>
        <v/>
      </c>
      <c r="O138" s="8" t="str">
        <f aca="false">IF($A138="","",IF(G138&lt;=0,"Sold",IF((-SUMIFS(Transactions!$E:$E,Transactions!$O:$O,$A138,Transactions!$B:$B,"Sell call")-SUMIFS(Transactions!$E:$E,Transactions!$O:$O,$A138,Transactions!$B:$B,"Buy to close")-SUMIFS(Transactions!$E:$E,Transactions!$O:$O,$A138,Transactions!$B:$B,"Expired")-SUMIFS(Transactions!$E:$E,Transactions!$O:$O,$A138,Transactions!$B:$B,"Assigned"))&gt;0,"Covered","Free")))</f>
        <v/>
      </c>
      <c r="P138" s="26" t="str">
        <f aca="false">IF(OR(I138="",G138&lt;=0),"",CEILING(MAX(I138,N(L138)),IF(E138&lt;50,0.5,IF(E138&lt;200,1,5))))</f>
        <v/>
      </c>
      <c r="Q138" s="8" t="str">
        <f aca="true">IF(OR(N138="",G138&lt;=0),"",IF(N138&gt;=0,"",IF(COUNTIFS($B:$B,B138,$C:$C,"&gt;="&amp;(TODAY()-30),$C:$C,"&lt;="&amp;TODAY(),$A:$A,"&lt;&gt;"&amp;$A138)&gt;0,"Loss sale now = wash sale","OK to harvest loss")))</f>
        <v/>
      </c>
      <c r="R138" s="14" t="str">
        <f aca="false">IF(OR($A138="",N(F138)&lt;=0),"",SUMIFS(Transactions!$J:$J,Transactions!$O:$O,$A138,Transactions!$B:$B,"Sell shares")-E138*F138)</f>
        <v/>
      </c>
      <c r="S138" s="10" t="str">
        <f aca="false">IF(OR($A138="",N(F138)&lt;=0),"",_xlfn.MAXIFS(Transactions!$A:$A,Transactions!$O:$O,$A138,Transactions!$B:$B,"Sell shares"))</f>
        <v/>
      </c>
      <c r="T138" s="14" t="str">
        <f aca="false">IF(OR($A138="",E138=""),"",E138*G138)</f>
        <v/>
      </c>
    </row>
    <row r="139" customFormat="false" ht="15" hidden="false" customHeight="false" outlineLevel="0" collapsed="false">
      <c r="A139" s="21"/>
      <c r="B139" s="8" t="str">
        <f aca="false">IF($A139="","",IFERROR(INDEX(Transactions!$C:$C,MATCH($A139,Transactions!$O:$O,0)),""))</f>
        <v/>
      </c>
      <c r="C139" s="10" t="str">
        <f aca="false">IF($A139="","",IF(COUNTIFS(Transactions!$O:$O,$A139,Transactions!$B:$B,"Buy shares")=0,"",_xlfn.MINIFS(Transactions!$A:$A,Transactions!$O:$O,$A139,Transactions!$B:$B,"Buy shares")))</f>
        <v/>
      </c>
      <c r="D139" s="18" t="str">
        <f aca="false">IF($A139="","",SUMIFS(Transactions!$E:$E,Transactions!$O:$O,$A139,Transactions!$B:$B,"Buy shares"))</f>
        <v/>
      </c>
      <c r="E139" s="26" t="str">
        <f aca="false">IF($A139="","",IF(D139=0,"",-SUMIFS(Transactions!$J:$J,Transactions!$O:$O,$A139,Transactions!$B:$B,"Buy shares")/D139))</f>
        <v/>
      </c>
      <c r="F139" s="18" t="str">
        <f aca="false">IF($A139="","",-SUMIFS(Transactions!$E:$E,Transactions!$O:$O,$A139,Transactions!$B:$B,"Sell shares"))</f>
        <v/>
      </c>
      <c r="G139" s="18" t="str">
        <f aca="false">IF($A139="","",D139-F139)</f>
        <v/>
      </c>
      <c r="H139" s="14" t="str">
        <f aca="false">IF($A139="","",SUMIFS(Transactions!$J:$J,Transactions!$O:$O,$A139,Transactions!$B:$B,"Sell call")+SUMIFS(Transactions!$J:$J,Transactions!$O:$O,$A139,Transactions!$B:$B,"Buy to close"))</f>
        <v/>
      </c>
      <c r="I139" s="26" t="str">
        <f aca="false">IF(OR($A139="",E139=""),"",E139-H139/D139)</f>
        <v/>
      </c>
      <c r="J139" s="26" t="str">
        <f aca="false">IF($A139="","",IFERROR(INDEX(Positions!$K:$K,MATCH(B139,Positions!$B:$B,0)),""))</f>
        <v/>
      </c>
      <c r="K139" s="23"/>
      <c r="L139" s="26" t="str">
        <f aca="false">IF($A139="","",IF(K139&lt;&gt;"",K139,J139))</f>
        <v/>
      </c>
      <c r="M139" s="14" t="str">
        <f aca="false">IF(OR($A139="",L139=""),"",L139*G139)</f>
        <v/>
      </c>
      <c r="N139" s="14" t="str">
        <f aca="false">IF(OR(M139="",E139=""),"",(L139-E139)*G139)</f>
        <v/>
      </c>
      <c r="O139" s="8" t="str">
        <f aca="false">IF($A139="","",IF(G139&lt;=0,"Sold",IF((-SUMIFS(Transactions!$E:$E,Transactions!$O:$O,$A139,Transactions!$B:$B,"Sell call")-SUMIFS(Transactions!$E:$E,Transactions!$O:$O,$A139,Transactions!$B:$B,"Buy to close")-SUMIFS(Transactions!$E:$E,Transactions!$O:$O,$A139,Transactions!$B:$B,"Expired")-SUMIFS(Transactions!$E:$E,Transactions!$O:$O,$A139,Transactions!$B:$B,"Assigned"))&gt;0,"Covered","Free")))</f>
        <v/>
      </c>
      <c r="P139" s="26" t="str">
        <f aca="false">IF(OR(I139="",G139&lt;=0),"",CEILING(MAX(I139,N(L139)),IF(E139&lt;50,0.5,IF(E139&lt;200,1,5))))</f>
        <v/>
      </c>
      <c r="Q139" s="8" t="str">
        <f aca="true">IF(OR(N139="",G139&lt;=0),"",IF(N139&gt;=0,"",IF(COUNTIFS($B:$B,B139,$C:$C,"&gt;="&amp;(TODAY()-30),$C:$C,"&lt;="&amp;TODAY(),$A:$A,"&lt;&gt;"&amp;$A139)&gt;0,"Loss sale now = wash sale","OK to harvest loss")))</f>
        <v/>
      </c>
      <c r="R139" s="14" t="str">
        <f aca="false">IF(OR($A139="",N(F139)&lt;=0),"",SUMIFS(Transactions!$J:$J,Transactions!$O:$O,$A139,Transactions!$B:$B,"Sell shares")-E139*F139)</f>
        <v/>
      </c>
      <c r="S139" s="10" t="str">
        <f aca="false">IF(OR($A139="",N(F139)&lt;=0),"",_xlfn.MAXIFS(Transactions!$A:$A,Transactions!$O:$O,$A139,Transactions!$B:$B,"Sell shares"))</f>
        <v/>
      </c>
      <c r="T139" s="14" t="str">
        <f aca="false">IF(OR($A139="",E139=""),"",E139*G139)</f>
        <v/>
      </c>
    </row>
    <row r="140" customFormat="false" ht="15" hidden="false" customHeight="false" outlineLevel="0" collapsed="false">
      <c r="A140" s="21"/>
      <c r="B140" s="8" t="str">
        <f aca="false">IF($A140="","",IFERROR(INDEX(Transactions!$C:$C,MATCH($A140,Transactions!$O:$O,0)),""))</f>
        <v/>
      </c>
      <c r="C140" s="10" t="str">
        <f aca="false">IF($A140="","",IF(COUNTIFS(Transactions!$O:$O,$A140,Transactions!$B:$B,"Buy shares")=0,"",_xlfn.MINIFS(Transactions!$A:$A,Transactions!$O:$O,$A140,Transactions!$B:$B,"Buy shares")))</f>
        <v/>
      </c>
      <c r="D140" s="18" t="str">
        <f aca="false">IF($A140="","",SUMIFS(Transactions!$E:$E,Transactions!$O:$O,$A140,Transactions!$B:$B,"Buy shares"))</f>
        <v/>
      </c>
      <c r="E140" s="26" t="str">
        <f aca="false">IF($A140="","",IF(D140=0,"",-SUMIFS(Transactions!$J:$J,Transactions!$O:$O,$A140,Transactions!$B:$B,"Buy shares")/D140))</f>
        <v/>
      </c>
      <c r="F140" s="18" t="str">
        <f aca="false">IF($A140="","",-SUMIFS(Transactions!$E:$E,Transactions!$O:$O,$A140,Transactions!$B:$B,"Sell shares"))</f>
        <v/>
      </c>
      <c r="G140" s="18" t="str">
        <f aca="false">IF($A140="","",D140-F140)</f>
        <v/>
      </c>
      <c r="H140" s="14" t="str">
        <f aca="false">IF($A140="","",SUMIFS(Transactions!$J:$J,Transactions!$O:$O,$A140,Transactions!$B:$B,"Sell call")+SUMIFS(Transactions!$J:$J,Transactions!$O:$O,$A140,Transactions!$B:$B,"Buy to close"))</f>
        <v/>
      </c>
      <c r="I140" s="26" t="str">
        <f aca="false">IF(OR($A140="",E140=""),"",E140-H140/D140)</f>
        <v/>
      </c>
      <c r="J140" s="26" t="str">
        <f aca="false">IF($A140="","",IFERROR(INDEX(Positions!$K:$K,MATCH(B140,Positions!$B:$B,0)),""))</f>
        <v/>
      </c>
      <c r="K140" s="23"/>
      <c r="L140" s="26" t="str">
        <f aca="false">IF($A140="","",IF(K140&lt;&gt;"",K140,J140))</f>
        <v/>
      </c>
      <c r="M140" s="14" t="str">
        <f aca="false">IF(OR($A140="",L140=""),"",L140*G140)</f>
        <v/>
      </c>
      <c r="N140" s="14" t="str">
        <f aca="false">IF(OR(M140="",E140=""),"",(L140-E140)*G140)</f>
        <v/>
      </c>
      <c r="O140" s="8" t="str">
        <f aca="false">IF($A140="","",IF(G140&lt;=0,"Sold",IF((-SUMIFS(Transactions!$E:$E,Transactions!$O:$O,$A140,Transactions!$B:$B,"Sell call")-SUMIFS(Transactions!$E:$E,Transactions!$O:$O,$A140,Transactions!$B:$B,"Buy to close")-SUMIFS(Transactions!$E:$E,Transactions!$O:$O,$A140,Transactions!$B:$B,"Expired")-SUMIFS(Transactions!$E:$E,Transactions!$O:$O,$A140,Transactions!$B:$B,"Assigned"))&gt;0,"Covered","Free")))</f>
        <v/>
      </c>
      <c r="P140" s="26" t="str">
        <f aca="false">IF(OR(I140="",G140&lt;=0),"",CEILING(MAX(I140,N(L140)),IF(E140&lt;50,0.5,IF(E140&lt;200,1,5))))</f>
        <v/>
      </c>
      <c r="Q140" s="8" t="str">
        <f aca="true">IF(OR(N140="",G140&lt;=0),"",IF(N140&gt;=0,"",IF(COUNTIFS($B:$B,B140,$C:$C,"&gt;="&amp;(TODAY()-30),$C:$C,"&lt;="&amp;TODAY(),$A:$A,"&lt;&gt;"&amp;$A140)&gt;0,"Loss sale now = wash sale","OK to harvest loss")))</f>
        <v/>
      </c>
      <c r="R140" s="14" t="str">
        <f aca="false">IF(OR($A140="",N(F140)&lt;=0),"",SUMIFS(Transactions!$J:$J,Transactions!$O:$O,$A140,Transactions!$B:$B,"Sell shares")-E140*F140)</f>
        <v/>
      </c>
      <c r="S140" s="10" t="str">
        <f aca="false">IF(OR($A140="",N(F140)&lt;=0),"",_xlfn.MAXIFS(Transactions!$A:$A,Transactions!$O:$O,$A140,Transactions!$B:$B,"Sell shares"))</f>
        <v/>
      </c>
      <c r="T140" s="14" t="str">
        <f aca="false">IF(OR($A140="",E140=""),"",E140*G140)</f>
        <v/>
      </c>
    </row>
    <row r="141" customFormat="false" ht="15" hidden="false" customHeight="false" outlineLevel="0" collapsed="false">
      <c r="A141" s="21"/>
      <c r="B141" s="8" t="str">
        <f aca="false">IF($A141="","",IFERROR(INDEX(Transactions!$C:$C,MATCH($A141,Transactions!$O:$O,0)),""))</f>
        <v/>
      </c>
      <c r="C141" s="10" t="str">
        <f aca="false">IF($A141="","",IF(COUNTIFS(Transactions!$O:$O,$A141,Transactions!$B:$B,"Buy shares")=0,"",_xlfn.MINIFS(Transactions!$A:$A,Transactions!$O:$O,$A141,Transactions!$B:$B,"Buy shares")))</f>
        <v/>
      </c>
      <c r="D141" s="18" t="str">
        <f aca="false">IF($A141="","",SUMIFS(Transactions!$E:$E,Transactions!$O:$O,$A141,Transactions!$B:$B,"Buy shares"))</f>
        <v/>
      </c>
      <c r="E141" s="26" t="str">
        <f aca="false">IF($A141="","",IF(D141=0,"",-SUMIFS(Transactions!$J:$J,Transactions!$O:$O,$A141,Transactions!$B:$B,"Buy shares")/D141))</f>
        <v/>
      </c>
      <c r="F141" s="18" t="str">
        <f aca="false">IF($A141="","",-SUMIFS(Transactions!$E:$E,Transactions!$O:$O,$A141,Transactions!$B:$B,"Sell shares"))</f>
        <v/>
      </c>
      <c r="G141" s="18" t="str">
        <f aca="false">IF($A141="","",D141-F141)</f>
        <v/>
      </c>
      <c r="H141" s="14" t="str">
        <f aca="false">IF($A141="","",SUMIFS(Transactions!$J:$J,Transactions!$O:$O,$A141,Transactions!$B:$B,"Sell call")+SUMIFS(Transactions!$J:$J,Transactions!$O:$O,$A141,Transactions!$B:$B,"Buy to close"))</f>
        <v/>
      </c>
      <c r="I141" s="26" t="str">
        <f aca="false">IF(OR($A141="",E141=""),"",E141-H141/D141)</f>
        <v/>
      </c>
      <c r="J141" s="26" t="str">
        <f aca="false">IF($A141="","",IFERROR(INDEX(Positions!$K:$K,MATCH(B141,Positions!$B:$B,0)),""))</f>
        <v/>
      </c>
      <c r="K141" s="23"/>
      <c r="L141" s="26" t="str">
        <f aca="false">IF($A141="","",IF(K141&lt;&gt;"",K141,J141))</f>
        <v/>
      </c>
      <c r="M141" s="14" t="str">
        <f aca="false">IF(OR($A141="",L141=""),"",L141*G141)</f>
        <v/>
      </c>
      <c r="N141" s="14" t="str">
        <f aca="false">IF(OR(M141="",E141=""),"",(L141-E141)*G141)</f>
        <v/>
      </c>
      <c r="O141" s="8" t="str">
        <f aca="false">IF($A141="","",IF(G141&lt;=0,"Sold",IF((-SUMIFS(Transactions!$E:$E,Transactions!$O:$O,$A141,Transactions!$B:$B,"Sell call")-SUMIFS(Transactions!$E:$E,Transactions!$O:$O,$A141,Transactions!$B:$B,"Buy to close")-SUMIFS(Transactions!$E:$E,Transactions!$O:$O,$A141,Transactions!$B:$B,"Expired")-SUMIFS(Transactions!$E:$E,Transactions!$O:$O,$A141,Transactions!$B:$B,"Assigned"))&gt;0,"Covered","Free")))</f>
        <v/>
      </c>
      <c r="P141" s="26" t="str">
        <f aca="false">IF(OR(I141="",G141&lt;=0),"",CEILING(MAX(I141,N(L141)),IF(E141&lt;50,0.5,IF(E141&lt;200,1,5))))</f>
        <v/>
      </c>
      <c r="Q141" s="8" t="str">
        <f aca="true">IF(OR(N141="",G141&lt;=0),"",IF(N141&gt;=0,"",IF(COUNTIFS($B:$B,B141,$C:$C,"&gt;="&amp;(TODAY()-30),$C:$C,"&lt;="&amp;TODAY(),$A:$A,"&lt;&gt;"&amp;$A141)&gt;0,"Loss sale now = wash sale","OK to harvest loss")))</f>
        <v/>
      </c>
      <c r="R141" s="14" t="str">
        <f aca="false">IF(OR($A141="",N(F141)&lt;=0),"",SUMIFS(Transactions!$J:$J,Transactions!$O:$O,$A141,Transactions!$B:$B,"Sell shares")-E141*F141)</f>
        <v/>
      </c>
      <c r="S141" s="10" t="str">
        <f aca="false">IF(OR($A141="",N(F141)&lt;=0),"",_xlfn.MAXIFS(Transactions!$A:$A,Transactions!$O:$O,$A141,Transactions!$B:$B,"Sell shares"))</f>
        <v/>
      </c>
      <c r="T141" s="14" t="str">
        <f aca="false">IF(OR($A141="",E141=""),"",E141*G141)</f>
        <v/>
      </c>
    </row>
    <row r="142" customFormat="false" ht="15" hidden="false" customHeight="false" outlineLevel="0" collapsed="false">
      <c r="A142" s="21"/>
      <c r="B142" s="8" t="str">
        <f aca="false">IF($A142="","",IFERROR(INDEX(Transactions!$C:$C,MATCH($A142,Transactions!$O:$O,0)),""))</f>
        <v/>
      </c>
      <c r="C142" s="10" t="str">
        <f aca="false">IF($A142="","",IF(COUNTIFS(Transactions!$O:$O,$A142,Transactions!$B:$B,"Buy shares")=0,"",_xlfn.MINIFS(Transactions!$A:$A,Transactions!$O:$O,$A142,Transactions!$B:$B,"Buy shares")))</f>
        <v/>
      </c>
      <c r="D142" s="18" t="str">
        <f aca="false">IF($A142="","",SUMIFS(Transactions!$E:$E,Transactions!$O:$O,$A142,Transactions!$B:$B,"Buy shares"))</f>
        <v/>
      </c>
      <c r="E142" s="26" t="str">
        <f aca="false">IF($A142="","",IF(D142=0,"",-SUMIFS(Transactions!$J:$J,Transactions!$O:$O,$A142,Transactions!$B:$B,"Buy shares")/D142))</f>
        <v/>
      </c>
      <c r="F142" s="18" t="str">
        <f aca="false">IF($A142="","",-SUMIFS(Transactions!$E:$E,Transactions!$O:$O,$A142,Transactions!$B:$B,"Sell shares"))</f>
        <v/>
      </c>
      <c r="G142" s="18" t="str">
        <f aca="false">IF($A142="","",D142-F142)</f>
        <v/>
      </c>
      <c r="H142" s="14" t="str">
        <f aca="false">IF($A142="","",SUMIFS(Transactions!$J:$J,Transactions!$O:$O,$A142,Transactions!$B:$B,"Sell call")+SUMIFS(Transactions!$J:$J,Transactions!$O:$O,$A142,Transactions!$B:$B,"Buy to close"))</f>
        <v/>
      </c>
      <c r="I142" s="26" t="str">
        <f aca="false">IF(OR($A142="",E142=""),"",E142-H142/D142)</f>
        <v/>
      </c>
      <c r="J142" s="26" t="str">
        <f aca="false">IF($A142="","",IFERROR(INDEX(Positions!$K:$K,MATCH(B142,Positions!$B:$B,0)),""))</f>
        <v/>
      </c>
      <c r="K142" s="23"/>
      <c r="L142" s="26" t="str">
        <f aca="false">IF($A142="","",IF(K142&lt;&gt;"",K142,J142))</f>
        <v/>
      </c>
      <c r="M142" s="14" t="str">
        <f aca="false">IF(OR($A142="",L142=""),"",L142*G142)</f>
        <v/>
      </c>
      <c r="N142" s="14" t="str">
        <f aca="false">IF(OR(M142="",E142=""),"",(L142-E142)*G142)</f>
        <v/>
      </c>
      <c r="O142" s="8" t="str">
        <f aca="false">IF($A142="","",IF(G142&lt;=0,"Sold",IF((-SUMIFS(Transactions!$E:$E,Transactions!$O:$O,$A142,Transactions!$B:$B,"Sell call")-SUMIFS(Transactions!$E:$E,Transactions!$O:$O,$A142,Transactions!$B:$B,"Buy to close")-SUMIFS(Transactions!$E:$E,Transactions!$O:$O,$A142,Transactions!$B:$B,"Expired")-SUMIFS(Transactions!$E:$E,Transactions!$O:$O,$A142,Transactions!$B:$B,"Assigned"))&gt;0,"Covered","Free")))</f>
        <v/>
      </c>
      <c r="P142" s="26" t="str">
        <f aca="false">IF(OR(I142="",G142&lt;=0),"",CEILING(MAX(I142,N(L142)),IF(E142&lt;50,0.5,IF(E142&lt;200,1,5))))</f>
        <v/>
      </c>
      <c r="Q142" s="8" t="str">
        <f aca="true">IF(OR(N142="",G142&lt;=0),"",IF(N142&gt;=0,"",IF(COUNTIFS($B:$B,B142,$C:$C,"&gt;="&amp;(TODAY()-30),$C:$C,"&lt;="&amp;TODAY(),$A:$A,"&lt;&gt;"&amp;$A142)&gt;0,"Loss sale now = wash sale","OK to harvest loss")))</f>
        <v/>
      </c>
      <c r="R142" s="14" t="str">
        <f aca="false">IF(OR($A142="",N(F142)&lt;=0),"",SUMIFS(Transactions!$J:$J,Transactions!$O:$O,$A142,Transactions!$B:$B,"Sell shares")-E142*F142)</f>
        <v/>
      </c>
      <c r="S142" s="10" t="str">
        <f aca="false">IF(OR($A142="",N(F142)&lt;=0),"",_xlfn.MAXIFS(Transactions!$A:$A,Transactions!$O:$O,$A142,Transactions!$B:$B,"Sell shares"))</f>
        <v/>
      </c>
      <c r="T142" s="14" t="str">
        <f aca="false">IF(OR($A142="",E142=""),"",E142*G142)</f>
        <v/>
      </c>
    </row>
    <row r="143" customFormat="false" ht="15" hidden="false" customHeight="false" outlineLevel="0" collapsed="false">
      <c r="A143" s="21"/>
      <c r="B143" s="8" t="str">
        <f aca="false">IF($A143="","",IFERROR(INDEX(Transactions!$C:$C,MATCH($A143,Transactions!$O:$O,0)),""))</f>
        <v/>
      </c>
      <c r="C143" s="10" t="str">
        <f aca="false">IF($A143="","",IF(COUNTIFS(Transactions!$O:$O,$A143,Transactions!$B:$B,"Buy shares")=0,"",_xlfn.MINIFS(Transactions!$A:$A,Transactions!$O:$O,$A143,Transactions!$B:$B,"Buy shares")))</f>
        <v/>
      </c>
      <c r="D143" s="18" t="str">
        <f aca="false">IF($A143="","",SUMIFS(Transactions!$E:$E,Transactions!$O:$O,$A143,Transactions!$B:$B,"Buy shares"))</f>
        <v/>
      </c>
      <c r="E143" s="26" t="str">
        <f aca="false">IF($A143="","",IF(D143=0,"",-SUMIFS(Transactions!$J:$J,Transactions!$O:$O,$A143,Transactions!$B:$B,"Buy shares")/D143))</f>
        <v/>
      </c>
      <c r="F143" s="18" t="str">
        <f aca="false">IF($A143="","",-SUMIFS(Transactions!$E:$E,Transactions!$O:$O,$A143,Transactions!$B:$B,"Sell shares"))</f>
        <v/>
      </c>
      <c r="G143" s="18" t="str">
        <f aca="false">IF($A143="","",D143-F143)</f>
        <v/>
      </c>
      <c r="H143" s="14" t="str">
        <f aca="false">IF($A143="","",SUMIFS(Transactions!$J:$J,Transactions!$O:$O,$A143,Transactions!$B:$B,"Sell call")+SUMIFS(Transactions!$J:$J,Transactions!$O:$O,$A143,Transactions!$B:$B,"Buy to close"))</f>
        <v/>
      </c>
      <c r="I143" s="26" t="str">
        <f aca="false">IF(OR($A143="",E143=""),"",E143-H143/D143)</f>
        <v/>
      </c>
      <c r="J143" s="26" t="str">
        <f aca="false">IF($A143="","",IFERROR(INDEX(Positions!$K:$K,MATCH(B143,Positions!$B:$B,0)),""))</f>
        <v/>
      </c>
      <c r="K143" s="23"/>
      <c r="L143" s="26" t="str">
        <f aca="false">IF($A143="","",IF(K143&lt;&gt;"",K143,J143))</f>
        <v/>
      </c>
      <c r="M143" s="14" t="str">
        <f aca="false">IF(OR($A143="",L143=""),"",L143*G143)</f>
        <v/>
      </c>
      <c r="N143" s="14" t="str">
        <f aca="false">IF(OR(M143="",E143=""),"",(L143-E143)*G143)</f>
        <v/>
      </c>
      <c r="O143" s="8" t="str">
        <f aca="false">IF($A143="","",IF(G143&lt;=0,"Sold",IF((-SUMIFS(Transactions!$E:$E,Transactions!$O:$O,$A143,Transactions!$B:$B,"Sell call")-SUMIFS(Transactions!$E:$E,Transactions!$O:$O,$A143,Transactions!$B:$B,"Buy to close")-SUMIFS(Transactions!$E:$E,Transactions!$O:$O,$A143,Transactions!$B:$B,"Expired")-SUMIFS(Transactions!$E:$E,Transactions!$O:$O,$A143,Transactions!$B:$B,"Assigned"))&gt;0,"Covered","Free")))</f>
        <v/>
      </c>
      <c r="P143" s="26" t="str">
        <f aca="false">IF(OR(I143="",G143&lt;=0),"",CEILING(MAX(I143,N(L143)),IF(E143&lt;50,0.5,IF(E143&lt;200,1,5))))</f>
        <v/>
      </c>
      <c r="Q143" s="8" t="str">
        <f aca="true">IF(OR(N143="",G143&lt;=0),"",IF(N143&gt;=0,"",IF(COUNTIFS($B:$B,B143,$C:$C,"&gt;="&amp;(TODAY()-30),$C:$C,"&lt;="&amp;TODAY(),$A:$A,"&lt;&gt;"&amp;$A143)&gt;0,"Loss sale now = wash sale","OK to harvest loss")))</f>
        <v/>
      </c>
      <c r="R143" s="14" t="str">
        <f aca="false">IF(OR($A143="",N(F143)&lt;=0),"",SUMIFS(Transactions!$J:$J,Transactions!$O:$O,$A143,Transactions!$B:$B,"Sell shares")-E143*F143)</f>
        <v/>
      </c>
      <c r="S143" s="10" t="str">
        <f aca="false">IF(OR($A143="",N(F143)&lt;=0),"",_xlfn.MAXIFS(Transactions!$A:$A,Transactions!$O:$O,$A143,Transactions!$B:$B,"Sell shares"))</f>
        <v/>
      </c>
      <c r="T143" s="14" t="str">
        <f aca="false">IF(OR($A143="",E143=""),"",E143*G143)</f>
        <v/>
      </c>
    </row>
    <row r="144" customFormat="false" ht="15" hidden="false" customHeight="false" outlineLevel="0" collapsed="false">
      <c r="A144" s="21"/>
      <c r="B144" s="8" t="str">
        <f aca="false">IF($A144="","",IFERROR(INDEX(Transactions!$C:$C,MATCH($A144,Transactions!$O:$O,0)),""))</f>
        <v/>
      </c>
      <c r="C144" s="10" t="str">
        <f aca="false">IF($A144="","",IF(COUNTIFS(Transactions!$O:$O,$A144,Transactions!$B:$B,"Buy shares")=0,"",_xlfn.MINIFS(Transactions!$A:$A,Transactions!$O:$O,$A144,Transactions!$B:$B,"Buy shares")))</f>
        <v/>
      </c>
      <c r="D144" s="18" t="str">
        <f aca="false">IF($A144="","",SUMIFS(Transactions!$E:$E,Transactions!$O:$O,$A144,Transactions!$B:$B,"Buy shares"))</f>
        <v/>
      </c>
      <c r="E144" s="26" t="str">
        <f aca="false">IF($A144="","",IF(D144=0,"",-SUMIFS(Transactions!$J:$J,Transactions!$O:$O,$A144,Transactions!$B:$B,"Buy shares")/D144))</f>
        <v/>
      </c>
      <c r="F144" s="18" t="str">
        <f aca="false">IF($A144="","",-SUMIFS(Transactions!$E:$E,Transactions!$O:$O,$A144,Transactions!$B:$B,"Sell shares"))</f>
        <v/>
      </c>
      <c r="G144" s="18" t="str">
        <f aca="false">IF($A144="","",D144-F144)</f>
        <v/>
      </c>
      <c r="H144" s="14" t="str">
        <f aca="false">IF($A144="","",SUMIFS(Transactions!$J:$J,Transactions!$O:$O,$A144,Transactions!$B:$B,"Sell call")+SUMIFS(Transactions!$J:$J,Transactions!$O:$O,$A144,Transactions!$B:$B,"Buy to close"))</f>
        <v/>
      </c>
      <c r="I144" s="26" t="str">
        <f aca="false">IF(OR($A144="",E144=""),"",E144-H144/D144)</f>
        <v/>
      </c>
      <c r="J144" s="26" t="str">
        <f aca="false">IF($A144="","",IFERROR(INDEX(Positions!$K:$K,MATCH(B144,Positions!$B:$B,0)),""))</f>
        <v/>
      </c>
      <c r="K144" s="23"/>
      <c r="L144" s="26" t="str">
        <f aca="false">IF($A144="","",IF(K144&lt;&gt;"",K144,J144))</f>
        <v/>
      </c>
      <c r="M144" s="14" t="str">
        <f aca="false">IF(OR($A144="",L144=""),"",L144*G144)</f>
        <v/>
      </c>
      <c r="N144" s="14" t="str">
        <f aca="false">IF(OR(M144="",E144=""),"",(L144-E144)*G144)</f>
        <v/>
      </c>
      <c r="O144" s="8" t="str">
        <f aca="false">IF($A144="","",IF(G144&lt;=0,"Sold",IF((-SUMIFS(Transactions!$E:$E,Transactions!$O:$O,$A144,Transactions!$B:$B,"Sell call")-SUMIFS(Transactions!$E:$E,Transactions!$O:$O,$A144,Transactions!$B:$B,"Buy to close")-SUMIFS(Transactions!$E:$E,Transactions!$O:$O,$A144,Transactions!$B:$B,"Expired")-SUMIFS(Transactions!$E:$E,Transactions!$O:$O,$A144,Transactions!$B:$B,"Assigned"))&gt;0,"Covered","Free")))</f>
        <v/>
      </c>
      <c r="P144" s="26" t="str">
        <f aca="false">IF(OR(I144="",G144&lt;=0),"",CEILING(MAX(I144,N(L144)),IF(E144&lt;50,0.5,IF(E144&lt;200,1,5))))</f>
        <v/>
      </c>
      <c r="Q144" s="8" t="str">
        <f aca="true">IF(OR(N144="",G144&lt;=0),"",IF(N144&gt;=0,"",IF(COUNTIFS($B:$B,B144,$C:$C,"&gt;="&amp;(TODAY()-30),$C:$C,"&lt;="&amp;TODAY(),$A:$A,"&lt;&gt;"&amp;$A144)&gt;0,"Loss sale now = wash sale","OK to harvest loss")))</f>
        <v/>
      </c>
      <c r="R144" s="14" t="str">
        <f aca="false">IF(OR($A144="",N(F144)&lt;=0),"",SUMIFS(Transactions!$J:$J,Transactions!$O:$O,$A144,Transactions!$B:$B,"Sell shares")-E144*F144)</f>
        <v/>
      </c>
      <c r="S144" s="10" t="str">
        <f aca="false">IF(OR($A144="",N(F144)&lt;=0),"",_xlfn.MAXIFS(Transactions!$A:$A,Transactions!$O:$O,$A144,Transactions!$B:$B,"Sell shares"))</f>
        <v/>
      </c>
      <c r="T144" s="14" t="str">
        <f aca="false">IF(OR($A144="",E144=""),"",E144*G144)</f>
        <v/>
      </c>
    </row>
    <row r="145" customFormat="false" ht="15" hidden="false" customHeight="false" outlineLevel="0" collapsed="false">
      <c r="A145" s="21"/>
      <c r="B145" s="8" t="str">
        <f aca="false">IF($A145="","",IFERROR(INDEX(Transactions!$C:$C,MATCH($A145,Transactions!$O:$O,0)),""))</f>
        <v/>
      </c>
      <c r="C145" s="10" t="str">
        <f aca="false">IF($A145="","",IF(COUNTIFS(Transactions!$O:$O,$A145,Transactions!$B:$B,"Buy shares")=0,"",_xlfn.MINIFS(Transactions!$A:$A,Transactions!$O:$O,$A145,Transactions!$B:$B,"Buy shares")))</f>
        <v/>
      </c>
      <c r="D145" s="18" t="str">
        <f aca="false">IF($A145="","",SUMIFS(Transactions!$E:$E,Transactions!$O:$O,$A145,Transactions!$B:$B,"Buy shares"))</f>
        <v/>
      </c>
      <c r="E145" s="26" t="str">
        <f aca="false">IF($A145="","",IF(D145=0,"",-SUMIFS(Transactions!$J:$J,Transactions!$O:$O,$A145,Transactions!$B:$B,"Buy shares")/D145))</f>
        <v/>
      </c>
      <c r="F145" s="18" t="str">
        <f aca="false">IF($A145="","",-SUMIFS(Transactions!$E:$E,Transactions!$O:$O,$A145,Transactions!$B:$B,"Sell shares"))</f>
        <v/>
      </c>
      <c r="G145" s="18" t="str">
        <f aca="false">IF($A145="","",D145-F145)</f>
        <v/>
      </c>
      <c r="H145" s="14" t="str">
        <f aca="false">IF($A145="","",SUMIFS(Transactions!$J:$J,Transactions!$O:$O,$A145,Transactions!$B:$B,"Sell call")+SUMIFS(Transactions!$J:$J,Transactions!$O:$O,$A145,Transactions!$B:$B,"Buy to close"))</f>
        <v/>
      </c>
      <c r="I145" s="26" t="str">
        <f aca="false">IF(OR($A145="",E145=""),"",E145-H145/D145)</f>
        <v/>
      </c>
      <c r="J145" s="26" t="str">
        <f aca="false">IF($A145="","",IFERROR(INDEX(Positions!$K:$K,MATCH(B145,Positions!$B:$B,0)),""))</f>
        <v/>
      </c>
      <c r="K145" s="23"/>
      <c r="L145" s="26" t="str">
        <f aca="false">IF($A145="","",IF(K145&lt;&gt;"",K145,J145))</f>
        <v/>
      </c>
      <c r="M145" s="14" t="str">
        <f aca="false">IF(OR($A145="",L145=""),"",L145*G145)</f>
        <v/>
      </c>
      <c r="N145" s="14" t="str">
        <f aca="false">IF(OR(M145="",E145=""),"",(L145-E145)*G145)</f>
        <v/>
      </c>
      <c r="O145" s="8" t="str">
        <f aca="false">IF($A145="","",IF(G145&lt;=0,"Sold",IF((-SUMIFS(Transactions!$E:$E,Transactions!$O:$O,$A145,Transactions!$B:$B,"Sell call")-SUMIFS(Transactions!$E:$E,Transactions!$O:$O,$A145,Transactions!$B:$B,"Buy to close")-SUMIFS(Transactions!$E:$E,Transactions!$O:$O,$A145,Transactions!$B:$B,"Expired")-SUMIFS(Transactions!$E:$E,Transactions!$O:$O,$A145,Transactions!$B:$B,"Assigned"))&gt;0,"Covered","Free")))</f>
        <v/>
      </c>
      <c r="P145" s="26" t="str">
        <f aca="false">IF(OR(I145="",G145&lt;=0),"",CEILING(MAX(I145,N(L145)),IF(E145&lt;50,0.5,IF(E145&lt;200,1,5))))</f>
        <v/>
      </c>
      <c r="Q145" s="8" t="str">
        <f aca="true">IF(OR(N145="",G145&lt;=0),"",IF(N145&gt;=0,"",IF(COUNTIFS($B:$B,B145,$C:$C,"&gt;="&amp;(TODAY()-30),$C:$C,"&lt;="&amp;TODAY(),$A:$A,"&lt;&gt;"&amp;$A145)&gt;0,"Loss sale now = wash sale","OK to harvest loss")))</f>
        <v/>
      </c>
      <c r="R145" s="14" t="str">
        <f aca="false">IF(OR($A145="",N(F145)&lt;=0),"",SUMIFS(Transactions!$J:$J,Transactions!$O:$O,$A145,Transactions!$B:$B,"Sell shares")-E145*F145)</f>
        <v/>
      </c>
      <c r="S145" s="10" t="str">
        <f aca="false">IF(OR($A145="",N(F145)&lt;=0),"",_xlfn.MAXIFS(Transactions!$A:$A,Transactions!$O:$O,$A145,Transactions!$B:$B,"Sell shares"))</f>
        <v/>
      </c>
      <c r="T145" s="14" t="str">
        <f aca="false">IF(OR($A145="",E145=""),"",E145*G145)</f>
        <v/>
      </c>
    </row>
    <row r="146" customFormat="false" ht="15" hidden="false" customHeight="false" outlineLevel="0" collapsed="false">
      <c r="A146" s="21"/>
      <c r="B146" s="8" t="str">
        <f aca="false">IF($A146="","",IFERROR(INDEX(Transactions!$C:$C,MATCH($A146,Transactions!$O:$O,0)),""))</f>
        <v/>
      </c>
      <c r="C146" s="10" t="str">
        <f aca="false">IF($A146="","",IF(COUNTIFS(Transactions!$O:$O,$A146,Transactions!$B:$B,"Buy shares")=0,"",_xlfn.MINIFS(Transactions!$A:$A,Transactions!$O:$O,$A146,Transactions!$B:$B,"Buy shares")))</f>
        <v/>
      </c>
      <c r="D146" s="18" t="str">
        <f aca="false">IF($A146="","",SUMIFS(Transactions!$E:$E,Transactions!$O:$O,$A146,Transactions!$B:$B,"Buy shares"))</f>
        <v/>
      </c>
      <c r="E146" s="26" t="str">
        <f aca="false">IF($A146="","",IF(D146=0,"",-SUMIFS(Transactions!$J:$J,Transactions!$O:$O,$A146,Transactions!$B:$B,"Buy shares")/D146))</f>
        <v/>
      </c>
      <c r="F146" s="18" t="str">
        <f aca="false">IF($A146="","",-SUMIFS(Transactions!$E:$E,Transactions!$O:$O,$A146,Transactions!$B:$B,"Sell shares"))</f>
        <v/>
      </c>
      <c r="G146" s="18" t="str">
        <f aca="false">IF($A146="","",D146-F146)</f>
        <v/>
      </c>
      <c r="H146" s="14" t="str">
        <f aca="false">IF($A146="","",SUMIFS(Transactions!$J:$J,Transactions!$O:$O,$A146,Transactions!$B:$B,"Sell call")+SUMIFS(Transactions!$J:$J,Transactions!$O:$O,$A146,Transactions!$B:$B,"Buy to close"))</f>
        <v/>
      </c>
      <c r="I146" s="26" t="str">
        <f aca="false">IF(OR($A146="",E146=""),"",E146-H146/D146)</f>
        <v/>
      </c>
      <c r="J146" s="26" t="str">
        <f aca="false">IF($A146="","",IFERROR(INDEX(Positions!$K:$K,MATCH(B146,Positions!$B:$B,0)),""))</f>
        <v/>
      </c>
      <c r="K146" s="23"/>
      <c r="L146" s="26" t="str">
        <f aca="false">IF($A146="","",IF(K146&lt;&gt;"",K146,J146))</f>
        <v/>
      </c>
      <c r="M146" s="14" t="str">
        <f aca="false">IF(OR($A146="",L146=""),"",L146*G146)</f>
        <v/>
      </c>
      <c r="N146" s="14" t="str">
        <f aca="false">IF(OR(M146="",E146=""),"",(L146-E146)*G146)</f>
        <v/>
      </c>
      <c r="O146" s="8" t="str">
        <f aca="false">IF($A146="","",IF(G146&lt;=0,"Sold",IF((-SUMIFS(Transactions!$E:$E,Transactions!$O:$O,$A146,Transactions!$B:$B,"Sell call")-SUMIFS(Transactions!$E:$E,Transactions!$O:$O,$A146,Transactions!$B:$B,"Buy to close")-SUMIFS(Transactions!$E:$E,Transactions!$O:$O,$A146,Transactions!$B:$B,"Expired")-SUMIFS(Transactions!$E:$E,Transactions!$O:$O,$A146,Transactions!$B:$B,"Assigned"))&gt;0,"Covered","Free")))</f>
        <v/>
      </c>
      <c r="P146" s="26" t="str">
        <f aca="false">IF(OR(I146="",G146&lt;=0),"",CEILING(MAX(I146,N(L146)),IF(E146&lt;50,0.5,IF(E146&lt;200,1,5))))</f>
        <v/>
      </c>
      <c r="Q146" s="8" t="str">
        <f aca="true">IF(OR(N146="",G146&lt;=0),"",IF(N146&gt;=0,"",IF(COUNTIFS($B:$B,B146,$C:$C,"&gt;="&amp;(TODAY()-30),$C:$C,"&lt;="&amp;TODAY(),$A:$A,"&lt;&gt;"&amp;$A146)&gt;0,"Loss sale now = wash sale","OK to harvest loss")))</f>
        <v/>
      </c>
      <c r="R146" s="14" t="str">
        <f aca="false">IF(OR($A146="",N(F146)&lt;=0),"",SUMIFS(Transactions!$J:$J,Transactions!$O:$O,$A146,Transactions!$B:$B,"Sell shares")-E146*F146)</f>
        <v/>
      </c>
      <c r="S146" s="10" t="str">
        <f aca="false">IF(OR($A146="",N(F146)&lt;=0),"",_xlfn.MAXIFS(Transactions!$A:$A,Transactions!$O:$O,$A146,Transactions!$B:$B,"Sell shares"))</f>
        <v/>
      </c>
      <c r="T146" s="14" t="str">
        <f aca="false">IF(OR($A146="",E146=""),"",E146*G146)</f>
        <v/>
      </c>
    </row>
    <row r="147" customFormat="false" ht="15" hidden="false" customHeight="false" outlineLevel="0" collapsed="false">
      <c r="A147" s="21"/>
      <c r="B147" s="8" t="str">
        <f aca="false">IF($A147="","",IFERROR(INDEX(Transactions!$C:$C,MATCH($A147,Transactions!$O:$O,0)),""))</f>
        <v/>
      </c>
      <c r="C147" s="10" t="str">
        <f aca="false">IF($A147="","",IF(COUNTIFS(Transactions!$O:$O,$A147,Transactions!$B:$B,"Buy shares")=0,"",_xlfn.MINIFS(Transactions!$A:$A,Transactions!$O:$O,$A147,Transactions!$B:$B,"Buy shares")))</f>
        <v/>
      </c>
      <c r="D147" s="18" t="str">
        <f aca="false">IF($A147="","",SUMIFS(Transactions!$E:$E,Transactions!$O:$O,$A147,Transactions!$B:$B,"Buy shares"))</f>
        <v/>
      </c>
      <c r="E147" s="26" t="str">
        <f aca="false">IF($A147="","",IF(D147=0,"",-SUMIFS(Transactions!$J:$J,Transactions!$O:$O,$A147,Transactions!$B:$B,"Buy shares")/D147))</f>
        <v/>
      </c>
      <c r="F147" s="18" t="str">
        <f aca="false">IF($A147="","",-SUMIFS(Transactions!$E:$E,Transactions!$O:$O,$A147,Transactions!$B:$B,"Sell shares"))</f>
        <v/>
      </c>
      <c r="G147" s="18" t="str">
        <f aca="false">IF($A147="","",D147-F147)</f>
        <v/>
      </c>
      <c r="H147" s="14" t="str">
        <f aca="false">IF($A147="","",SUMIFS(Transactions!$J:$J,Transactions!$O:$O,$A147,Transactions!$B:$B,"Sell call")+SUMIFS(Transactions!$J:$J,Transactions!$O:$O,$A147,Transactions!$B:$B,"Buy to close"))</f>
        <v/>
      </c>
      <c r="I147" s="26" t="str">
        <f aca="false">IF(OR($A147="",E147=""),"",E147-H147/D147)</f>
        <v/>
      </c>
      <c r="J147" s="26" t="str">
        <f aca="false">IF($A147="","",IFERROR(INDEX(Positions!$K:$K,MATCH(B147,Positions!$B:$B,0)),""))</f>
        <v/>
      </c>
      <c r="K147" s="23"/>
      <c r="L147" s="26" t="str">
        <f aca="false">IF($A147="","",IF(K147&lt;&gt;"",K147,J147))</f>
        <v/>
      </c>
      <c r="M147" s="14" t="str">
        <f aca="false">IF(OR($A147="",L147=""),"",L147*G147)</f>
        <v/>
      </c>
      <c r="N147" s="14" t="str">
        <f aca="false">IF(OR(M147="",E147=""),"",(L147-E147)*G147)</f>
        <v/>
      </c>
      <c r="O147" s="8" t="str">
        <f aca="false">IF($A147="","",IF(G147&lt;=0,"Sold",IF((-SUMIFS(Transactions!$E:$E,Transactions!$O:$O,$A147,Transactions!$B:$B,"Sell call")-SUMIFS(Transactions!$E:$E,Transactions!$O:$O,$A147,Transactions!$B:$B,"Buy to close")-SUMIFS(Transactions!$E:$E,Transactions!$O:$O,$A147,Transactions!$B:$B,"Expired")-SUMIFS(Transactions!$E:$E,Transactions!$O:$O,$A147,Transactions!$B:$B,"Assigned"))&gt;0,"Covered","Free")))</f>
        <v/>
      </c>
      <c r="P147" s="26" t="str">
        <f aca="false">IF(OR(I147="",G147&lt;=0),"",CEILING(MAX(I147,N(L147)),IF(E147&lt;50,0.5,IF(E147&lt;200,1,5))))</f>
        <v/>
      </c>
      <c r="Q147" s="8" t="str">
        <f aca="true">IF(OR(N147="",G147&lt;=0),"",IF(N147&gt;=0,"",IF(COUNTIFS($B:$B,B147,$C:$C,"&gt;="&amp;(TODAY()-30),$C:$C,"&lt;="&amp;TODAY(),$A:$A,"&lt;&gt;"&amp;$A147)&gt;0,"Loss sale now = wash sale","OK to harvest loss")))</f>
        <v/>
      </c>
      <c r="R147" s="14" t="str">
        <f aca="false">IF(OR($A147="",N(F147)&lt;=0),"",SUMIFS(Transactions!$J:$J,Transactions!$O:$O,$A147,Transactions!$B:$B,"Sell shares")-E147*F147)</f>
        <v/>
      </c>
      <c r="S147" s="10" t="str">
        <f aca="false">IF(OR($A147="",N(F147)&lt;=0),"",_xlfn.MAXIFS(Transactions!$A:$A,Transactions!$O:$O,$A147,Transactions!$B:$B,"Sell shares"))</f>
        <v/>
      </c>
      <c r="T147" s="14" t="str">
        <f aca="false">IF(OR($A147="",E147=""),"",E147*G147)</f>
        <v/>
      </c>
    </row>
    <row r="148" customFormat="false" ht="15" hidden="false" customHeight="false" outlineLevel="0" collapsed="false">
      <c r="A148" s="21"/>
      <c r="B148" s="8" t="str">
        <f aca="false">IF($A148="","",IFERROR(INDEX(Transactions!$C:$C,MATCH($A148,Transactions!$O:$O,0)),""))</f>
        <v/>
      </c>
      <c r="C148" s="10" t="str">
        <f aca="false">IF($A148="","",IF(COUNTIFS(Transactions!$O:$O,$A148,Transactions!$B:$B,"Buy shares")=0,"",_xlfn.MINIFS(Transactions!$A:$A,Transactions!$O:$O,$A148,Transactions!$B:$B,"Buy shares")))</f>
        <v/>
      </c>
      <c r="D148" s="18" t="str">
        <f aca="false">IF($A148="","",SUMIFS(Transactions!$E:$E,Transactions!$O:$O,$A148,Transactions!$B:$B,"Buy shares"))</f>
        <v/>
      </c>
      <c r="E148" s="26" t="str">
        <f aca="false">IF($A148="","",IF(D148=0,"",-SUMIFS(Transactions!$J:$J,Transactions!$O:$O,$A148,Transactions!$B:$B,"Buy shares")/D148))</f>
        <v/>
      </c>
      <c r="F148" s="18" t="str">
        <f aca="false">IF($A148="","",-SUMIFS(Transactions!$E:$E,Transactions!$O:$O,$A148,Transactions!$B:$B,"Sell shares"))</f>
        <v/>
      </c>
      <c r="G148" s="18" t="str">
        <f aca="false">IF($A148="","",D148-F148)</f>
        <v/>
      </c>
      <c r="H148" s="14" t="str">
        <f aca="false">IF($A148="","",SUMIFS(Transactions!$J:$J,Transactions!$O:$O,$A148,Transactions!$B:$B,"Sell call")+SUMIFS(Transactions!$J:$J,Transactions!$O:$O,$A148,Transactions!$B:$B,"Buy to close"))</f>
        <v/>
      </c>
      <c r="I148" s="26" t="str">
        <f aca="false">IF(OR($A148="",E148=""),"",E148-H148/D148)</f>
        <v/>
      </c>
      <c r="J148" s="26" t="str">
        <f aca="false">IF($A148="","",IFERROR(INDEX(Positions!$K:$K,MATCH(B148,Positions!$B:$B,0)),""))</f>
        <v/>
      </c>
      <c r="K148" s="23"/>
      <c r="L148" s="26" t="str">
        <f aca="false">IF($A148="","",IF(K148&lt;&gt;"",K148,J148))</f>
        <v/>
      </c>
      <c r="M148" s="14" t="str">
        <f aca="false">IF(OR($A148="",L148=""),"",L148*G148)</f>
        <v/>
      </c>
      <c r="N148" s="14" t="str">
        <f aca="false">IF(OR(M148="",E148=""),"",(L148-E148)*G148)</f>
        <v/>
      </c>
      <c r="O148" s="8" t="str">
        <f aca="false">IF($A148="","",IF(G148&lt;=0,"Sold",IF((-SUMIFS(Transactions!$E:$E,Transactions!$O:$O,$A148,Transactions!$B:$B,"Sell call")-SUMIFS(Transactions!$E:$E,Transactions!$O:$O,$A148,Transactions!$B:$B,"Buy to close")-SUMIFS(Transactions!$E:$E,Transactions!$O:$O,$A148,Transactions!$B:$B,"Expired")-SUMIFS(Transactions!$E:$E,Transactions!$O:$O,$A148,Transactions!$B:$B,"Assigned"))&gt;0,"Covered","Free")))</f>
        <v/>
      </c>
      <c r="P148" s="26" t="str">
        <f aca="false">IF(OR(I148="",G148&lt;=0),"",CEILING(MAX(I148,N(L148)),IF(E148&lt;50,0.5,IF(E148&lt;200,1,5))))</f>
        <v/>
      </c>
      <c r="Q148" s="8" t="str">
        <f aca="true">IF(OR(N148="",G148&lt;=0),"",IF(N148&gt;=0,"",IF(COUNTIFS($B:$B,B148,$C:$C,"&gt;="&amp;(TODAY()-30),$C:$C,"&lt;="&amp;TODAY(),$A:$A,"&lt;&gt;"&amp;$A148)&gt;0,"Loss sale now = wash sale","OK to harvest loss")))</f>
        <v/>
      </c>
      <c r="R148" s="14" t="str">
        <f aca="false">IF(OR($A148="",N(F148)&lt;=0),"",SUMIFS(Transactions!$J:$J,Transactions!$O:$O,$A148,Transactions!$B:$B,"Sell shares")-E148*F148)</f>
        <v/>
      </c>
      <c r="S148" s="10" t="str">
        <f aca="false">IF(OR($A148="",N(F148)&lt;=0),"",_xlfn.MAXIFS(Transactions!$A:$A,Transactions!$O:$O,$A148,Transactions!$B:$B,"Sell shares"))</f>
        <v/>
      </c>
      <c r="T148" s="14" t="str">
        <f aca="false">IF(OR($A148="",E148=""),"",E148*G148)</f>
        <v/>
      </c>
    </row>
    <row r="149" customFormat="false" ht="15" hidden="false" customHeight="false" outlineLevel="0" collapsed="false">
      <c r="A149" s="21"/>
      <c r="B149" s="8" t="str">
        <f aca="false">IF($A149="","",IFERROR(INDEX(Transactions!$C:$C,MATCH($A149,Transactions!$O:$O,0)),""))</f>
        <v/>
      </c>
      <c r="C149" s="10" t="str">
        <f aca="false">IF($A149="","",IF(COUNTIFS(Transactions!$O:$O,$A149,Transactions!$B:$B,"Buy shares")=0,"",_xlfn.MINIFS(Transactions!$A:$A,Transactions!$O:$O,$A149,Transactions!$B:$B,"Buy shares")))</f>
        <v/>
      </c>
      <c r="D149" s="18" t="str">
        <f aca="false">IF($A149="","",SUMIFS(Transactions!$E:$E,Transactions!$O:$O,$A149,Transactions!$B:$B,"Buy shares"))</f>
        <v/>
      </c>
      <c r="E149" s="26" t="str">
        <f aca="false">IF($A149="","",IF(D149=0,"",-SUMIFS(Transactions!$J:$J,Transactions!$O:$O,$A149,Transactions!$B:$B,"Buy shares")/D149))</f>
        <v/>
      </c>
      <c r="F149" s="18" t="str">
        <f aca="false">IF($A149="","",-SUMIFS(Transactions!$E:$E,Transactions!$O:$O,$A149,Transactions!$B:$B,"Sell shares"))</f>
        <v/>
      </c>
      <c r="G149" s="18" t="str">
        <f aca="false">IF($A149="","",D149-F149)</f>
        <v/>
      </c>
      <c r="H149" s="14" t="str">
        <f aca="false">IF($A149="","",SUMIFS(Transactions!$J:$J,Transactions!$O:$O,$A149,Transactions!$B:$B,"Sell call")+SUMIFS(Transactions!$J:$J,Transactions!$O:$O,$A149,Transactions!$B:$B,"Buy to close"))</f>
        <v/>
      </c>
      <c r="I149" s="26" t="str">
        <f aca="false">IF(OR($A149="",E149=""),"",E149-H149/D149)</f>
        <v/>
      </c>
      <c r="J149" s="26" t="str">
        <f aca="false">IF($A149="","",IFERROR(INDEX(Positions!$K:$K,MATCH(B149,Positions!$B:$B,0)),""))</f>
        <v/>
      </c>
      <c r="K149" s="23"/>
      <c r="L149" s="26" t="str">
        <f aca="false">IF($A149="","",IF(K149&lt;&gt;"",K149,J149))</f>
        <v/>
      </c>
      <c r="M149" s="14" t="str">
        <f aca="false">IF(OR($A149="",L149=""),"",L149*G149)</f>
        <v/>
      </c>
      <c r="N149" s="14" t="str">
        <f aca="false">IF(OR(M149="",E149=""),"",(L149-E149)*G149)</f>
        <v/>
      </c>
      <c r="O149" s="8" t="str">
        <f aca="false">IF($A149="","",IF(G149&lt;=0,"Sold",IF((-SUMIFS(Transactions!$E:$E,Transactions!$O:$O,$A149,Transactions!$B:$B,"Sell call")-SUMIFS(Transactions!$E:$E,Transactions!$O:$O,$A149,Transactions!$B:$B,"Buy to close")-SUMIFS(Transactions!$E:$E,Transactions!$O:$O,$A149,Transactions!$B:$B,"Expired")-SUMIFS(Transactions!$E:$E,Transactions!$O:$O,$A149,Transactions!$B:$B,"Assigned"))&gt;0,"Covered","Free")))</f>
        <v/>
      </c>
      <c r="P149" s="26" t="str">
        <f aca="false">IF(OR(I149="",G149&lt;=0),"",CEILING(MAX(I149,N(L149)),IF(E149&lt;50,0.5,IF(E149&lt;200,1,5))))</f>
        <v/>
      </c>
      <c r="Q149" s="8" t="str">
        <f aca="true">IF(OR(N149="",G149&lt;=0),"",IF(N149&gt;=0,"",IF(COUNTIFS($B:$B,B149,$C:$C,"&gt;="&amp;(TODAY()-30),$C:$C,"&lt;="&amp;TODAY(),$A:$A,"&lt;&gt;"&amp;$A149)&gt;0,"Loss sale now = wash sale","OK to harvest loss")))</f>
        <v/>
      </c>
      <c r="R149" s="14" t="str">
        <f aca="false">IF(OR($A149="",N(F149)&lt;=0),"",SUMIFS(Transactions!$J:$J,Transactions!$O:$O,$A149,Transactions!$B:$B,"Sell shares")-E149*F149)</f>
        <v/>
      </c>
      <c r="S149" s="10" t="str">
        <f aca="false">IF(OR($A149="",N(F149)&lt;=0),"",_xlfn.MAXIFS(Transactions!$A:$A,Transactions!$O:$O,$A149,Transactions!$B:$B,"Sell shares"))</f>
        <v/>
      </c>
      <c r="T149" s="14" t="str">
        <f aca="false">IF(OR($A149="",E149=""),"",E149*G149)</f>
        <v/>
      </c>
    </row>
    <row r="150" customFormat="false" ht="15" hidden="false" customHeight="false" outlineLevel="0" collapsed="false">
      <c r="A150" s="21"/>
      <c r="B150" s="8" t="str">
        <f aca="false">IF($A150="","",IFERROR(INDEX(Transactions!$C:$C,MATCH($A150,Transactions!$O:$O,0)),""))</f>
        <v/>
      </c>
      <c r="C150" s="10" t="str">
        <f aca="false">IF($A150="","",IF(COUNTIFS(Transactions!$O:$O,$A150,Transactions!$B:$B,"Buy shares")=0,"",_xlfn.MINIFS(Transactions!$A:$A,Transactions!$O:$O,$A150,Transactions!$B:$B,"Buy shares")))</f>
        <v/>
      </c>
      <c r="D150" s="18" t="str">
        <f aca="false">IF($A150="","",SUMIFS(Transactions!$E:$E,Transactions!$O:$O,$A150,Transactions!$B:$B,"Buy shares"))</f>
        <v/>
      </c>
      <c r="E150" s="26" t="str">
        <f aca="false">IF($A150="","",IF(D150=0,"",-SUMIFS(Transactions!$J:$J,Transactions!$O:$O,$A150,Transactions!$B:$B,"Buy shares")/D150))</f>
        <v/>
      </c>
      <c r="F150" s="18" t="str">
        <f aca="false">IF($A150="","",-SUMIFS(Transactions!$E:$E,Transactions!$O:$O,$A150,Transactions!$B:$B,"Sell shares"))</f>
        <v/>
      </c>
      <c r="G150" s="18" t="str">
        <f aca="false">IF($A150="","",D150-F150)</f>
        <v/>
      </c>
      <c r="H150" s="14" t="str">
        <f aca="false">IF($A150="","",SUMIFS(Transactions!$J:$J,Transactions!$O:$O,$A150,Transactions!$B:$B,"Sell call")+SUMIFS(Transactions!$J:$J,Transactions!$O:$O,$A150,Transactions!$B:$B,"Buy to close"))</f>
        <v/>
      </c>
      <c r="I150" s="26" t="str">
        <f aca="false">IF(OR($A150="",E150=""),"",E150-H150/D150)</f>
        <v/>
      </c>
      <c r="J150" s="26" t="str">
        <f aca="false">IF($A150="","",IFERROR(INDEX(Positions!$K:$K,MATCH(B150,Positions!$B:$B,0)),""))</f>
        <v/>
      </c>
      <c r="K150" s="23"/>
      <c r="L150" s="26" t="str">
        <f aca="false">IF($A150="","",IF(K150&lt;&gt;"",K150,J150))</f>
        <v/>
      </c>
      <c r="M150" s="14" t="str">
        <f aca="false">IF(OR($A150="",L150=""),"",L150*G150)</f>
        <v/>
      </c>
      <c r="N150" s="14" t="str">
        <f aca="false">IF(OR(M150="",E150=""),"",(L150-E150)*G150)</f>
        <v/>
      </c>
      <c r="O150" s="8" t="str">
        <f aca="false">IF($A150="","",IF(G150&lt;=0,"Sold",IF((-SUMIFS(Transactions!$E:$E,Transactions!$O:$O,$A150,Transactions!$B:$B,"Sell call")-SUMIFS(Transactions!$E:$E,Transactions!$O:$O,$A150,Transactions!$B:$B,"Buy to close")-SUMIFS(Transactions!$E:$E,Transactions!$O:$O,$A150,Transactions!$B:$B,"Expired")-SUMIFS(Transactions!$E:$E,Transactions!$O:$O,$A150,Transactions!$B:$B,"Assigned"))&gt;0,"Covered","Free")))</f>
        <v/>
      </c>
      <c r="P150" s="26" t="str">
        <f aca="false">IF(OR(I150="",G150&lt;=0),"",CEILING(MAX(I150,N(L150)),IF(E150&lt;50,0.5,IF(E150&lt;200,1,5))))</f>
        <v/>
      </c>
      <c r="Q150" s="8" t="str">
        <f aca="true">IF(OR(N150="",G150&lt;=0),"",IF(N150&gt;=0,"",IF(COUNTIFS($B:$B,B150,$C:$C,"&gt;="&amp;(TODAY()-30),$C:$C,"&lt;="&amp;TODAY(),$A:$A,"&lt;&gt;"&amp;$A150)&gt;0,"Loss sale now = wash sale","OK to harvest loss")))</f>
        <v/>
      </c>
      <c r="R150" s="14" t="str">
        <f aca="false">IF(OR($A150="",N(F150)&lt;=0),"",SUMIFS(Transactions!$J:$J,Transactions!$O:$O,$A150,Transactions!$B:$B,"Sell shares")-E150*F150)</f>
        <v/>
      </c>
      <c r="S150" s="10" t="str">
        <f aca="false">IF(OR($A150="",N(F150)&lt;=0),"",_xlfn.MAXIFS(Transactions!$A:$A,Transactions!$O:$O,$A150,Transactions!$B:$B,"Sell shares"))</f>
        <v/>
      </c>
      <c r="T150" s="14" t="str">
        <f aca="false">IF(OR($A150="",E150=""),"",E150*G150)</f>
        <v/>
      </c>
    </row>
    <row r="151" customFormat="false" ht="15" hidden="false" customHeight="false" outlineLevel="0" collapsed="false">
      <c r="A151" s="21"/>
      <c r="B151" s="8" t="str">
        <f aca="false">IF($A151="","",IFERROR(INDEX(Transactions!$C:$C,MATCH($A151,Transactions!$O:$O,0)),""))</f>
        <v/>
      </c>
      <c r="C151" s="10" t="str">
        <f aca="false">IF($A151="","",IF(COUNTIFS(Transactions!$O:$O,$A151,Transactions!$B:$B,"Buy shares")=0,"",_xlfn.MINIFS(Transactions!$A:$A,Transactions!$O:$O,$A151,Transactions!$B:$B,"Buy shares")))</f>
        <v/>
      </c>
      <c r="D151" s="18" t="str">
        <f aca="false">IF($A151="","",SUMIFS(Transactions!$E:$E,Transactions!$O:$O,$A151,Transactions!$B:$B,"Buy shares"))</f>
        <v/>
      </c>
      <c r="E151" s="26" t="str">
        <f aca="false">IF($A151="","",IF(D151=0,"",-SUMIFS(Transactions!$J:$J,Transactions!$O:$O,$A151,Transactions!$B:$B,"Buy shares")/D151))</f>
        <v/>
      </c>
      <c r="F151" s="18" t="str">
        <f aca="false">IF($A151="","",-SUMIFS(Transactions!$E:$E,Transactions!$O:$O,$A151,Transactions!$B:$B,"Sell shares"))</f>
        <v/>
      </c>
      <c r="G151" s="18" t="str">
        <f aca="false">IF($A151="","",D151-F151)</f>
        <v/>
      </c>
      <c r="H151" s="14" t="str">
        <f aca="false">IF($A151="","",SUMIFS(Transactions!$J:$J,Transactions!$O:$O,$A151,Transactions!$B:$B,"Sell call")+SUMIFS(Transactions!$J:$J,Transactions!$O:$O,$A151,Transactions!$B:$B,"Buy to close"))</f>
        <v/>
      </c>
      <c r="I151" s="26" t="str">
        <f aca="false">IF(OR($A151="",E151=""),"",E151-H151/D151)</f>
        <v/>
      </c>
      <c r="J151" s="26" t="str">
        <f aca="false">IF($A151="","",IFERROR(INDEX(Positions!$K:$K,MATCH(B151,Positions!$B:$B,0)),""))</f>
        <v/>
      </c>
      <c r="K151" s="23"/>
      <c r="L151" s="26" t="str">
        <f aca="false">IF($A151="","",IF(K151&lt;&gt;"",K151,J151))</f>
        <v/>
      </c>
      <c r="M151" s="14" t="str">
        <f aca="false">IF(OR($A151="",L151=""),"",L151*G151)</f>
        <v/>
      </c>
      <c r="N151" s="14" t="str">
        <f aca="false">IF(OR(M151="",E151=""),"",(L151-E151)*G151)</f>
        <v/>
      </c>
      <c r="O151" s="8" t="str">
        <f aca="false">IF($A151="","",IF(G151&lt;=0,"Sold",IF((-SUMIFS(Transactions!$E:$E,Transactions!$O:$O,$A151,Transactions!$B:$B,"Sell call")-SUMIFS(Transactions!$E:$E,Transactions!$O:$O,$A151,Transactions!$B:$B,"Buy to close")-SUMIFS(Transactions!$E:$E,Transactions!$O:$O,$A151,Transactions!$B:$B,"Expired")-SUMIFS(Transactions!$E:$E,Transactions!$O:$O,$A151,Transactions!$B:$B,"Assigned"))&gt;0,"Covered","Free")))</f>
        <v/>
      </c>
      <c r="P151" s="26" t="str">
        <f aca="false">IF(OR(I151="",G151&lt;=0),"",CEILING(MAX(I151,N(L151)),IF(E151&lt;50,0.5,IF(E151&lt;200,1,5))))</f>
        <v/>
      </c>
      <c r="Q151" s="8" t="str">
        <f aca="true">IF(OR(N151="",G151&lt;=0),"",IF(N151&gt;=0,"",IF(COUNTIFS($B:$B,B151,$C:$C,"&gt;="&amp;(TODAY()-30),$C:$C,"&lt;="&amp;TODAY(),$A:$A,"&lt;&gt;"&amp;$A151)&gt;0,"Loss sale now = wash sale","OK to harvest loss")))</f>
        <v/>
      </c>
      <c r="R151" s="14" t="str">
        <f aca="false">IF(OR($A151="",N(F151)&lt;=0),"",SUMIFS(Transactions!$J:$J,Transactions!$O:$O,$A151,Transactions!$B:$B,"Sell shares")-E151*F151)</f>
        <v/>
      </c>
      <c r="S151" s="10" t="str">
        <f aca="false">IF(OR($A151="",N(F151)&lt;=0),"",_xlfn.MAXIFS(Transactions!$A:$A,Transactions!$O:$O,$A151,Transactions!$B:$B,"Sell shares"))</f>
        <v/>
      </c>
      <c r="T151" s="14" t="str">
        <f aca="false">IF(OR($A151="",E151=""),"",E151*G151)</f>
        <v/>
      </c>
    </row>
    <row r="152" customFormat="false" ht="15" hidden="false" customHeight="false" outlineLevel="0" collapsed="false">
      <c r="A152" s="21"/>
      <c r="B152" s="8" t="str">
        <f aca="false">IF($A152="","",IFERROR(INDEX(Transactions!$C:$C,MATCH($A152,Transactions!$O:$O,0)),""))</f>
        <v/>
      </c>
      <c r="C152" s="10" t="str">
        <f aca="false">IF($A152="","",IF(COUNTIFS(Transactions!$O:$O,$A152,Transactions!$B:$B,"Buy shares")=0,"",_xlfn.MINIFS(Transactions!$A:$A,Transactions!$O:$O,$A152,Transactions!$B:$B,"Buy shares")))</f>
        <v/>
      </c>
      <c r="D152" s="18" t="str">
        <f aca="false">IF($A152="","",SUMIFS(Transactions!$E:$E,Transactions!$O:$O,$A152,Transactions!$B:$B,"Buy shares"))</f>
        <v/>
      </c>
      <c r="E152" s="26" t="str">
        <f aca="false">IF($A152="","",IF(D152=0,"",-SUMIFS(Transactions!$J:$J,Transactions!$O:$O,$A152,Transactions!$B:$B,"Buy shares")/D152))</f>
        <v/>
      </c>
      <c r="F152" s="18" t="str">
        <f aca="false">IF($A152="","",-SUMIFS(Transactions!$E:$E,Transactions!$O:$O,$A152,Transactions!$B:$B,"Sell shares"))</f>
        <v/>
      </c>
      <c r="G152" s="18" t="str">
        <f aca="false">IF($A152="","",D152-F152)</f>
        <v/>
      </c>
      <c r="H152" s="14" t="str">
        <f aca="false">IF($A152="","",SUMIFS(Transactions!$J:$J,Transactions!$O:$O,$A152,Transactions!$B:$B,"Sell call")+SUMIFS(Transactions!$J:$J,Transactions!$O:$O,$A152,Transactions!$B:$B,"Buy to close"))</f>
        <v/>
      </c>
      <c r="I152" s="26" t="str">
        <f aca="false">IF(OR($A152="",E152=""),"",E152-H152/D152)</f>
        <v/>
      </c>
      <c r="J152" s="26" t="str">
        <f aca="false">IF($A152="","",IFERROR(INDEX(Positions!$K:$K,MATCH(B152,Positions!$B:$B,0)),""))</f>
        <v/>
      </c>
      <c r="K152" s="23"/>
      <c r="L152" s="26" t="str">
        <f aca="false">IF($A152="","",IF(K152&lt;&gt;"",K152,J152))</f>
        <v/>
      </c>
      <c r="M152" s="14" t="str">
        <f aca="false">IF(OR($A152="",L152=""),"",L152*G152)</f>
        <v/>
      </c>
      <c r="N152" s="14" t="str">
        <f aca="false">IF(OR(M152="",E152=""),"",(L152-E152)*G152)</f>
        <v/>
      </c>
      <c r="O152" s="8" t="str">
        <f aca="false">IF($A152="","",IF(G152&lt;=0,"Sold",IF((-SUMIFS(Transactions!$E:$E,Transactions!$O:$O,$A152,Transactions!$B:$B,"Sell call")-SUMIFS(Transactions!$E:$E,Transactions!$O:$O,$A152,Transactions!$B:$B,"Buy to close")-SUMIFS(Transactions!$E:$E,Transactions!$O:$O,$A152,Transactions!$B:$B,"Expired")-SUMIFS(Transactions!$E:$E,Transactions!$O:$O,$A152,Transactions!$B:$B,"Assigned"))&gt;0,"Covered","Free")))</f>
        <v/>
      </c>
      <c r="P152" s="26" t="str">
        <f aca="false">IF(OR(I152="",G152&lt;=0),"",CEILING(MAX(I152,N(L152)),IF(E152&lt;50,0.5,IF(E152&lt;200,1,5))))</f>
        <v/>
      </c>
      <c r="Q152" s="8" t="str">
        <f aca="true">IF(OR(N152="",G152&lt;=0),"",IF(N152&gt;=0,"",IF(COUNTIFS($B:$B,B152,$C:$C,"&gt;="&amp;(TODAY()-30),$C:$C,"&lt;="&amp;TODAY(),$A:$A,"&lt;&gt;"&amp;$A152)&gt;0,"Loss sale now = wash sale","OK to harvest loss")))</f>
        <v/>
      </c>
      <c r="R152" s="14" t="str">
        <f aca="false">IF(OR($A152="",N(F152)&lt;=0),"",SUMIFS(Transactions!$J:$J,Transactions!$O:$O,$A152,Transactions!$B:$B,"Sell shares")-E152*F152)</f>
        <v/>
      </c>
      <c r="S152" s="10" t="str">
        <f aca="false">IF(OR($A152="",N(F152)&lt;=0),"",_xlfn.MAXIFS(Transactions!$A:$A,Transactions!$O:$O,$A152,Transactions!$B:$B,"Sell shares"))</f>
        <v/>
      </c>
      <c r="T152" s="14" t="str">
        <f aca="false">IF(OR($A152="",E152=""),"",E152*G152)</f>
        <v/>
      </c>
    </row>
    <row r="153" customFormat="false" ht="15" hidden="false" customHeight="false" outlineLevel="0" collapsed="false">
      <c r="A153" s="21"/>
      <c r="B153" s="8" t="str">
        <f aca="false">IF($A153="","",IFERROR(INDEX(Transactions!$C:$C,MATCH($A153,Transactions!$O:$O,0)),""))</f>
        <v/>
      </c>
      <c r="C153" s="10" t="str">
        <f aca="false">IF($A153="","",IF(COUNTIFS(Transactions!$O:$O,$A153,Transactions!$B:$B,"Buy shares")=0,"",_xlfn.MINIFS(Transactions!$A:$A,Transactions!$O:$O,$A153,Transactions!$B:$B,"Buy shares")))</f>
        <v/>
      </c>
      <c r="D153" s="18" t="str">
        <f aca="false">IF($A153="","",SUMIFS(Transactions!$E:$E,Transactions!$O:$O,$A153,Transactions!$B:$B,"Buy shares"))</f>
        <v/>
      </c>
      <c r="E153" s="26" t="str">
        <f aca="false">IF($A153="","",IF(D153=0,"",-SUMIFS(Transactions!$J:$J,Transactions!$O:$O,$A153,Transactions!$B:$B,"Buy shares")/D153))</f>
        <v/>
      </c>
      <c r="F153" s="18" t="str">
        <f aca="false">IF($A153="","",-SUMIFS(Transactions!$E:$E,Transactions!$O:$O,$A153,Transactions!$B:$B,"Sell shares"))</f>
        <v/>
      </c>
      <c r="G153" s="18" t="str">
        <f aca="false">IF($A153="","",D153-F153)</f>
        <v/>
      </c>
      <c r="H153" s="14" t="str">
        <f aca="false">IF($A153="","",SUMIFS(Transactions!$J:$J,Transactions!$O:$O,$A153,Transactions!$B:$B,"Sell call")+SUMIFS(Transactions!$J:$J,Transactions!$O:$O,$A153,Transactions!$B:$B,"Buy to close"))</f>
        <v/>
      </c>
      <c r="I153" s="26" t="str">
        <f aca="false">IF(OR($A153="",E153=""),"",E153-H153/D153)</f>
        <v/>
      </c>
      <c r="J153" s="26" t="str">
        <f aca="false">IF($A153="","",IFERROR(INDEX(Positions!$K:$K,MATCH(B153,Positions!$B:$B,0)),""))</f>
        <v/>
      </c>
      <c r="K153" s="23"/>
      <c r="L153" s="26" t="str">
        <f aca="false">IF($A153="","",IF(K153&lt;&gt;"",K153,J153))</f>
        <v/>
      </c>
      <c r="M153" s="14" t="str">
        <f aca="false">IF(OR($A153="",L153=""),"",L153*G153)</f>
        <v/>
      </c>
      <c r="N153" s="14" t="str">
        <f aca="false">IF(OR(M153="",E153=""),"",(L153-E153)*G153)</f>
        <v/>
      </c>
      <c r="O153" s="8" t="str">
        <f aca="false">IF($A153="","",IF(G153&lt;=0,"Sold",IF((-SUMIFS(Transactions!$E:$E,Transactions!$O:$O,$A153,Transactions!$B:$B,"Sell call")-SUMIFS(Transactions!$E:$E,Transactions!$O:$O,$A153,Transactions!$B:$B,"Buy to close")-SUMIFS(Transactions!$E:$E,Transactions!$O:$O,$A153,Transactions!$B:$B,"Expired")-SUMIFS(Transactions!$E:$E,Transactions!$O:$O,$A153,Transactions!$B:$B,"Assigned"))&gt;0,"Covered","Free")))</f>
        <v/>
      </c>
      <c r="P153" s="26" t="str">
        <f aca="false">IF(OR(I153="",G153&lt;=0),"",CEILING(MAX(I153,N(L153)),IF(E153&lt;50,0.5,IF(E153&lt;200,1,5))))</f>
        <v/>
      </c>
      <c r="Q153" s="8" t="str">
        <f aca="true">IF(OR(N153="",G153&lt;=0),"",IF(N153&gt;=0,"",IF(COUNTIFS($B:$B,B153,$C:$C,"&gt;="&amp;(TODAY()-30),$C:$C,"&lt;="&amp;TODAY(),$A:$A,"&lt;&gt;"&amp;$A153)&gt;0,"Loss sale now = wash sale","OK to harvest loss")))</f>
        <v/>
      </c>
      <c r="R153" s="14" t="str">
        <f aca="false">IF(OR($A153="",N(F153)&lt;=0),"",SUMIFS(Transactions!$J:$J,Transactions!$O:$O,$A153,Transactions!$B:$B,"Sell shares")-E153*F153)</f>
        <v/>
      </c>
      <c r="S153" s="10" t="str">
        <f aca="false">IF(OR($A153="",N(F153)&lt;=0),"",_xlfn.MAXIFS(Transactions!$A:$A,Transactions!$O:$O,$A153,Transactions!$B:$B,"Sell shares"))</f>
        <v/>
      </c>
      <c r="T153" s="14" t="str">
        <f aca="false">IF(OR($A153="",E153=""),"",E153*G153)</f>
        <v/>
      </c>
    </row>
    <row r="154" customFormat="false" ht="15" hidden="false" customHeight="false" outlineLevel="0" collapsed="false">
      <c r="A154" s="21"/>
      <c r="B154" s="8" t="str">
        <f aca="false">IF($A154="","",IFERROR(INDEX(Transactions!$C:$C,MATCH($A154,Transactions!$O:$O,0)),""))</f>
        <v/>
      </c>
      <c r="C154" s="10" t="str">
        <f aca="false">IF($A154="","",IF(COUNTIFS(Transactions!$O:$O,$A154,Transactions!$B:$B,"Buy shares")=0,"",_xlfn.MINIFS(Transactions!$A:$A,Transactions!$O:$O,$A154,Transactions!$B:$B,"Buy shares")))</f>
        <v/>
      </c>
      <c r="D154" s="18" t="str">
        <f aca="false">IF($A154="","",SUMIFS(Transactions!$E:$E,Transactions!$O:$O,$A154,Transactions!$B:$B,"Buy shares"))</f>
        <v/>
      </c>
      <c r="E154" s="26" t="str">
        <f aca="false">IF($A154="","",IF(D154=0,"",-SUMIFS(Transactions!$J:$J,Transactions!$O:$O,$A154,Transactions!$B:$B,"Buy shares")/D154))</f>
        <v/>
      </c>
      <c r="F154" s="18" t="str">
        <f aca="false">IF($A154="","",-SUMIFS(Transactions!$E:$E,Transactions!$O:$O,$A154,Transactions!$B:$B,"Sell shares"))</f>
        <v/>
      </c>
      <c r="G154" s="18" t="str">
        <f aca="false">IF($A154="","",D154-F154)</f>
        <v/>
      </c>
      <c r="H154" s="14" t="str">
        <f aca="false">IF($A154="","",SUMIFS(Transactions!$J:$J,Transactions!$O:$O,$A154,Transactions!$B:$B,"Sell call")+SUMIFS(Transactions!$J:$J,Transactions!$O:$O,$A154,Transactions!$B:$B,"Buy to close"))</f>
        <v/>
      </c>
      <c r="I154" s="26" t="str">
        <f aca="false">IF(OR($A154="",E154=""),"",E154-H154/D154)</f>
        <v/>
      </c>
      <c r="J154" s="26" t="str">
        <f aca="false">IF($A154="","",IFERROR(INDEX(Positions!$K:$K,MATCH(B154,Positions!$B:$B,0)),""))</f>
        <v/>
      </c>
      <c r="K154" s="23"/>
      <c r="L154" s="26" t="str">
        <f aca="false">IF($A154="","",IF(K154&lt;&gt;"",K154,J154))</f>
        <v/>
      </c>
      <c r="M154" s="14" t="str">
        <f aca="false">IF(OR($A154="",L154=""),"",L154*G154)</f>
        <v/>
      </c>
      <c r="N154" s="14" t="str">
        <f aca="false">IF(OR(M154="",E154=""),"",(L154-E154)*G154)</f>
        <v/>
      </c>
      <c r="O154" s="8" t="str">
        <f aca="false">IF($A154="","",IF(G154&lt;=0,"Sold",IF((-SUMIFS(Transactions!$E:$E,Transactions!$O:$O,$A154,Transactions!$B:$B,"Sell call")-SUMIFS(Transactions!$E:$E,Transactions!$O:$O,$A154,Transactions!$B:$B,"Buy to close")-SUMIFS(Transactions!$E:$E,Transactions!$O:$O,$A154,Transactions!$B:$B,"Expired")-SUMIFS(Transactions!$E:$E,Transactions!$O:$O,$A154,Transactions!$B:$B,"Assigned"))&gt;0,"Covered","Free")))</f>
        <v/>
      </c>
      <c r="P154" s="26" t="str">
        <f aca="false">IF(OR(I154="",G154&lt;=0),"",CEILING(MAX(I154,N(L154)),IF(E154&lt;50,0.5,IF(E154&lt;200,1,5))))</f>
        <v/>
      </c>
      <c r="Q154" s="8" t="str">
        <f aca="true">IF(OR(N154="",G154&lt;=0),"",IF(N154&gt;=0,"",IF(COUNTIFS($B:$B,B154,$C:$C,"&gt;="&amp;(TODAY()-30),$C:$C,"&lt;="&amp;TODAY(),$A:$A,"&lt;&gt;"&amp;$A154)&gt;0,"Loss sale now = wash sale","OK to harvest loss")))</f>
        <v/>
      </c>
      <c r="R154" s="14" t="str">
        <f aca="false">IF(OR($A154="",N(F154)&lt;=0),"",SUMIFS(Transactions!$J:$J,Transactions!$O:$O,$A154,Transactions!$B:$B,"Sell shares")-E154*F154)</f>
        <v/>
      </c>
      <c r="S154" s="10" t="str">
        <f aca="false">IF(OR($A154="",N(F154)&lt;=0),"",_xlfn.MAXIFS(Transactions!$A:$A,Transactions!$O:$O,$A154,Transactions!$B:$B,"Sell shares"))</f>
        <v/>
      </c>
      <c r="T154" s="14" t="str">
        <f aca="false">IF(OR($A154="",E154=""),"",E154*G154)</f>
        <v/>
      </c>
    </row>
    <row r="155" customFormat="false" ht="15" hidden="false" customHeight="false" outlineLevel="0" collapsed="false">
      <c r="A155" s="21"/>
      <c r="B155" s="8" t="str">
        <f aca="false">IF($A155="","",IFERROR(INDEX(Transactions!$C:$C,MATCH($A155,Transactions!$O:$O,0)),""))</f>
        <v/>
      </c>
      <c r="C155" s="10" t="str">
        <f aca="false">IF($A155="","",IF(COUNTIFS(Transactions!$O:$O,$A155,Transactions!$B:$B,"Buy shares")=0,"",_xlfn.MINIFS(Transactions!$A:$A,Transactions!$O:$O,$A155,Transactions!$B:$B,"Buy shares")))</f>
        <v/>
      </c>
      <c r="D155" s="18" t="str">
        <f aca="false">IF($A155="","",SUMIFS(Transactions!$E:$E,Transactions!$O:$O,$A155,Transactions!$B:$B,"Buy shares"))</f>
        <v/>
      </c>
      <c r="E155" s="26" t="str">
        <f aca="false">IF($A155="","",IF(D155=0,"",-SUMIFS(Transactions!$J:$J,Transactions!$O:$O,$A155,Transactions!$B:$B,"Buy shares")/D155))</f>
        <v/>
      </c>
      <c r="F155" s="18" t="str">
        <f aca="false">IF($A155="","",-SUMIFS(Transactions!$E:$E,Transactions!$O:$O,$A155,Transactions!$B:$B,"Sell shares"))</f>
        <v/>
      </c>
      <c r="G155" s="18" t="str">
        <f aca="false">IF($A155="","",D155-F155)</f>
        <v/>
      </c>
      <c r="H155" s="14" t="str">
        <f aca="false">IF($A155="","",SUMIFS(Transactions!$J:$J,Transactions!$O:$O,$A155,Transactions!$B:$B,"Sell call")+SUMIFS(Transactions!$J:$J,Transactions!$O:$O,$A155,Transactions!$B:$B,"Buy to close"))</f>
        <v/>
      </c>
      <c r="I155" s="26" t="str">
        <f aca="false">IF(OR($A155="",E155=""),"",E155-H155/D155)</f>
        <v/>
      </c>
      <c r="J155" s="26" t="str">
        <f aca="false">IF($A155="","",IFERROR(INDEX(Positions!$K:$K,MATCH(B155,Positions!$B:$B,0)),""))</f>
        <v/>
      </c>
      <c r="K155" s="23"/>
      <c r="L155" s="26" t="str">
        <f aca="false">IF($A155="","",IF(K155&lt;&gt;"",K155,J155))</f>
        <v/>
      </c>
      <c r="M155" s="14" t="str">
        <f aca="false">IF(OR($A155="",L155=""),"",L155*G155)</f>
        <v/>
      </c>
      <c r="N155" s="14" t="str">
        <f aca="false">IF(OR(M155="",E155=""),"",(L155-E155)*G155)</f>
        <v/>
      </c>
      <c r="O155" s="8" t="str">
        <f aca="false">IF($A155="","",IF(G155&lt;=0,"Sold",IF((-SUMIFS(Transactions!$E:$E,Transactions!$O:$O,$A155,Transactions!$B:$B,"Sell call")-SUMIFS(Transactions!$E:$E,Transactions!$O:$O,$A155,Transactions!$B:$B,"Buy to close")-SUMIFS(Transactions!$E:$E,Transactions!$O:$O,$A155,Transactions!$B:$B,"Expired")-SUMIFS(Transactions!$E:$E,Transactions!$O:$O,$A155,Transactions!$B:$B,"Assigned"))&gt;0,"Covered","Free")))</f>
        <v/>
      </c>
      <c r="P155" s="26" t="str">
        <f aca="false">IF(OR(I155="",G155&lt;=0),"",CEILING(MAX(I155,N(L155)),IF(E155&lt;50,0.5,IF(E155&lt;200,1,5))))</f>
        <v/>
      </c>
      <c r="Q155" s="8" t="str">
        <f aca="true">IF(OR(N155="",G155&lt;=0),"",IF(N155&gt;=0,"",IF(COUNTIFS($B:$B,B155,$C:$C,"&gt;="&amp;(TODAY()-30),$C:$C,"&lt;="&amp;TODAY(),$A:$A,"&lt;&gt;"&amp;$A155)&gt;0,"Loss sale now = wash sale","OK to harvest loss")))</f>
        <v/>
      </c>
      <c r="R155" s="14" t="str">
        <f aca="false">IF(OR($A155="",N(F155)&lt;=0),"",SUMIFS(Transactions!$J:$J,Transactions!$O:$O,$A155,Transactions!$B:$B,"Sell shares")-E155*F155)</f>
        <v/>
      </c>
      <c r="S155" s="10" t="str">
        <f aca="false">IF(OR($A155="",N(F155)&lt;=0),"",_xlfn.MAXIFS(Transactions!$A:$A,Transactions!$O:$O,$A155,Transactions!$B:$B,"Sell shares"))</f>
        <v/>
      </c>
      <c r="T155" s="14" t="str">
        <f aca="false">IF(OR($A155="",E155=""),"",E155*G155)</f>
        <v/>
      </c>
    </row>
    <row r="156" customFormat="false" ht="15" hidden="false" customHeight="false" outlineLevel="0" collapsed="false">
      <c r="A156" s="21"/>
      <c r="B156" s="8" t="str">
        <f aca="false">IF($A156="","",IFERROR(INDEX(Transactions!$C:$C,MATCH($A156,Transactions!$O:$O,0)),""))</f>
        <v/>
      </c>
      <c r="C156" s="10" t="str">
        <f aca="false">IF($A156="","",IF(COUNTIFS(Transactions!$O:$O,$A156,Transactions!$B:$B,"Buy shares")=0,"",_xlfn.MINIFS(Transactions!$A:$A,Transactions!$O:$O,$A156,Transactions!$B:$B,"Buy shares")))</f>
        <v/>
      </c>
      <c r="D156" s="18" t="str">
        <f aca="false">IF($A156="","",SUMIFS(Transactions!$E:$E,Transactions!$O:$O,$A156,Transactions!$B:$B,"Buy shares"))</f>
        <v/>
      </c>
      <c r="E156" s="26" t="str">
        <f aca="false">IF($A156="","",IF(D156=0,"",-SUMIFS(Transactions!$J:$J,Transactions!$O:$O,$A156,Transactions!$B:$B,"Buy shares")/D156))</f>
        <v/>
      </c>
      <c r="F156" s="18" t="str">
        <f aca="false">IF($A156="","",-SUMIFS(Transactions!$E:$E,Transactions!$O:$O,$A156,Transactions!$B:$B,"Sell shares"))</f>
        <v/>
      </c>
      <c r="G156" s="18" t="str">
        <f aca="false">IF($A156="","",D156-F156)</f>
        <v/>
      </c>
      <c r="H156" s="14" t="str">
        <f aca="false">IF($A156="","",SUMIFS(Transactions!$J:$J,Transactions!$O:$O,$A156,Transactions!$B:$B,"Sell call")+SUMIFS(Transactions!$J:$J,Transactions!$O:$O,$A156,Transactions!$B:$B,"Buy to close"))</f>
        <v/>
      </c>
      <c r="I156" s="26" t="str">
        <f aca="false">IF(OR($A156="",E156=""),"",E156-H156/D156)</f>
        <v/>
      </c>
      <c r="J156" s="26" t="str">
        <f aca="false">IF($A156="","",IFERROR(INDEX(Positions!$K:$K,MATCH(B156,Positions!$B:$B,0)),""))</f>
        <v/>
      </c>
      <c r="K156" s="23"/>
      <c r="L156" s="26" t="str">
        <f aca="false">IF($A156="","",IF(K156&lt;&gt;"",K156,J156))</f>
        <v/>
      </c>
      <c r="M156" s="14" t="str">
        <f aca="false">IF(OR($A156="",L156=""),"",L156*G156)</f>
        <v/>
      </c>
      <c r="N156" s="14" t="str">
        <f aca="false">IF(OR(M156="",E156=""),"",(L156-E156)*G156)</f>
        <v/>
      </c>
      <c r="O156" s="8" t="str">
        <f aca="false">IF($A156="","",IF(G156&lt;=0,"Sold",IF((-SUMIFS(Transactions!$E:$E,Transactions!$O:$O,$A156,Transactions!$B:$B,"Sell call")-SUMIFS(Transactions!$E:$E,Transactions!$O:$O,$A156,Transactions!$B:$B,"Buy to close")-SUMIFS(Transactions!$E:$E,Transactions!$O:$O,$A156,Transactions!$B:$B,"Expired")-SUMIFS(Transactions!$E:$E,Transactions!$O:$O,$A156,Transactions!$B:$B,"Assigned"))&gt;0,"Covered","Free")))</f>
        <v/>
      </c>
      <c r="P156" s="26" t="str">
        <f aca="false">IF(OR(I156="",G156&lt;=0),"",CEILING(MAX(I156,N(L156)),IF(E156&lt;50,0.5,IF(E156&lt;200,1,5))))</f>
        <v/>
      </c>
      <c r="Q156" s="8" t="str">
        <f aca="true">IF(OR(N156="",G156&lt;=0),"",IF(N156&gt;=0,"",IF(COUNTIFS($B:$B,B156,$C:$C,"&gt;="&amp;(TODAY()-30),$C:$C,"&lt;="&amp;TODAY(),$A:$A,"&lt;&gt;"&amp;$A156)&gt;0,"Loss sale now = wash sale","OK to harvest loss")))</f>
        <v/>
      </c>
      <c r="R156" s="14" t="str">
        <f aca="false">IF(OR($A156="",N(F156)&lt;=0),"",SUMIFS(Transactions!$J:$J,Transactions!$O:$O,$A156,Transactions!$B:$B,"Sell shares")-E156*F156)</f>
        <v/>
      </c>
      <c r="S156" s="10" t="str">
        <f aca="false">IF(OR($A156="",N(F156)&lt;=0),"",_xlfn.MAXIFS(Transactions!$A:$A,Transactions!$O:$O,$A156,Transactions!$B:$B,"Sell shares"))</f>
        <v/>
      </c>
      <c r="T156" s="14" t="str">
        <f aca="false">IF(OR($A156="",E156=""),"",E156*G156)</f>
        <v/>
      </c>
    </row>
    <row r="157" customFormat="false" ht="15" hidden="false" customHeight="false" outlineLevel="0" collapsed="false">
      <c r="A157" s="21"/>
      <c r="B157" s="8" t="str">
        <f aca="false">IF($A157="","",IFERROR(INDEX(Transactions!$C:$C,MATCH($A157,Transactions!$O:$O,0)),""))</f>
        <v/>
      </c>
      <c r="C157" s="10" t="str">
        <f aca="false">IF($A157="","",IF(COUNTIFS(Transactions!$O:$O,$A157,Transactions!$B:$B,"Buy shares")=0,"",_xlfn.MINIFS(Transactions!$A:$A,Transactions!$O:$O,$A157,Transactions!$B:$B,"Buy shares")))</f>
        <v/>
      </c>
      <c r="D157" s="18" t="str">
        <f aca="false">IF($A157="","",SUMIFS(Transactions!$E:$E,Transactions!$O:$O,$A157,Transactions!$B:$B,"Buy shares"))</f>
        <v/>
      </c>
      <c r="E157" s="26" t="str">
        <f aca="false">IF($A157="","",IF(D157=0,"",-SUMIFS(Transactions!$J:$J,Transactions!$O:$O,$A157,Transactions!$B:$B,"Buy shares")/D157))</f>
        <v/>
      </c>
      <c r="F157" s="18" t="str">
        <f aca="false">IF($A157="","",-SUMIFS(Transactions!$E:$E,Transactions!$O:$O,$A157,Transactions!$B:$B,"Sell shares"))</f>
        <v/>
      </c>
      <c r="G157" s="18" t="str">
        <f aca="false">IF($A157="","",D157-F157)</f>
        <v/>
      </c>
      <c r="H157" s="14" t="str">
        <f aca="false">IF($A157="","",SUMIFS(Transactions!$J:$J,Transactions!$O:$O,$A157,Transactions!$B:$B,"Sell call")+SUMIFS(Transactions!$J:$J,Transactions!$O:$O,$A157,Transactions!$B:$B,"Buy to close"))</f>
        <v/>
      </c>
      <c r="I157" s="26" t="str">
        <f aca="false">IF(OR($A157="",E157=""),"",E157-H157/D157)</f>
        <v/>
      </c>
      <c r="J157" s="26" t="str">
        <f aca="false">IF($A157="","",IFERROR(INDEX(Positions!$K:$K,MATCH(B157,Positions!$B:$B,0)),""))</f>
        <v/>
      </c>
      <c r="K157" s="23"/>
      <c r="L157" s="26" t="str">
        <f aca="false">IF($A157="","",IF(K157&lt;&gt;"",K157,J157))</f>
        <v/>
      </c>
      <c r="M157" s="14" t="str">
        <f aca="false">IF(OR($A157="",L157=""),"",L157*G157)</f>
        <v/>
      </c>
      <c r="N157" s="14" t="str">
        <f aca="false">IF(OR(M157="",E157=""),"",(L157-E157)*G157)</f>
        <v/>
      </c>
      <c r="O157" s="8" t="str">
        <f aca="false">IF($A157="","",IF(G157&lt;=0,"Sold",IF((-SUMIFS(Transactions!$E:$E,Transactions!$O:$O,$A157,Transactions!$B:$B,"Sell call")-SUMIFS(Transactions!$E:$E,Transactions!$O:$O,$A157,Transactions!$B:$B,"Buy to close")-SUMIFS(Transactions!$E:$E,Transactions!$O:$O,$A157,Transactions!$B:$B,"Expired")-SUMIFS(Transactions!$E:$E,Transactions!$O:$O,$A157,Transactions!$B:$B,"Assigned"))&gt;0,"Covered","Free")))</f>
        <v/>
      </c>
      <c r="P157" s="26" t="str">
        <f aca="false">IF(OR(I157="",G157&lt;=0),"",CEILING(MAX(I157,N(L157)),IF(E157&lt;50,0.5,IF(E157&lt;200,1,5))))</f>
        <v/>
      </c>
      <c r="Q157" s="8" t="str">
        <f aca="true">IF(OR(N157="",G157&lt;=0),"",IF(N157&gt;=0,"",IF(COUNTIFS($B:$B,B157,$C:$C,"&gt;="&amp;(TODAY()-30),$C:$C,"&lt;="&amp;TODAY(),$A:$A,"&lt;&gt;"&amp;$A157)&gt;0,"Loss sale now = wash sale","OK to harvest loss")))</f>
        <v/>
      </c>
      <c r="R157" s="14" t="str">
        <f aca="false">IF(OR($A157="",N(F157)&lt;=0),"",SUMIFS(Transactions!$J:$J,Transactions!$O:$O,$A157,Transactions!$B:$B,"Sell shares")-E157*F157)</f>
        <v/>
      </c>
      <c r="S157" s="10" t="str">
        <f aca="false">IF(OR($A157="",N(F157)&lt;=0),"",_xlfn.MAXIFS(Transactions!$A:$A,Transactions!$O:$O,$A157,Transactions!$B:$B,"Sell shares"))</f>
        <v/>
      </c>
      <c r="T157" s="14" t="str">
        <f aca="false">IF(OR($A157="",E157=""),"",E157*G157)</f>
        <v/>
      </c>
    </row>
    <row r="158" customFormat="false" ht="15" hidden="false" customHeight="false" outlineLevel="0" collapsed="false">
      <c r="A158" s="21"/>
      <c r="B158" s="8" t="str">
        <f aca="false">IF($A158="","",IFERROR(INDEX(Transactions!$C:$C,MATCH($A158,Transactions!$O:$O,0)),""))</f>
        <v/>
      </c>
      <c r="C158" s="10" t="str">
        <f aca="false">IF($A158="","",IF(COUNTIFS(Transactions!$O:$O,$A158,Transactions!$B:$B,"Buy shares")=0,"",_xlfn.MINIFS(Transactions!$A:$A,Transactions!$O:$O,$A158,Transactions!$B:$B,"Buy shares")))</f>
        <v/>
      </c>
      <c r="D158" s="18" t="str">
        <f aca="false">IF($A158="","",SUMIFS(Transactions!$E:$E,Transactions!$O:$O,$A158,Transactions!$B:$B,"Buy shares"))</f>
        <v/>
      </c>
      <c r="E158" s="26" t="str">
        <f aca="false">IF($A158="","",IF(D158=0,"",-SUMIFS(Transactions!$J:$J,Transactions!$O:$O,$A158,Transactions!$B:$B,"Buy shares")/D158))</f>
        <v/>
      </c>
      <c r="F158" s="18" t="str">
        <f aca="false">IF($A158="","",-SUMIFS(Transactions!$E:$E,Transactions!$O:$O,$A158,Transactions!$B:$B,"Sell shares"))</f>
        <v/>
      </c>
      <c r="G158" s="18" t="str">
        <f aca="false">IF($A158="","",D158-F158)</f>
        <v/>
      </c>
      <c r="H158" s="14" t="str">
        <f aca="false">IF($A158="","",SUMIFS(Transactions!$J:$J,Transactions!$O:$O,$A158,Transactions!$B:$B,"Sell call")+SUMIFS(Transactions!$J:$J,Transactions!$O:$O,$A158,Transactions!$B:$B,"Buy to close"))</f>
        <v/>
      </c>
      <c r="I158" s="26" t="str">
        <f aca="false">IF(OR($A158="",E158=""),"",E158-H158/D158)</f>
        <v/>
      </c>
      <c r="J158" s="26" t="str">
        <f aca="false">IF($A158="","",IFERROR(INDEX(Positions!$K:$K,MATCH(B158,Positions!$B:$B,0)),""))</f>
        <v/>
      </c>
      <c r="K158" s="23"/>
      <c r="L158" s="26" t="str">
        <f aca="false">IF($A158="","",IF(K158&lt;&gt;"",K158,J158))</f>
        <v/>
      </c>
      <c r="M158" s="14" t="str">
        <f aca="false">IF(OR($A158="",L158=""),"",L158*G158)</f>
        <v/>
      </c>
      <c r="N158" s="14" t="str">
        <f aca="false">IF(OR(M158="",E158=""),"",(L158-E158)*G158)</f>
        <v/>
      </c>
      <c r="O158" s="8" t="str">
        <f aca="false">IF($A158="","",IF(G158&lt;=0,"Sold",IF((-SUMIFS(Transactions!$E:$E,Transactions!$O:$O,$A158,Transactions!$B:$B,"Sell call")-SUMIFS(Transactions!$E:$E,Transactions!$O:$O,$A158,Transactions!$B:$B,"Buy to close")-SUMIFS(Transactions!$E:$E,Transactions!$O:$O,$A158,Transactions!$B:$B,"Expired")-SUMIFS(Transactions!$E:$E,Transactions!$O:$O,$A158,Transactions!$B:$B,"Assigned"))&gt;0,"Covered","Free")))</f>
        <v/>
      </c>
      <c r="P158" s="26" t="str">
        <f aca="false">IF(OR(I158="",G158&lt;=0),"",CEILING(MAX(I158,N(L158)),IF(E158&lt;50,0.5,IF(E158&lt;200,1,5))))</f>
        <v/>
      </c>
      <c r="Q158" s="8" t="str">
        <f aca="true">IF(OR(N158="",G158&lt;=0),"",IF(N158&gt;=0,"",IF(COUNTIFS($B:$B,B158,$C:$C,"&gt;="&amp;(TODAY()-30),$C:$C,"&lt;="&amp;TODAY(),$A:$A,"&lt;&gt;"&amp;$A158)&gt;0,"Loss sale now = wash sale","OK to harvest loss")))</f>
        <v/>
      </c>
      <c r="R158" s="14" t="str">
        <f aca="false">IF(OR($A158="",N(F158)&lt;=0),"",SUMIFS(Transactions!$J:$J,Transactions!$O:$O,$A158,Transactions!$B:$B,"Sell shares")-E158*F158)</f>
        <v/>
      </c>
      <c r="S158" s="10" t="str">
        <f aca="false">IF(OR($A158="",N(F158)&lt;=0),"",_xlfn.MAXIFS(Transactions!$A:$A,Transactions!$O:$O,$A158,Transactions!$B:$B,"Sell shares"))</f>
        <v/>
      </c>
      <c r="T158" s="14" t="str">
        <f aca="false">IF(OR($A158="",E158=""),"",E158*G158)</f>
        <v/>
      </c>
    </row>
    <row r="159" customFormat="false" ht="15" hidden="false" customHeight="false" outlineLevel="0" collapsed="false">
      <c r="A159" s="21"/>
      <c r="B159" s="8" t="str">
        <f aca="false">IF($A159="","",IFERROR(INDEX(Transactions!$C:$C,MATCH($A159,Transactions!$O:$O,0)),""))</f>
        <v/>
      </c>
      <c r="C159" s="10" t="str">
        <f aca="false">IF($A159="","",IF(COUNTIFS(Transactions!$O:$O,$A159,Transactions!$B:$B,"Buy shares")=0,"",_xlfn.MINIFS(Transactions!$A:$A,Transactions!$O:$O,$A159,Transactions!$B:$B,"Buy shares")))</f>
        <v/>
      </c>
      <c r="D159" s="18" t="str">
        <f aca="false">IF($A159="","",SUMIFS(Transactions!$E:$E,Transactions!$O:$O,$A159,Transactions!$B:$B,"Buy shares"))</f>
        <v/>
      </c>
      <c r="E159" s="26" t="str">
        <f aca="false">IF($A159="","",IF(D159=0,"",-SUMIFS(Transactions!$J:$J,Transactions!$O:$O,$A159,Transactions!$B:$B,"Buy shares")/D159))</f>
        <v/>
      </c>
      <c r="F159" s="18" t="str">
        <f aca="false">IF($A159="","",-SUMIFS(Transactions!$E:$E,Transactions!$O:$O,$A159,Transactions!$B:$B,"Sell shares"))</f>
        <v/>
      </c>
      <c r="G159" s="18" t="str">
        <f aca="false">IF($A159="","",D159-F159)</f>
        <v/>
      </c>
      <c r="H159" s="14" t="str">
        <f aca="false">IF($A159="","",SUMIFS(Transactions!$J:$J,Transactions!$O:$O,$A159,Transactions!$B:$B,"Sell call")+SUMIFS(Transactions!$J:$J,Transactions!$O:$O,$A159,Transactions!$B:$B,"Buy to close"))</f>
        <v/>
      </c>
      <c r="I159" s="26" t="str">
        <f aca="false">IF(OR($A159="",E159=""),"",E159-H159/D159)</f>
        <v/>
      </c>
      <c r="J159" s="26" t="str">
        <f aca="false">IF($A159="","",IFERROR(INDEX(Positions!$K:$K,MATCH(B159,Positions!$B:$B,0)),""))</f>
        <v/>
      </c>
      <c r="K159" s="23"/>
      <c r="L159" s="26" t="str">
        <f aca="false">IF($A159="","",IF(K159&lt;&gt;"",K159,J159))</f>
        <v/>
      </c>
      <c r="M159" s="14" t="str">
        <f aca="false">IF(OR($A159="",L159=""),"",L159*G159)</f>
        <v/>
      </c>
      <c r="N159" s="14" t="str">
        <f aca="false">IF(OR(M159="",E159=""),"",(L159-E159)*G159)</f>
        <v/>
      </c>
      <c r="O159" s="8" t="str">
        <f aca="false">IF($A159="","",IF(G159&lt;=0,"Sold",IF((-SUMIFS(Transactions!$E:$E,Transactions!$O:$O,$A159,Transactions!$B:$B,"Sell call")-SUMIFS(Transactions!$E:$E,Transactions!$O:$O,$A159,Transactions!$B:$B,"Buy to close")-SUMIFS(Transactions!$E:$E,Transactions!$O:$O,$A159,Transactions!$B:$B,"Expired")-SUMIFS(Transactions!$E:$E,Transactions!$O:$O,$A159,Transactions!$B:$B,"Assigned"))&gt;0,"Covered","Free")))</f>
        <v/>
      </c>
      <c r="P159" s="26" t="str">
        <f aca="false">IF(OR(I159="",G159&lt;=0),"",CEILING(MAX(I159,N(L159)),IF(E159&lt;50,0.5,IF(E159&lt;200,1,5))))</f>
        <v/>
      </c>
      <c r="Q159" s="8" t="str">
        <f aca="true">IF(OR(N159="",G159&lt;=0),"",IF(N159&gt;=0,"",IF(COUNTIFS($B:$B,B159,$C:$C,"&gt;="&amp;(TODAY()-30),$C:$C,"&lt;="&amp;TODAY(),$A:$A,"&lt;&gt;"&amp;$A159)&gt;0,"Loss sale now = wash sale","OK to harvest loss")))</f>
        <v/>
      </c>
      <c r="R159" s="14" t="str">
        <f aca="false">IF(OR($A159="",N(F159)&lt;=0),"",SUMIFS(Transactions!$J:$J,Transactions!$O:$O,$A159,Transactions!$B:$B,"Sell shares")-E159*F159)</f>
        <v/>
      </c>
      <c r="S159" s="10" t="str">
        <f aca="false">IF(OR($A159="",N(F159)&lt;=0),"",_xlfn.MAXIFS(Transactions!$A:$A,Transactions!$O:$O,$A159,Transactions!$B:$B,"Sell shares"))</f>
        <v/>
      </c>
      <c r="T159" s="14" t="str">
        <f aca="false">IF(OR($A159="",E159=""),"",E159*G159)</f>
        <v/>
      </c>
    </row>
    <row r="160" customFormat="false" ht="15" hidden="false" customHeight="false" outlineLevel="0" collapsed="false">
      <c r="A160" s="21"/>
      <c r="B160" s="8" t="str">
        <f aca="false">IF($A160="","",IFERROR(INDEX(Transactions!$C:$C,MATCH($A160,Transactions!$O:$O,0)),""))</f>
        <v/>
      </c>
      <c r="C160" s="10" t="str">
        <f aca="false">IF($A160="","",IF(COUNTIFS(Transactions!$O:$O,$A160,Transactions!$B:$B,"Buy shares")=0,"",_xlfn.MINIFS(Transactions!$A:$A,Transactions!$O:$O,$A160,Transactions!$B:$B,"Buy shares")))</f>
        <v/>
      </c>
      <c r="D160" s="18" t="str">
        <f aca="false">IF($A160="","",SUMIFS(Transactions!$E:$E,Transactions!$O:$O,$A160,Transactions!$B:$B,"Buy shares"))</f>
        <v/>
      </c>
      <c r="E160" s="26" t="str">
        <f aca="false">IF($A160="","",IF(D160=0,"",-SUMIFS(Transactions!$J:$J,Transactions!$O:$O,$A160,Transactions!$B:$B,"Buy shares")/D160))</f>
        <v/>
      </c>
      <c r="F160" s="18" t="str">
        <f aca="false">IF($A160="","",-SUMIFS(Transactions!$E:$E,Transactions!$O:$O,$A160,Transactions!$B:$B,"Sell shares"))</f>
        <v/>
      </c>
      <c r="G160" s="18" t="str">
        <f aca="false">IF($A160="","",D160-F160)</f>
        <v/>
      </c>
      <c r="H160" s="14" t="str">
        <f aca="false">IF($A160="","",SUMIFS(Transactions!$J:$J,Transactions!$O:$O,$A160,Transactions!$B:$B,"Sell call")+SUMIFS(Transactions!$J:$J,Transactions!$O:$O,$A160,Transactions!$B:$B,"Buy to close"))</f>
        <v/>
      </c>
      <c r="I160" s="26" t="str">
        <f aca="false">IF(OR($A160="",E160=""),"",E160-H160/D160)</f>
        <v/>
      </c>
      <c r="J160" s="26" t="str">
        <f aca="false">IF($A160="","",IFERROR(INDEX(Positions!$K:$K,MATCH(B160,Positions!$B:$B,0)),""))</f>
        <v/>
      </c>
      <c r="K160" s="23"/>
      <c r="L160" s="26" t="str">
        <f aca="false">IF($A160="","",IF(K160&lt;&gt;"",K160,J160))</f>
        <v/>
      </c>
      <c r="M160" s="14" t="str">
        <f aca="false">IF(OR($A160="",L160=""),"",L160*G160)</f>
        <v/>
      </c>
      <c r="N160" s="14" t="str">
        <f aca="false">IF(OR(M160="",E160=""),"",(L160-E160)*G160)</f>
        <v/>
      </c>
      <c r="O160" s="8" t="str">
        <f aca="false">IF($A160="","",IF(G160&lt;=0,"Sold",IF((-SUMIFS(Transactions!$E:$E,Transactions!$O:$O,$A160,Transactions!$B:$B,"Sell call")-SUMIFS(Transactions!$E:$E,Transactions!$O:$O,$A160,Transactions!$B:$B,"Buy to close")-SUMIFS(Transactions!$E:$E,Transactions!$O:$O,$A160,Transactions!$B:$B,"Expired")-SUMIFS(Transactions!$E:$E,Transactions!$O:$O,$A160,Transactions!$B:$B,"Assigned"))&gt;0,"Covered","Free")))</f>
        <v/>
      </c>
      <c r="P160" s="26" t="str">
        <f aca="false">IF(OR(I160="",G160&lt;=0),"",CEILING(MAX(I160,N(L160)),IF(E160&lt;50,0.5,IF(E160&lt;200,1,5))))</f>
        <v/>
      </c>
      <c r="Q160" s="8" t="str">
        <f aca="true">IF(OR(N160="",G160&lt;=0),"",IF(N160&gt;=0,"",IF(COUNTIFS($B:$B,B160,$C:$C,"&gt;="&amp;(TODAY()-30),$C:$C,"&lt;="&amp;TODAY(),$A:$A,"&lt;&gt;"&amp;$A160)&gt;0,"Loss sale now = wash sale","OK to harvest loss")))</f>
        <v/>
      </c>
      <c r="R160" s="14" t="str">
        <f aca="false">IF(OR($A160="",N(F160)&lt;=0),"",SUMIFS(Transactions!$J:$J,Transactions!$O:$O,$A160,Transactions!$B:$B,"Sell shares")-E160*F160)</f>
        <v/>
      </c>
      <c r="S160" s="10" t="str">
        <f aca="false">IF(OR($A160="",N(F160)&lt;=0),"",_xlfn.MAXIFS(Transactions!$A:$A,Transactions!$O:$O,$A160,Transactions!$B:$B,"Sell shares"))</f>
        <v/>
      </c>
      <c r="T160" s="14" t="str">
        <f aca="false">IF(OR($A160="",E160=""),"",E160*G160)</f>
        <v/>
      </c>
    </row>
    <row r="161" customFormat="false" ht="15" hidden="false" customHeight="false" outlineLevel="0" collapsed="false">
      <c r="A161" s="21"/>
      <c r="B161" s="8" t="str">
        <f aca="false">IF($A161="","",IFERROR(INDEX(Transactions!$C:$C,MATCH($A161,Transactions!$O:$O,0)),""))</f>
        <v/>
      </c>
      <c r="C161" s="10" t="str">
        <f aca="false">IF($A161="","",IF(COUNTIFS(Transactions!$O:$O,$A161,Transactions!$B:$B,"Buy shares")=0,"",_xlfn.MINIFS(Transactions!$A:$A,Transactions!$O:$O,$A161,Transactions!$B:$B,"Buy shares")))</f>
        <v/>
      </c>
      <c r="D161" s="18" t="str">
        <f aca="false">IF($A161="","",SUMIFS(Transactions!$E:$E,Transactions!$O:$O,$A161,Transactions!$B:$B,"Buy shares"))</f>
        <v/>
      </c>
      <c r="E161" s="26" t="str">
        <f aca="false">IF($A161="","",IF(D161=0,"",-SUMIFS(Transactions!$J:$J,Transactions!$O:$O,$A161,Transactions!$B:$B,"Buy shares")/D161))</f>
        <v/>
      </c>
      <c r="F161" s="18" t="str">
        <f aca="false">IF($A161="","",-SUMIFS(Transactions!$E:$E,Transactions!$O:$O,$A161,Transactions!$B:$B,"Sell shares"))</f>
        <v/>
      </c>
      <c r="G161" s="18" t="str">
        <f aca="false">IF($A161="","",D161-F161)</f>
        <v/>
      </c>
      <c r="H161" s="14" t="str">
        <f aca="false">IF($A161="","",SUMIFS(Transactions!$J:$J,Transactions!$O:$O,$A161,Transactions!$B:$B,"Sell call")+SUMIFS(Transactions!$J:$J,Transactions!$O:$O,$A161,Transactions!$B:$B,"Buy to close"))</f>
        <v/>
      </c>
      <c r="I161" s="26" t="str">
        <f aca="false">IF(OR($A161="",E161=""),"",E161-H161/D161)</f>
        <v/>
      </c>
      <c r="J161" s="26" t="str">
        <f aca="false">IF($A161="","",IFERROR(INDEX(Positions!$K:$K,MATCH(B161,Positions!$B:$B,0)),""))</f>
        <v/>
      </c>
      <c r="K161" s="23"/>
      <c r="L161" s="26" t="str">
        <f aca="false">IF($A161="","",IF(K161&lt;&gt;"",K161,J161))</f>
        <v/>
      </c>
      <c r="M161" s="14" t="str">
        <f aca="false">IF(OR($A161="",L161=""),"",L161*G161)</f>
        <v/>
      </c>
      <c r="N161" s="14" t="str">
        <f aca="false">IF(OR(M161="",E161=""),"",(L161-E161)*G161)</f>
        <v/>
      </c>
      <c r="O161" s="8" t="str">
        <f aca="false">IF($A161="","",IF(G161&lt;=0,"Sold",IF((-SUMIFS(Transactions!$E:$E,Transactions!$O:$O,$A161,Transactions!$B:$B,"Sell call")-SUMIFS(Transactions!$E:$E,Transactions!$O:$O,$A161,Transactions!$B:$B,"Buy to close")-SUMIFS(Transactions!$E:$E,Transactions!$O:$O,$A161,Transactions!$B:$B,"Expired")-SUMIFS(Transactions!$E:$E,Transactions!$O:$O,$A161,Transactions!$B:$B,"Assigned"))&gt;0,"Covered","Free")))</f>
        <v/>
      </c>
      <c r="P161" s="26" t="str">
        <f aca="false">IF(OR(I161="",G161&lt;=0),"",CEILING(MAX(I161,N(L161)),IF(E161&lt;50,0.5,IF(E161&lt;200,1,5))))</f>
        <v/>
      </c>
      <c r="Q161" s="8" t="str">
        <f aca="true">IF(OR(N161="",G161&lt;=0),"",IF(N161&gt;=0,"",IF(COUNTIFS($B:$B,B161,$C:$C,"&gt;="&amp;(TODAY()-30),$C:$C,"&lt;="&amp;TODAY(),$A:$A,"&lt;&gt;"&amp;$A161)&gt;0,"Loss sale now = wash sale","OK to harvest loss")))</f>
        <v/>
      </c>
      <c r="R161" s="14" t="str">
        <f aca="false">IF(OR($A161="",N(F161)&lt;=0),"",SUMIFS(Transactions!$J:$J,Transactions!$O:$O,$A161,Transactions!$B:$B,"Sell shares")-E161*F161)</f>
        <v/>
      </c>
      <c r="S161" s="10" t="str">
        <f aca="false">IF(OR($A161="",N(F161)&lt;=0),"",_xlfn.MAXIFS(Transactions!$A:$A,Transactions!$O:$O,$A161,Transactions!$B:$B,"Sell shares"))</f>
        <v/>
      </c>
      <c r="T161" s="14" t="str">
        <f aca="false">IF(OR($A161="",E161=""),"",E161*G161)</f>
        <v/>
      </c>
    </row>
    <row r="162" customFormat="false" ht="15" hidden="false" customHeight="false" outlineLevel="0" collapsed="false">
      <c r="A162" s="21"/>
      <c r="B162" s="8" t="str">
        <f aca="false">IF($A162="","",IFERROR(INDEX(Transactions!$C:$C,MATCH($A162,Transactions!$O:$O,0)),""))</f>
        <v/>
      </c>
      <c r="C162" s="10" t="str">
        <f aca="false">IF($A162="","",IF(COUNTIFS(Transactions!$O:$O,$A162,Transactions!$B:$B,"Buy shares")=0,"",_xlfn.MINIFS(Transactions!$A:$A,Transactions!$O:$O,$A162,Transactions!$B:$B,"Buy shares")))</f>
        <v/>
      </c>
      <c r="D162" s="18" t="str">
        <f aca="false">IF($A162="","",SUMIFS(Transactions!$E:$E,Transactions!$O:$O,$A162,Transactions!$B:$B,"Buy shares"))</f>
        <v/>
      </c>
      <c r="E162" s="26" t="str">
        <f aca="false">IF($A162="","",IF(D162=0,"",-SUMIFS(Transactions!$J:$J,Transactions!$O:$O,$A162,Transactions!$B:$B,"Buy shares")/D162))</f>
        <v/>
      </c>
      <c r="F162" s="18" t="str">
        <f aca="false">IF($A162="","",-SUMIFS(Transactions!$E:$E,Transactions!$O:$O,$A162,Transactions!$B:$B,"Sell shares"))</f>
        <v/>
      </c>
      <c r="G162" s="18" t="str">
        <f aca="false">IF($A162="","",D162-F162)</f>
        <v/>
      </c>
      <c r="H162" s="14" t="str">
        <f aca="false">IF($A162="","",SUMIFS(Transactions!$J:$J,Transactions!$O:$O,$A162,Transactions!$B:$B,"Sell call")+SUMIFS(Transactions!$J:$J,Transactions!$O:$O,$A162,Transactions!$B:$B,"Buy to close"))</f>
        <v/>
      </c>
      <c r="I162" s="26" t="str">
        <f aca="false">IF(OR($A162="",E162=""),"",E162-H162/D162)</f>
        <v/>
      </c>
      <c r="J162" s="26" t="str">
        <f aca="false">IF($A162="","",IFERROR(INDEX(Positions!$K:$K,MATCH(B162,Positions!$B:$B,0)),""))</f>
        <v/>
      </c>
      <c r="K162" s="23"/>
      <c r="L162" s="26" t="str">
        <f aca="false">IF($A162="","",IF(K162&lt;&gt;"",K162,J162))</f>
        <v/>
      </c>
      <c r="M162" s="14" t="str">
        <f aca="false">IF(OR($A162="",L162=""),"",L162*G162)</f>
        <v/>
      </c>
      <c r="N162" s="14" t="str">
        <f aca="false">IF(OR(M162="",E162=""),"",(L162-E162)*G162)</f>
        <v/>
      </c>
      <c r="O162" s="8" t="str">
        <f aca="false">IF($A162="","",IF(G162&lt;=0,"Sold",IF((-SUMIFS(Transactions!$E:$E,Transactions!$O:$O,$A162,Transactions!$B:$B,"Sell call")-SUMIFS(Transactions!$E:$E,Transactions!$O:$O,$A162,Transactions!$B:$B,"Buy to close")-SUMIFS(Transactions!$E:$E,Transactions!$O:$O,$A162,Transactions!$B:$B,"Expired")-SUMIFS(Transactions!$E:$E,Transactions!$O:$O,$A162,Transactions!$B:$B,"Assigned"))&gt;0,"Covered","Free")))</f>
        <v/>
      </c>
      <c r="P162" s="26" t="str">
        <f aca="false">IF(OR(I162="",G162&lt;=0),"",CEILING(MAX(I162,N(L162)),IF(E162&lt;50,0.5,IF(E162&lt;200,1,5))))</f>
        <v/>
      </c>
      <c r="Q162" s="8" t="str">
        <f aca="true">IF(OR(N162="",G162&lt;=0),"",IF(N162&gt;=0,"",IF(COUNTIFS($B:$B,B162,$C:$C,"&gt;="&amp;(TODAY()-30),$C:$C,"&lt;="&amp;TODAY(),$A:$A,"&lt;&gt;"&amp;$A162)&gt;0,"Loss sale now = wash sale","OK to harvest loss")))</f>
        <v/>
      </c>
      <c r="R162" s="14" t="str">
        <f aca="false">IF(OR($A162="",N(F162)&lt;=0),"",SUMIFS(Transactions!$J:$J,Transactions!$O:$O,$A162,Transactions!$B:$B,"Sell shares")-E162*F162)</f>
        <v/>
      </c>
      <c r="S162" s="10" t="str">
        <f aca="false">IF(OR($A162="",N(F162)&lt;=0),"",_xlfn.MAXIFS(Transactions!$A:$A,Transactions!$O:$O,$A162,Transactions!$B:$B,"Sell shares"))</f>
        <v/>
      </c>
      <c r="T162" s="14" t="str">
        <f aca="false">IF(OR($A162="",E162=""),"",E162*G162)</f>
        <v/>
      </c>
    </row>
    <row r="163" customFormat="false" ht="15" hidden="false" customHeight="false" outlineLevel="0" collapsed="false">
      <c r="A163" s="21"/>
      <c r="B163" s="8" t="str">
        <f aca="false">IF($A163="","",IFERROR(INDEX(Transactions!$C:$C,MATCH($A163,Transactions!$O:$O,0)),""))</f>
        <v/>
      </c>
      <c r="C163" s="10" t="str">
        <f aca="false">IF($A163="","",IF(COUNTIFS(Transactions!$O:$O,$A163,Transactions!$B:$B,"Buy shares")=0,"",_xlfn.MINIFS(Transactions!$A:$A,Transactions!$O:$O,$A163,Transactions!$B:$B,"Buy shares")))</f>
        <v/>
      </c>
      <c r="D163" s="18" t="str">
        <f aca="false">IF($A163="","",SUMIFS(Transactions!$E:$E,Transactions!$O:$O,$A163,Transactions!$B:$B,"Buy shares"))</f>
        <v/>
      </c>
      <c r="E163" s="26" t="str">
        <f aca="false">IF($A163="","",IF(D163=0,"",-SUMIFS(Transactions!$J:$J,Transactions!$O:$O,$A163,Transactions!$B:$B,"Buy shares")/D163))</f>
        <v/>
      </c>
      <c r="F163" s="18" t="str">
        <f aca="false">IF($A163="","",-SUMIFS(Transactions!$E:$E,Transactions!$O:$O,$A163,Transactions!$B:$B,"Sell shares"))</f>
        <v/>
      </c>
      <c r="G163" s="18" t="str">
        <f aca="false">IF($A163="","",D163-F163)</f>
        <v/>
      </c>
      <c r="H163" s="14" t="str">
        <f aca="false">IF($A163="","",SUMIFS(Transactions!$J:$J,Transactions!$O:$O,$A163,Transactions!$B:$B,"Sell call")+SUMIFS(Transactions!$J:$J,Transactions!$O:$O,$A163,Transactions!$B:$B,"Buy to close"))</f>
        <v/>
      </c>
      <c r="I163" s="26" t="str">
        <f aca="false">IF(OR($A163="",E163=""),"",E163-H163/D163)</f>
        <v/>
      </c>
      <c r="J163" s="26" t="str">
        <f aca="false">IF($A163="","",IFERROR(INDEX(Positions!$K:$K,MATCH(B163,Positions!$B:$B,0)),""))</f>
        <v/>
      </c>
      <c r="K163" s="23"/>
      <c r="L163" s="26" t="str">
        <f aca="false">IF($A163="","",IF(K163&lt;&gt;"",K163,J163))</f>
        <v/>
      </c>
      <c r="M163" s="14" t="str">
        <f aca="false">IF(OR($A163="",L163=""),"",L163*G163)</f>
        <v/>
      </c>
      <c r="N163" s="14" t="str">
        <f aca="false">IF(OR(M163="",E163=""),"",(L163-E163)*G163)</f>
        <v/>
      </c>
      <c r="O163" s="8" t="str">
        <f aca="false">IF($A163="","",IF(G163&lt;=0,"Sold",IF((-SUMIFS(Transactions!$E:$E,Transactions!$O:$O,$A163,Transactions!$B:$B,"Sell call")-SUMIFS(Transactions!$E:$E,Transactions!$O:$O,$A163,Transactions!$B:$B,"Buy to close")-SUMIFS(Transactions!$E:$E,Transactions!$O:$O,$A163,Transactions!$B:$B,"Expired")-SUMIFS(Transactions!$E:$E,Transactions!$O:$O,$A163,Transactions!$B:$B,"Assigned"))&gt;0,"Covered","Free")))</f>
        <v/>
      </c>
      <c r="P163" s="26" t="str">
        <f aca="false">IF(OR(I163="",G163&lt;=0),"",CEILING(MAX(I163,N(L163)),IF(E163&lt;50,0.5,IF(E163&lt;200,1,5))))</f>
        <v/>
      </c>
      <c r="Q163" s="8" t="str">
        <f aca="true">IF(OR(N163="",G163&lt;=0),"",IF(N163&gt;=0,"",IF(COUNTIFS($B:$B,B163,$C:$C,"&gt;="&amp;(TODAY()-30),$C:$C,"&lt;="&amp;TODAY(),$A:$A,"&lt;&gt;"&amp;$A163)&gt;0,"Loss sale now = wash sale","OK to harvest loss")))</f>
        <v/>
      </c>
      <c r="R163" s="14" t="str">
        <f aca="false">IF(OR($A163="",N(F163)&lt;=0),"",SUMIFS(Transactions!$J:$J,Transactions!$O:$O,$A163,Transactions!$B:$B,"Sell shares")-E163*F163)</f>
        <v/>
      </c>
      <c r="S163" s="10" t="str">
        <f aca="false">IF(OR($A163="",N(F163)&lt;=0),"",_xlfn.MAXIFS(Transactions!$A:$A,Transactions!$O:$O,$A163,Transactions!$B:$B,"Sell shares"))</f>
        <v/>
      </c>
      <c r="T163" s="14" t="str">
        <f aca="false">IF(OR($A163="",E163=""),"",E163*G163)</f>
        <v/>
      </c>
    </row>
    <row r="164" customFormat="false" ht="15" hidden="false" customHeight="false" outlineLevel="0" collapsed="false">
      <c r="A164" s="21"/>
      <c r="B164" s="8" t="str">
        <f aca="false">IF($A164="","",IFERROR(INDEX(Transactions!$C:$C,MATCH($A164,Transactions!$O:$O,0)),""))</f>
        <v/>
      </c>
      <c r="C164" s="10" t="str">
        <f aca="false">IF($A164="","",IF(COUNTIFS(Transactions!$O:$O,$A164,Transactions!$B:$B,"Buy shares")=0,"",_xlfn.MINIFS(Transactions!$A:$A,Transactions!$O:$O,$A164,Transactions!$B:$B,"Buy shares")))</f>
        <v/>
      </c>
      <c r="D164" s="18" t="str">
        <f aca="false">IF($A164="","",SUMIFS(Transactions!$E:$E,Transactions!$O:$O,$A164,Transactions!$B:$B,"Buy shares"))</f>
        <v/>
      </c>
      <c r="E164" s="26" t="str">
        <f aca="false">IF($A164="","",IF(D164=0,"",-SUMIFS(Transactions!$J:$J,Transactions!$O:$O,$A164,Transactions!$B:$B,"Buy shares")/D164))</f>
        <v/>
      </c>
      <c r="F164" s="18" t="str">
        <f aca="false">IF($A164="","",-SUMIFS(Transactions!$E:$E,Transactions!$O:$O,$A164,Transactions!$B:$B,"Sell shares"))</f>
        <v/>
      </c>
      <c r="G164" s="18" t="str">
        <f aca="false">IF($A164="","",D164-F164)</f>
        <v/>
      </c>
      <c r="H164" s="14" t="str">
        <f aca="false">IF($A164="","",SUMIFS(Transactions!$J:$J,Transactions!$O:$O,$A164,Transactions!$B:$B,"Sell call")+SUMIFS(Transactions!$J:$J,Transactions!$O:$O,$A164,Transactions!$B:$B,"Buy to close"))</f>
        <v/>
      </c>
      <c r="I164" s="26" t="str">
        <f aca="false">IF(OR($A164="",E164=""),"",E164-H164/D164)</f>
        <v/>
      </c>
      <c r="J164" s="26" t="str">
        <f aca="false">IF($A164="","",IFERROR(INDEX(Positions!$K:$K,MATCH(B164,Positions!$B:$B,0)),""))</f>
        <v/>
      </c>
      <c r="K164" s="23"/>
      <c r="L164" s="26" t="str">
        <f aca="false">IF($A164="","",IF(K164&lt;&gt;"",K164,J164))</f>
        <v/>
      </c>
      <c r="M164" s="14" t="str">
        <f aca="false">IF(OR($A164="",L164=""),"",L164*G164)</f>
        <v/>
      </c>
      <c r="N164" s="14" t="str">
        <f aca="false">IF(OR(M164="",E164=""),"",(L164-E164)*G164)</f>
        <v/>
      </c>
      <c r="O164" s="8" t="str">
        <f aca="false">IF($A164="","",IF(G164&lt;=0,"Sold",IF((-SUMIFS(Transactions!$E:$E,Transactions!$O:$O,$A164,Transactions!$B:$B,"Sell call")-SUMIFS(Transactions!$E:$E,Transactions!$O:$O,$A164,Transactions!$B:$B,"Buy to close")-SUMIFS(Transactions!$E:$E,Transactions!$O:$O,$A164,Transactions!$B:$B,"Expired")-SUMIFS(Transactions!$E:$E,Transactions!$O:$O,$A164,Transactions!$B:$B,"Assigned"))&gt;0,"Covered","Free")))</f>
        <v/>
      </c>
      <c r="P164" s="26" t="str">
        <f aca="false">IF(OR(I164="",G164&lt;=0),"",CEILING(MAX(I164,N(L164)),IF(E164&lt;50,0.5,IF(E164&lt;200,1,5))))</f>
        <v/>
      </c>
      <c r="Q164" s="8" t="str">
        <f aca="true">IF(OR(N164="",G164&lt;=0),"",IF(N164&gt;=0,"",IF(COUNTIFS($B:$B,B164,$C:$C,"&gt;="&amp;(TODAY()-30),$C:$C,"&lt;="&amp;TODAY(),$A:$A,"&lt;&gt;"&amp;$A164)&gt;0,"Loss sale now = wash sale","OK to harvest loss")))</f>
        <v/>
      </c>
      <c r="R164" s="14" t="str">
        <f aca="false">IF(OR($A164="",N(F164)&lt;=0),"",SUMIFS(Transactions!$J:$J,Transactions!$O:$O,$A164,Transactions!$B:$B,"Sell shares")-E164*F164)</f>
        <v/>
      </c>
      <c r="S164" s="10" t="str">
        <f aca="false">IF(OR($A164="",N(F164)&lt;=0),"",_xlfn.MAXIFS(Transactions!$A:$A,Transactions!$O:$O,$A164,Transactions!$B:$B,"Sell shares"))</f>
        <v/>
      </c>
      <c r="T164" s="14" t="str">
        <f aca="false">IF(OR($A164="",E164=""),"",E164*G164)</f>
        <v/>
      </c>
    </row>
    <row r="165" customFormat="false" ht="15" hidden="false" customHeight="false" outlineLevel="0" collapsed="false">
      <c r="A165" s="21"/>
      <c r="B165" s="8" t="str">
        <f aca="false">IF($A165="","",IFERROR(INDEX(Transactions!$C:$C,MATCH($A165,Transactions!$O:$O,0)),""))</f>
        <v/>
      </c>
      <c r="C165" s="10" t="str">
        <f aca="false">IF($A165="","",IF(COUNTIFS(Transactions!$O:$O,$A165,Transactions!$B:$B,"Buy shares")=0,"",_xlfn.MINIFS(Transactions!$A:$A,Transactions!$O:$O,$A165,Transactions!$B:$B,"Buy shares")))</f>
        <v/>
      </c>
      <c r="D165" s="18" t="str">
        <f aca="false">IF($A165="","",SUMIFS(Transactions!$E:$E,Transactions!$O:$O,$A165,Transactions!$B:$B,"Buy shares"))</f>
        <v/>
      </c>
      <c r="E165" s="26" t="str">
        <f aca="false">IF($A165="","",IF(D165=0,"",-SUMIFS(Transactions!$J:$J,Transactions!$O:$O,$A165,Transactions!$B:$B,"Buy shares")/D165))</f>
        <v/>
      </c>
      <c r="F165" s="18" t="str">
        <f aca="false">IF($A165="","",-SUMIFS(Transactions!$E:$E,Transactions!$O:$O,$A165,Transactions!$B:$B,"Sell shares"))</f>
        <v/>
      </c>
      <c r="G165" s="18" t="str">
        <f aca="false">IF($A165="","",D165-F165)</f>
        <v/>
      </c>
      <c r="H165" s="14" t="str">
        <f aca="false">IF($A165="","",SUMIFS(Transactions!$J:$J,Transactions!$O:$O,$A165,Transactions!$B:$B,"Sell call")+SUMIFS(Transactions!$J:$J,Transactions!$O:$O,$A165,Transactions!$B:$B,"Buy to close"))</f>
        <v/>
      </c>
      <c r="I165" s="26" t="str">
        <f aca="false">IF(OR($A165="",E165=""),"",E165-H165/D165)</f>
        <v/>
      </c>
      <c r="J165" s="26" t="str">
        <f aca="false">IF($A165="","",IFERROR(INDEX(Positions!$K:$K,MATCH(B165,Positions!$B:$B,0)),""))</f>
        <v/>
      </c>
      <c r="K165" s="23"/>
      <c r="L165" s="26" t="str">
        <f aca="false">IF($A165="","",IF(K165&lt;&gt;"",K165,J165))</f>
        <v/>
      </c>
      <c r="M165" s="14" t="str">
        <f aca="false">IF(OR($A165="",L165=""),"",L165*G165)</f>
        <v/>
      </c>
      <c r="N165" s="14" t="str">
        <f aca="false">IF(OR(M165="",E165=""),"",(L165-E165)*G165)</f>
        <v/>
      </c>
      <c r="O165" s="8" t="str">
        <f aca="false">IF($A165="","",IF(G165&lt;=0,"Sold",IF((-SUMIFS(Transactions!$E:$E,Transactions!$O:$O,$A165,Transactions!$B:$B,"Sell call")-SUMIFS(Transactions!$E:$E,Transactions!$O:$O,$A165,Transactions!$B:$B,"Buy to close")-SUMIFS(Transactions!$E:$E,Transactions!$O:$O,$A165,Transactions!$B:$B,"Expired")-SUMIFS(Transactions!$E:$E,Transactions!$O:$O,$A165,Transactions!$B:$B,"Assigned"))&gt;0,"Covered","Free")))</f>
        <v/>
      </c>
      <c r="P165" s="26" t="str">
        <f aca="false">IF(OR(I165="",G165&lt;=0),"",CEILING(MAX(I165,N(L165)),IF(E165&lt;50,0.5,IF(E165&lt;200,1,5))))</f>
        <v/>
      </c>
      <c r="Q165" s="8" t="str">
        <f aca="true">IF(OR(N165="",G165&lt;=0),"",IF(N165&gt;=0,"",IF(COUNTIFS($B:$B,B165,$C:$C,"&gt;="&amp;(TODAY()-30),$C:$C,"&lt;="&amp;TODAY(),$A:$A,"&lt;&gt;"&amp;$A165)&gt;0,"Loss sale now = wash sale","OK to harvest loss")))</f>
        <v/>
      </c>
      <c r="R165" s="14" t="str">
        <f aca="false">IF(OR($A165="",N(F165)&lt;=0),"",SUMIFS(Transactions!$J:$J,Transactions!$O:$O,$A165,Transactions!$B:$B,"Sell shares")-E165*F165)</f>
        <v/>
      </c>
      <c r="S165" s="10" t="str">
        <f aca="false">IF(OR($A165="",N(F165)&lt;=0),"",_xlfn.MAXIFS(Transactions!$A:$A,Transactions!$O:$O,$A165,Transactions!$B:$B,"Sell shares"))</f>
        <v/>
      </c>
      <c r="T165" s="14" t="str">
        <f aca="false">IF(OR($A165="",E165=""),"",E165*G165)</f>
        <v/>
      </c>
    </row>
    <row r="166" customFormat="false" ht="15" hidden="false" customHeight="false" outlineLevel="0" collapsed="false">
      <c r="A166" s="21"/>
      <c r="B166" s="8" t="str">
        <f aca="false">IF($A166="","",IFERROR(INDEX(Transactions!$C:$C,MATCH($A166,Transactions!$O:$O,0)),""))</f>
        <v/>
      </c>
      <c r="C166" s="10" t="str">
        <f aca="false">IF($A166="","",IF(COUNTIFS(Transactions!$O:$O,$A166,Transactions!$B:$B,"Buy shares")=0,"",_xlfn.MINIFS(Transactions!$A:$A,Transactions!$O:$O,$A166,Transactions!$B:$B,"Buy shares")))</f>
        <v/>
      </c>
      <c r="D166" s="18" t="str">
        <f aca="false">IF($A166="","",SUMIFS(Transactions!$E:$E,Transactions!$O:$O,$A166,Transactions!$B:$B,"Buy shares"))</f>
        <v/>
      </c>
      <c r="E166" s="26" t="str">
        <f aca="false">IF($A166="","",IF(D166=0,"",-SUMIFS(Transactions!$J:$J,Transactions!$O:$O,$A166,Transactions!$B:$B,"Buy shares")/D166))</f>
        <v/>
      </c>
      <c r="F166" s="18" t="str">
        <f aca="false">IF($A166="","",-SUMIFS(Transactions!$E:$E,Transactions!$O:$O,$A166,Transactions!$B:$B,"Sell shares"))</f>
        <v/>
      </c>
      <c r="G166" s="18" t="str">
        <f aca="false">IF($A166="","",D166-F166)</f>
        <v/>
      </c>
      <c r="H166" s="14" t="str">
        <f aca="false">IF($A166="","",SUMIFS(Transactions!$J:$J,Transactions!$O:$O,$A166,Transactions!$B:$B,"Sell call")+SUMIFS(Transactions!$J:$J,Transactions!$O:$O,$A166,Transactions!$B:$B,"Buy to close"))</f>
        <v/>
      </c>
      <c r="I166" s="26" t="str">
        <f aca="false">IF(OR($A166="",E166=""),"",E166-H166/D166)</f>
        <v/>
      </c>
      <c r="J166" s="26" t="str">
        <f aca="false">IF($A166="","",IFERROR(INDEX(Positions!$K:$K,MATCH(B166,Positions!$B:$B,0)),""))</f>
        <v/>
      </c>
      <c r="K166" s="23"/>
      <c r="L166" s="26" t="str">
        <f aca="false">IF($A166="","",IF(K166&lt;&gt;"",K166,J166))</f>
        <v/>
      </c>
      <c r="M166" s="14" t="str">
        <f aca="false">IF(OR($A166="",L166=""),"",L166*G166)</f>
        <v/>
      </c>
      <c r="N166" s="14" t="str">
        <f aca="false">IF(OR(M166="",E166=""),"",(L166-E166)*G166)</f>
        <v/>
      </c>
      <c r="O166" s="8" t="str">
        <f aca="false">IF($A166="","",IF(G166&lt;=0,"Sold",IF((-SUMIFS(Transactions!$E:$E,Transactions!$O:$O,$A166,Transactions!$B:$B,"Sell call")-SUMIFS(Transactions!$E:$E,Transactions!$O:$O,$A166,Transactions!$B:$B,"Buy to close")-SUMIFS(Transactions!$E:$E,Transactions!$O:$O,$A166,Transactions!$B:$B,"Expired")-SUMIFS(Transactions!$E:$E,Transactions!$O:$O,$A166,Transactions!$B:$B,"Assigned"))&gt;0,"Covered","Free")))</f>
        <v/>
      </c>
      <c r="P166" s="26" t="str">
        <f aca="false">IF(OR(I166="",G166&lt;=0),"",CEILING(MAX(I166,N(L166)),IF(E166&lt;50,0.5,IF(E166&lt;200,1,5))))</f>
        <v/>
      </c>
      <c r="Q166" s="8" t="str">
        <f aca="true">IF(OR(N166="",G166&lt;=0),"",IF(N166&gt;=0,"",IF(COUNTIFS($B:$B,B166,$C:$C,"&gt;="&amp;(TODAY()-30),$C:$C,"&lt;="&amp;TODAY(),$A:$A,"&lt;&gt;"&amp;$A166)&gt;0,"Loss sale now = wash sale","OK to harvest loss")))</f>
        <v/>
      </c>
      <c r="R166" s="14" t="str">
        <f aca="false">IF(OR($A166="",N(F166)&lt;=0),"",SUMIFS(Transactions!$J:$J,Transactions!$O:$O,$A166,Transactions!$B:$B,"Sell shares")-E166*F166)</f>
        <v/>
      </c>
      <c r="S166" s="10" t="str">
        <f aca="false">IF(OR($A166="",N(F166)&lt;=0),"",_xlfn.MAXIFS(Transactions!$A:$A,Transactions!$O:$O,$A166,Transactions!$B:$B,"Sell shares"))</f>
        <v/>
      </c>
      <c r="T166" s="14" t="str">
        <f aca="false">IF(OR($A166="",E166=""),"",E166*G166)</f>
        <v/>
      </c>
    </row>
    <row r="167" customFormat="false" ht="15" hidden="false" customHeight="false" outlineLevel="0" collapsed="false">
      <c r="A167" s="21"/>
      <c r="B167" s="8" t="str">
        <f aca="false">IF($A167="","",IFERROR(INDEX(Transactions!$C:$C,MATCH($A167,Transactions!$O:$O,0)),""))</f>
        <v/>
      </c>
      <c r="C167" s="10" t="str">
        <f aca="false">IF($A167="","",IF(COUNTIFS(Transactions!$O:$O,$A167,Transactions!$B:$B,"Buy shares")=0,"",_xlfn.MINIFS(Transactions!$A:$A,Transactions!$O:$O,$A167,Transactions!$B:$B,"Buy shares")))</f>
        <v/>
      </c>
      <c r="D167" s="18" t="str">
        <f aca="false">IF($A167="","",SUMIFS(Transactions!$E:$E,Transactions!$O:$O,$A167,Transactions!$B:$B,"Buy shares"))</f>
        <v/>
      </c>
      <c r="E167" s="26" t="str">
        <f aca="false">IF($A167="","",IF(D167=0,"",-SUMIFS(Transactions!$J:$J,Transactions!$O:$O,$A167,Transactions!$B:$B,"Buy shares")/D167))</f>
        <v/>
      </c>
      <c r="F167" s="18" t="str">
        <f aca="false">IF($A167="","",-SUMIFS(Transactions!$E:$E,Transactions!$O:$O,$A167,Transactions!$B:$B,"Sell shares"))</f>
        <v/>
      </c>
      <c r="G167" s="18" t="str">
        <f aca="false">IF($A167="","",D167-F167)</f>
        <v/>
      </c>
      <c r="H167" s="14" t="str">
        <f aca="false">IF($A167="","",SUMIFS(Transactions!$J:$J,Transactions!$O:$O,$A167,Transactions!$B:$B,"Sell call")+SUMIFS(Transactions!$J:$J,Transactions!$O:$O,$A167,Transactions!$B:$B,"Buy to close"))</f>
        <v/>
      </c>
      <c r="I167" s="26" t="str">
        <f aca="false">IF(OR($A167="",E167=""),"",E167-H167/D167)</f>
        <v/>
      </c>
      <c r="J167" s="26" t="str">
        <f aca="false">IF($A167="","",IFERROR(INDEX(Positions!$K:$K,MATCH(B167,Positions!$B:$B,0)),""))</f>
        <v/>
      </c>
      <c r="K167" s="23"/>
      <c r="L167" s="26" t="str">
        <f aca="false">IF($A167="","",IF(K167&lt;&gt;"",K167,J167))</f>
        <v/>
      </c>
      <c r="M167" s="14" t="str">
        <f aca="false">IF(OR($A167="",L167=""),"",L167*G167)</f>
        <v/>
      </c>
      <c r="N167" s="14" t="str">
        <f aca="false">IF(OR(M167="",E167=""),"",(L167-E167)*G167)</f>
        <v/>
      </c>
      <c r="O167" s="8" t="str">
        <f aca="false">IF($A167="","",IF(G167&lt;=0,"Sold",IF((-SUMIFS(Transactions!$E:$E,Transactions!$O:$O,$A167,Transactions!$B:$B,"Sell call")-SUMIFS(Transactions!$E:$E,Transactions!$O:$O,$A167,Transactions!$B:$B,"Buy to close")-SUMIFS(Transactions!$E:$E,Transactions!$O:$O,$A167,Transactions!$B:$B,"Expired")-SUMIFS(Transactions!$E:$E,Transactions!$O:$O,$A167,Transactions!$B:$B,"Assigned"))&gt;0,"Covered","Free")))</f>
        <v/>
      </c>
      <c r="P167" s="26" t="str">
        <f aca="false">IF(OR(I167="",G167&lt;=0),"",CEILING(MAX(I167,N(L167)),IF(E167&lt;50,0.5,IF(E167&lt;200,1,5))))</f>
        <v/>
      </c>
      <c r="Q167" s="8" t="str">
        <f aca="true">IF(OR(N167="",G167&lt;=0),"",IF(N167&gt;=0,"",IF(COUNTIFS($B:$B,B167,$C:$C,"&gt;="&amp;(TODAY()-30),$C:$C,"&lt;="&amp;TODAY(),$A:$A,"&lt;&gt;"&amp;$A167)&gt;0,"Loss sale now = wash sale","OK to harvest loss")))</f>
        <v/>
      </c>
      <c r="R167" s="14" t="str">
        <f aca="false">IF(OR($A167="",N(F167)&lt;=0),"",SUMIFS(Transactions!$J:$J,Transactions!$O:$O,$A167,Transactions!$B:$B,"Sell shares")-E167*F167)</f>
        <v/>
      </c>
      <c r="S167" s="10" t="str">
        <f aca="false">IF(OR($A167="",N(F167)&lt;=0),"",_xlfn.MAXIFS(Transactions!$A:$A,Transactions!$O:$O,$A167,Transactions!$B:$B,"Sell shares"))</f>
        <v/>
      </c>
      <c r="T167" s="14" t="str">
        <f aca="false">IF(OR($A167="",E167=""),"",E167*G167)</f>
        <v/>
      </c>
    </row>
    <row r="168" customFormat="false" ht="15" hidden="false" customHeight="false" outlineLevel="0" collapsed="false">
      <c r="A168" s="21"/>
      <c r="B168" s="8" t="str">
        <f aca="false">IF($A168="","",IFERROR(INDEX(Transactions!$C:$C,MATCH($A168,Transactions!$O:$O,0)),""))</f>
        <v/>
      </c>
      <c r="C168" s="10" t="str">
        <f aca="false">IF($A168="","",IF(COUNTIFS(Transactions!$O:$O,$A168,Transactions!$B:$B,"Buy shares")=0,"",_xlfn.MINIFS(Transactions!$A:$A,Transactions!$O:$O,$A168,Transactions!$B:$B,"Buy shares")))</f>
        <v/>
      </c>
      <c r="D168" s="18" t="str">
        <f aca="false">IF($A168="","",SUMIFS(Transactions!$E:$E,Transactions!$O:$O,$A168,Transactions!$B:$B,"Buy shares"))</f>
        <v/>
      </c>
      <c r="E168" s="26" t="str">
        <f aca="false">IF($A168="","",IF(D168=0,"",-SUMIFS(Transactions!$J:$J,Transactions!$O:$O,$A168,Transactions!$B:$B,"Buy shares")/D168))</f>
        <v/>
      </c>
      <c r="F168" s="18" t="str">
        <f aca="false">IF($A168="","",-SUMIFS(Transactions!$E:$E,Transactions!$O:$O,$A168,Transactions!$B:$B,"Sell shares"))</f>
        <v/>
      </c>
      <c r="G168" s="18" t="str">
        <f aca="false">IF($A168="","",D168-F168)</f>
        <v/>
      </c>
      <c r="H168" s="14" t="str">
        <f aca="false">IF($A168="","",SUMIFS(Transactions!$J:$J,Transactions!$O:$O,$A168,Transactions!$B:$B,"Sell call")+SUMIFS(Transactions!$J:$J,Transactions!$O:$O,$A168,Transactions!$B:$B,"Buy to close"))</f>
        <v/>
      </c>
      <c r="I168" s="26" t="str">
        <f aca="false">IF(OR($A168="",E168=""),"",E168-H168/D168)</f>
        <v/>
      </c>
      <c r="J168" s="26" t="str">
        <f aca="false">IF($A168="","",IFERROR(INDEX(Positions!$K:$K,MATCH(B168,Positions!$B:$B,0)),""))</f>
        <v/>
      </c>
      <c r="K168" s="23"/>
      <c r="L168" s="26" t="str">
        <f aca="false">IF($A168="","",IF(K168&lt;&gt;"",K168,J168))</f>
        <v/>
      </c>
      <c r="M168" s="14" t="str">
        <f aca="false">IF(OR($A168="",L168=""),"",L168*G168)</f>
        <v/>
      </c>
      <c r="N168" s="14" t="str">
        <f aca="false">IF(OR(M168="",E168=""),"",(L168-E168)*G168)</f>
        <v/>
      </c>
      <c r="O168" s="8" t="str">
        <f aca="false">IF($A168="","",IF(G168&lt;=0,"Sold",IF((-SUMIFS(Transactions!$E:$E,Transactions!$O:$O,$A168,Transactions!$B:$B,"Sell call")-SUMIFS(Transactions!$E:$E,Transactions!$O:$O,$A168,Transactions!$B:$B,"Buy to close")-SUMIFS(Transactions!$E:$E,Transactions!$O:$O,$A168,Transactions!$B:$B,"Expired")-SUMIFS(Transactions!$E:$E,Transactions!$O:$O,$A168,Transactions!$B:$B,"Assigned"))&gt;0,"Covered","Free")))</f>
        <v/>
      </c>
      <c r="P168" s="26" t="str">
        <f aca="false">IF(OR(I168="",G168&lt;=0),"",CEILING(MAX(I168,N(L168)),IF(E168&lt;50,0.5,IF(E168&lt;200,1,5))))</f>
        <v/>
      </c>
      <c r="Q168" s="8" t="str">
        <f aca="true">IF(OR(N168="",G168&lt;=0),"",IF(N168&gt;=0,"",IF(COUNTIFS($B:$B,B168,$C:$C,"&gt;="&amp;(TODAY()-30),$C:$C,"&lt;="&amp;TODAY(),$A:$A,"&lt;&gt;"&amp;$A168)&gt;0,"Loss sale now = wash sale","OK to harvest loss")))</f>
        <v/>
      </c>
      <c r="R168" s="14" t="str">
        <f aca="false">IF(OR($A168="",N(F168)&lt;=0),"",SUMIFS(Transactions!$J:$J,Transactions!$O:$O,$A168,Transactions!$B:$B,"Sell shares")-E168*F168)</f>
        <v/>
      </c>
      <c r="S168" s="10" t="str">
        <f aca="false">IF(OR($A168="",N(F168)&lt;=0),"",_xlfn.MAXIFS(Transactions!$A:$A,Transactions!$O:$O,$A168,Transactions!$B:$B,"Sell shares"))</f>
        <v/>
      </c>
      <c r="T168" s="14" t="str">
        <f aca="false">IF(OR($A168="",E168=""),"",E168*G168)</f>
        <v/>
      </c>
    </row>
    <row r="169" customFormat="false" ht="15" hidden="false" customHeight="false" outlineLevel="0" collapsed="false">
      <c r="A169" s="21"/>
      <c r="B169" s="8" t="str">
        <f aca="false">IF($A169="","",IFERROR(INDEX(Transactions!$C:$C,MATCH($A169,Transactions!$O:$O,0)),""))</f>
        <v/>
      </c>
      <c r="C169" s="10" t="str">
        <f aca="false">IF($A169="","",IF(COUNTIFS(Transactions!$O:$O,$A169,Transactions!$B:$B,"Buy shares")=0,"",_xlfn.MINIFS(Transactions!$A:$A,Transactions!$O:$O,$A169,Transactions!$B:$B,"Buy shares")))</f>
        <v/>
      </c>
      <c r="D169" s="18" t="str">
        <f aca="false">IF($A169="","",SUMIFS(Transactions!$E:$E,Transactions!$O:$O,$A169,Transactions!$B:$B,"Buy shares"))</f>
        <v/>
      </c>
      <c r="E169" s="26" t="str">
        <f aca="false">IF($A169="","",IF(D169=0,"",-SUMIFS(Transactions!$J:$J,Transactions!$O:$O,$A169,Transactions!$B:$B,"Buy shares")/D169))</f>
        <v/>
      </c>
      <c r="F169" s="18" t="str">
        <f aca="false">IF($A169="","",-SUMIFS(Transactions!$E:$E,Transactions!$O:$O,$A169,Transactions!$B:$B,"Sell shares"))</f>
        <v/>
      </c>
      <c r="G169" s="18" t="str">
        <f aca="false">IF($A169="","",D169-F169)</f>
        <v/>
      </c>
      <c r="H169" s="14" t="str">
        <f aca="false">IF($A169="","",SUMIFS(Transactions!$J:$J,Transactions!$O:$O,$A169,Transactions!$B:$B,"Sell call")+SUMIFS(Transactions!$J:$J,Transactions!$O:$O,$A169,Transactions!$B:$B,"Buy to close"))</f>
        <v/>
      </c>
      <c r="I169" s="26" t="str">
        <f aca="false">IF(OR($A169="",E169=""),"",E169-H169/D169)</f>
        <v/>
      </c>
      <c r="J169" s="26" t="str">
        <f aca="false">IF($A169="","",IFERROR(INDEX(Positions!$K:$K,MATCH(B169,Positions!$B:$B,0)),""))</f>
        <v/>
      </c>
      <c r="K169" s="23"/>
      <c r="L169" s="26" t="str">
        <f aca="false">IF($A169="","",IF(K169&lt;&gt;"",K169,J169))</f>
        <v/>
      </c>
      <c r="M169" s="14" t="str">
        <f aca="false">IF(OR($A169="",L169=""),"",L169*G169)</f>
        <v/>
      </c>
      <c r="N169" s="14" t="str">
        <f aca="false">IF(OR(M169="",E169=""),"",(L169-E169)*G169)</f>
        <v/>
      </c>
      <c r="O169" s="8" t="str">
        <f aca="false">IF($A169="","",IF(G169&lt;=0,"Sold",IF((-SUMIFS(Transactions!$E:$E,Transactions!$O:$O,$A169,Transactions!$B:$B,"Sell call")-SUMIFS(Transactions!$E:$E,Transactions!$O:$O,$A169,Transactions!$B:$B,"Buy to close")-SUMIFS(Transactions!$E:$E,Transactions!$O:$O,$A169,Transactions!$B:$B,"Expired")-SUMIFS(Transactions!$E:$E,Transactions!$O:$O,$A169,Transactions!$B:$B,"Assigned"))&gt;0,"Covered","Free")))</f>
        <v/>
      </c>
      <c r="P169" s="26" t="str">
        <f aca="false">IF(OR(I169="",G169&lt;=0),"",CEILING(MAX(I169,N(L169)),IF(E169&lt;50,0.5,IF(E169&lt;200,1,5))))</f>
        <v/>
      </c>
      <c r="Q169" s="8" t="str">
        <f aca="true">IF(OR(N169="",G169&lt;=0),"",IF(N169&gt;=0,"",IF(COUNTIFS($B:$B,B169,$C:$C,"&gt;="&amp;(TODAY()-30),$C:$C,"&lt;="&amp;TODAY(),$A:$A,"&lt;&gt;"&amp;$A169)&gt;0,"Loss sale now = wash sale","OK to harvest loss")))</f>
        <v/>
      </c>
      <c r="R169" s="14" t="str">
        <f aca="false">IF(OR($A169="",N(F169)&lt;=0),"",SUMIFS(Transactions!$J:$J,Transactions!$O:$O,$A169,Transactions!$B:$B,"Sell shares")-E169*F169)</f>
        <v/>
      </c>
      <c r="S169" s="10" t="str">
        <f aca="false">IF(OR($A169="",N(F169)&lt;=0),"",_xlfn.MAXIFS(Transactions!$A:$A,Transactions!$O:$O,$A169,Transactions!$B:$B,"Sell shares"))</f>
        <v/>
      </c>
      <c r="T169" s="14" t="str">
        <f aca="false">IF(OR($A169="",E169=""),"",E169*G169)</f>
        <v/>
      </c>
    </row>
    <row r="170" customFormat="false" ht="15" hidden="false" customHeight="false" outlineLevel="0" collapsed="false">
      <c r="A170" s="21"/>
      <c r="B170" s="8" t="str">
        <f aca="false">IF($A170="","",IFERROR(INDEX(Transactions!$C:$C,MATCH($A170,Transactions!$O:$O,0)),""))</f>
        <v/>
      </c>
      <c r="C170" s="10" t="str">
        <f aca="false">IF($A170="","",IF(COUNTIFS(Transactions!$O:$O,$A170,Transactions!$B:$B,"Buy shares")=0,"",_xlfn.MINIFS(Transactions!$A:$A,Transactions!$O:$O,$A170,Transactions!$B:$B,"Buy shares")))</f>
        <v/>
      </c>
      <c r="D170" s="18" t="str">
        <f aca="false">IF($A170="","",SUMIFS(Transactions!$E:$E,Transactions!$O:$O,$A170,Transactions!$B:$B,"Buy shares"))</f>
        <v/>
      </c>
      <c r="E170" s="26" t="str">
        <f aca="false">IF($A170="","",IF(D170=0,"",-SUMIFS(Transactions!$J:$J,Transactions!$O:$O,$A170,Transactions!$B:$B,"Buy shares")/D170))</f>
        <v/>
      </c>
      <c r="F170" s="18" t="str">
        <f aca="false">IF($A170="","",-SUMIFS(Transactions!$E:$E,Transactions!$O:$O,$A170,Transactions!$B:$B,"Sell shares"))</f>
        <v/>
      </c>
      <c r="G170" s="18" t="str">
        <f aca="false">IF($A170="","",D170-F170)</f>
        <v/>
      </c>
      <c r="H170" s="14" t="str">
        <f aca="false">IF($A170="","",SUMIFS(Transactions!$J:$J,Transactions!$O:$O,$A170,Transactions!$B:$B,"Sell call")+SUMIFS(Transactions!$J:$J,Transactions!$O:$O,$A170,Transactions!$B:$B,"Buy to close"))</f>
        <v/>
      </c>
      <c r="I170" s="26" t="str">
        <f aca="false">IF(OR($A170="",E170=""),"",E170-H170/D170)</f>
        <v/>
      </c>
      <c r="J170" s="26" t="str">
        <f aca="false">IF($A170="","",IFERROR(INDEX(Positions!$K:$K,MATCH(B170,Positions!$B:$B,0)),""))</f>
        <v/>
      </c>
      <c r="K170" s="23"/>
      <c r="L170" s="26" t="str">
        <f aca="false">IF($A170="","",IF(K170&lt;&gt;"",K170,J170))</f>
        <v/>
      </c>
      <c r="M170" s="14" t="str">
        <f aca="false">IF(OR($A170="",L170=""),"",L170*G170)</f>
        <v/>
      </c>
      <c r="N170" s="14" t="str">
        <f aca="false">IF(OR(M170="",E170=""),"",(L170-E170)*G170)</f>
        <v/>
      </c>
      <c r="O170" s="8" t="str">
        <f aca="false">IF($A170="","",IF(G170&lt;=0,"Sold",IF((-SUMIFS(Transactions!$E:$E,Transactions!$O:$O,$A170,Transactions!$B:$B,"Sell call")-SUMIFS(Transactions!$E:$E,Transactions!$O:$O,$A170,Transactions!$B:$B,"Buy to close")-SUMIFS(Transactions!$E:$E,Transactions!$O:$O,$A170,Transactions!$B:$B,"Expired")-SUMIFS(Transactions!$E:$E,Transactions!$O:$O,$A170,Transactions!$B:$B,"Assigned"))&gt;0,"Covered","Free")))</f>
        <v/>
      </c>
      <c r="P170" s="26" t="str">
        <f aca="false">IF(OR(I170="",G170&lt;=0),"",CEILING(MAX(I170,N(L170)),IF(E170&lt;50,0.5,IF(E170&lt;200,1,5))))</f>
        <v/>
      </c>
      <c r="Q170" s="8" t="str">
        <f aca="true">IF(OR(N170="",G170&lt;=0),"",IF(N170&gt;=0,"",IF(COUNTIFS($B:$B,B170,$C:$C,"&gt;="&amp;(TODAY()-30),$C:$C,"&lt;="&amp;TODAY(),$A:$A,"&lt;&gt;"&amp;$A170)&gt;0,"Loss sale now = wash sale","OK to harvest loss")))</f>
        <v/>
      </c>
      <c r="R170" s="14" t="str">
        <f aca="false">IF(OR($A170="",N(F170)&lt;=0),"",SUMIFS(Transactions!$J:$J,Transactions!$O:$O,$A170,Transactions!$B:$B,"Sell shares")-E170*F170)</f>
        <v/>
      </c>
      <c r="S170" s="10" t="str">
        <f aca="false">IF(OR($A170="",N(F170)&lt;=0),"",_xlfn.MAXIFS(Transactions!$A:$A,Transactions!$O:$O,$A170,Transactions!$B:$B,"Sell shares"))</f>
        <v/>
      </c>
      <c r="T170" s="14" t="str">
        <f aca="false">IF(OR($A170="",E170=""),"",E170*G170)</f>
        <v/>
      </c>
    </row>
    <row r="171" customFormat="false" ht="15" hidden="false" customHeight="false" outlineLevel="0" collapsed="false">
      <c r="A171" s="21"/>
      <c r="B171" s="8" t="str">
        <f aca="false">IF($A171="","",IFERROR(INDEX(Transactions!$C:$C,MATCH($A171,Transactions!$O:$O,0)),""))</f>
        <v/>
      </c>
      <c r="C171" s="10" t="str">
        <f aca="false">IF($A171="","",IF(COUNTIFS(Transactions!$O:$O,$A171,Transactions!$B:$B,"Buy shares")=0,"",_xlfn.MINIFS(Transactions!$A:$A,Transactions!$O:$O,$A171,Transactions!$B:$B,"Buy shares")))</f>
        <v/>
      </c>
      <c r="D171" s="18" t="str">
        <f aca="false">IF($A171="","",SUMIFS(Transactions!$E:$E,Transactions!$O:$O,$A171,Transactions!$B:$B,"Buy shares"))</f>
        <v/>
      </c>
      <c r="E171" s="26" t="str">
        <f aca="false">IF($A171="","",IF(D171=0,"",-SUMIFS(Transactions!$J:$J,Transactions!$O:$O,$A171,Transactions!$B:$B,"Buy shares")/D171))</f>
        <v/>
      </c>
      <c r="F171" s="18" t="str">
        <f aca="false">IF($A171="","",-SUMIFS(Transactions!$E:$E,Transactions!$O:$O,$A171,Transactions!$B:$B,"Sell shares"))</f>
        <v/>
      </c>
      <c r="G171" s="18" t="str">
        <f aca="false">IF($A171="","",D171-F171)</f>
        <v/>
      </c>
      <c r="H171" s="14" t="str">
        <f aca="false">IF($A171="","",SUMIFS(Transactions!$J:$J,Transactions!$O:$O,$A171,Transactions!$B:$B,"Sell call")+SUMIFS(Transactions!$J:$J,Transactions!$O:$O,$A171,Transactions!$B:$B,"Buy to close"))</f>
        <v/>
      </c>
      <c r="I171" s="26" t="str">
        <f aca="false">IF(OR($A171="",E171=""),"",E171-H171/D171)</f>
        <v/>
      </c>
      <c r="J171" s="26" t="str">
        <f aca="false">IF($A171="","",IFERROR(INDEX(Positions!$K:$K,MATCH(B171,Positions!$B:$B,0)),""))</f>
        <v/>
      </c>
      <c r="K171" s="23"/>
      <c r="L171" s="26" t="str">
        <f aca="false">IF($A171="","",IF(K171&lt;&gt;"",K171,J171))</f>
        <v/>
      </c>
      <c r="M171" s="14" t="str">
        <f aca="false">IF(OR($A171="",L171=""),"",L171*G171)</f>
        <v/>
      </c>
      <c r="N171" s="14" t="str">
        <f aca="false">IF(OR(M171="",E171=""),"",(L171-E171)*G171)</f>
        <v/>
      </c>
      <c r="O171" s="8" t="str">
        <f aca="false">IF($A171="","",IF(G171&lt;=0,"Sold",IF((-SUMIFS(Transactions!$E:$E,Transactions!$O:$O,$A171,Transactions!$B:$B,"Sell call")-SUMIFS(Transactions!$E:$E,Transactions!$O:$O,$A171,Transactions!$B:$B,"Buy to close")-SUMIFS(Transactions!$E:$E,Transactions!$O:$O,$A171,Transactions!$B:$B,"Expired")-SUMIFS(Transactions!$E:$E,Transactions!$O:$O,$A171,Transactions!$B:$B,"Assigned"))&gt;0,"Covered","Free")))</f>
        <v/>
      </c>
      <c r="P171" s="26" t="str">
        <f aca="false">IF(OR(I171="",G171&lt;=0),"",CEILING(MAX(I171,N(L171)),IF(E171&lt;50,0.5,IF(E171&lt;200,1,5))))</f>
        <v/>
      </c>
      <c r="Q171" s="8" t="str">
        <f aca="true">IF(OR(N171="",G171&lt;=0),"",IF(N171&gt;=0,"",IF(COUNTIFS($B:$B,B171,$C:$C,"&gt;="&amp;(TODAY()-30),$C:$C,"&lt;="&amp;TODAY(),$A:$A,"&lt;&gt;"&amp;$A171)&gt;0,"Loss sale now = wash sale","OK to harvest loss")))</f>
        <v/>
      </c>
      <c r="R171" s="14" t="str">
        <f aca="false">IF(OR($A171="",N(F171)&lt;=0),"",SUMIFS(Transactions!$J:$J,Transactions!$O:$O,$A171,Transactions!$B:$B,"Sell shares")-E171*F171)</f>
        <v/>
      </c>
      <c r="S171" s="10" t="str">
        <f aca="false">IF(OR($A171="",N(F171)&lt;=0),"",_xlfn.MAXIFS(Transactions!$A:$A,Transactions!$O:$O,$A171,Transactions!$B:$B,"Sell shares"))</f>
        <v/>
      </c>
      <c r="T171" s="14" t="str">
        <f aca="false">IF(OR($A171="",E171=""),"",E171*G171)</f>
        <v/>
      </c>
    </row>
    <row r="172" customFormat="false" ht="15" hidden="false" customHeight="false" outlineLevel="0" collapsed="false">
      <c r="A172" s="21"/>
      <c r="B172" s="8" t="str">
        <f aca="false">IF($A172="","",IFERROR(INDEX(Transactions!$C:$C,MATCH($A172,Transactions!$O:$O,0)),""))</f>
        <v/>
      </c>
      <c r="C172" s="10" t="str">
        <f aca="false">IF($A172="","",IF(COUNTIFS(Transactions!$O:$O,$A172,Transactions!$B:$B,"Buy shares")=0,"",_xlfn.MINIFS(Transactions!$A:$A,Transactions!$O:$O,$A172,Transactions!$B:$B,"Buy shares")))</f>
        <v/>
      </c>
      <c r="D172" s="18" t="str">
        <f aca="false">IF($A172="","",SUMIFS(Transactions!$E:$E,Transactions!$O:$O,$A172,Transactions!$B:$B,"Buy shares"))</f>
        <v/>
      </c>
      <c r="E172" s="26" t="str">
        <f aca="false">IF($A172="","",IF(D172=0,"",-SUMIFS(Transactions!$J:$J,Transactions!$O:$O,$A172,Transactions!$B:$B,"Buy shares")/D172))</f>
        <v/>
      </c>
      <c r="F172" s="18" t="str">
        <f aca="false">IF($A172="","",-SUMIFS(Transactions!$E:$E,Transactions!$O:$O,$A172,Transactions!$B:$B,"Sell shares"))</f>
        <v/>
      </c>
      <c r="G172" s="18" t="str">
        <f aca="false">IF($A172="","",D172-F172)</f>
        <v/>
      </c>
      <c r="H172" s="14" t="str">
        <f aca="false">IF($A172="","",SUMIFS(Transactions!$J:$J,Transactions!$O:$O,$A172,Transactions!$B:$B,"Sell call")+SUMIFS(Transactions!$J:$J,Transactions!$O:$O,$A172,Transactions!$B:$B,"Buy to close"))</f>
        <v/>
      </c>
      <c r="I172" s="26" t="str">
        <f aca="false">IF(OR($A172="",E172=""),"",E172-H172/D172)</f>
        <v/>
      </c>
      <c r="J172" s="26" t="str">
        <f aca="false">IF($A172="","",IFERROR(INDEX(Positions!$K:$K,MATCH(B172,Positions!$B:$B,0)),""))</f>
        <v/>
      </c>
      <c r="K172" s="23"/>
      <c r="L172" s="26" t="str">
        <f aca="false">IF($A172="","",IF(K172&lt;&gt;"",K172,J172))</f>
        <v/>
      </c>
      <c r="M172" s="14" t="str">
        <f aca="false">IF(OR($A172="",L172=""),"",L172*G172)</f>
        <v/>
      </c>
      <c r="N172" s="14" t="str">
        <f aca="false">IF(OR(M172="",E172=""),"",(L172-E172)*G172)</f>
        <v/>
      </c>
      <c r="O172" s="8" t="str">
        <f aca="false">IF($A172="","",IF(G172&lt;=0,"Sold",IF((-SUMIFS(Transactions!$E:$E,Transactions!$O:$O,$A172,Transactions!$B:$B,"Sell call")-SUMIFS(Transactions!$E:$E,Transactions!$O:$O,$A172,Transactions!$B:$B,"Buy to close")-SUMIFS(Transactions!$E:$E,Transactions!$O:$O,$A172,Transactions!$B:$B,"Expired")-SUMIFS(Transactions!$E:$E,Transactions!$O:$O,$A172,Transactions!$B:$B,"Assigned"))&gt;0,"Covered","Free")))</f>
        <v/>
      </c>
      <c r="P172" s="26" t="str">
        <f aca="false">IF(OR(I172="",G172&lt;=0),"",CEILING(MAX(I172,N(L172)),IF(E172&lt;50,0.5,IF(E172&lt;200,1,5))))</f>
        <v/>
      </c>
      <c r="Q172" s="8" t="str">
        <f aca="true">IF(OR(N172="",G172&lt;=0),"",IF(N172&gt;=0,"",IF(COUNTIFS($B:$B,B172,$C:$C,"&gt;="&amp;(TODAY()-30),$C:$C,"&lt;="&amp;TODAY(),$A:$A,"&lt;&gt;"&amp;$A172)&gt;0,"Loss sale now = wash sale","OK to harvest loss")))</f>
        <v/>
      </c>
      <c r="R172" s="14" t="str">
        <f aca="false">IF(OR($A172="",N(F172)&lt;=0),"",SUMIFS(Transactions!$J:$J,Transactions!$O:$O,$A172,Transactions!$B:$B,"Sell shares")-E172*F172)</f>
        <v/>
      </c>
      <c r="S172" s="10" t="str">
        <f aca="false">IF(OR($A172="",N(F172)&lt;=0),"",_xlfn.MAXIFS(Transactions!$A:$A,Transactions!$O:$O,$A172,Transactions!$B:$B,"Sell shares"))</f>
        <v/>
      </c>
      <c r="T172" s="14" t="str">
        <f aca="false">IF(OR($A172="",E172=""),"",E172*G172)</f>
        <v/>
      </c>
    </row>
    <row r="173" customFormat="false" ht="15" hidden="false" customHeight="false" outlineLevel="0" collapsed="false">
      <c r="A173" s="21"/>
      <c r="B173" s="8" t="str">
        <f aca="false">IF($A173="","",IFERROR(INDEX(Transactions!$C:$C,MATCH($A173,Transactions!$O:$O,0)),""))</f>
        <v/>
      </c>
      <c r="C173" s="10" t="str">
        <f aca="false">IF($A173="","",IF(COUNTIFS(Transactions!$O:$O,$A173,Transactions!$B:$B,"Buy shares")=0,"",_xlfn.MINIFS(Transactions!$A:$A,Transactions!$O:$O,$A173,Transactions!$B:$B,"Buy shares")))</f>
        <v/>
      </c>
      <c r="D173" s="18" t="str">
        <f aca="false">IF($A173="","",SUMIFS(Transactions!$E:$E,Transactions!$O:$O,$A173,Transactions!$B:$B,"Buy shares"))</f>
        <v/>
      </c>
      <c r="E173" s="26" t="str">
        <f aca="false">IF($A173="","",IF(D173=0,"",-SUMIFS(Transactions!$J:$J,Transactions!$O:$O,$A173,Transactions!$B:$B,"Buy shares")/D173))</f>
        <v/>
      </c>
      <c r="F173" s="18" t="str">
        <f aca="false">IF($A173="","",-SUMIFS(Transactions!$E:$E,Transactions!$O:$O,$A173,Transactions!$B:$B,"Sell shares"))</f>
        <v/>
      </c>
      <c r="G173" s="18" t="str">
        <f aca="false">IF($A173="","",D173-F173)</f>
        <v/>
      </c>
      <c r="H173" s="14" t="str">
        <f aca="false">IF($A173="","",SUMIFS(Transactions!$J:$J,Transactions!$O:$O,$A173,Transactions!$B:$B,"Sell call")+SUMIFS(Transactions!$J:$J,Transactions!$O:$O,$A173,Transactions!$B:$B,"Buy to close"))</f>
        <v/>
      </c>
      <c r="I173" s="26" t="str">
        <f aca="false">IF(OR($A173="",E173=""),"",E173-H173/D173)</f>
        <v/>
      </c>
      <c r="J173" s="26" t="str">
        <f aca="false">IF($A173="","",IFERROR(INDEX(Positions!$K:$K,MATCH(B173,Positions!$B:$B,0)),""))</f>
        <v/>
      </c>
      <c r="K173" s="23"/>
      <c r="L173" s="26" t="str">
        <f aca="false">IF($A173="","",IF(K173&lt;&gt;"",K173,J173))</f>
        <v/>
      </c>
      <c r="M173" s="14" t="str">
        <f aca="false">IF(OR($A173="",L173=""),"",L173*G173)</f>
        <v/>
      </c>
      <c r="N173" s="14" t="str">
        <f aca="false">IF(OR(M173="",E173=""),"",(L173-E173)*G173)</f>
        <v/>
      </c>
      <c r="O173" s="8" t="str">
        <f aca="false">IF($A173="","",IF(G173&lt;=0,"Sold",IF((-SUMIFS(Transactions!$E:$E,Transactions!$O:$O,$A173,Transactions!$B:$B,"Sell call")-SUMIFS(Transactions!$E:$E,Transactions!$O:$O,$A173,Transactions!$B:$B,"Buy to close")-SUMIFS(Transactions!$E:$E,Transactions!$O:$O,$A173,Transactions!$B:$B,"Expired")-SUMIFS(Transactions!$E:$E,Transactions!$O:$O,$A173,Transactions!$B:$B,"Assigned"))&gt;0,"Covered","Free")))</f>
        <v/>
      </c>
      <c r="P173" s="26" t="str">
        <f aca="false">IF(OR(I173="",G173&lt;=0),"",CEILING(MAX(I173,N(L173)),IF(E173&lt;50,0.5,IF(E173&lt;200,1,5))))</f>
        <v/>
      </c>
      <c r="Q173" s="8" t="str">
        <f aca="true">IF(OR(N173="",G173&lt;=0),"",IF(N173&gt;=0,"",IF(COUNTIFS($B:$B,B173,$C:$C,"&gt;="&amp;(TODAY()-30),$C:$C,"&lt;="&amp;TODAY(),$A:$A,"&lt;&gt;"&amp;$A173)&gt;0,"Loss sale now = wash sale","OK to harvest loss")))</f>
        <v/>
      </c>
      <c r="R173" s="14" t="str">
        <f aca="false">IF(OR($A173="",N(F173)&lt;=0),"",SUMIFS(Transactions!$J:$J,Transactions!$O:$O,$A173,Transactions!$B:$B,"Sell shares")-E173*F173)</f>
        <v/>
      </c>
      <c r="S173" s="10" t="str">
        <f aca="false">IF(OR($A173="",N(F173)&lt;=0),"",_xlfn.MAXIFS(Transactions!$A:$A,Transactions!$O:$O,$A173,Transactions!$B:$B,"Sell shares"))</f>
        <v/>
      </c>
      <c r="T173" s="14" t="str">
        <f aca="false">IF(OR($A173="",E173=""),"",E173*G173)</f>
        <v/>
      </c>
    </row>
    <row r="174" customFormat="false" ht="15" hidden="false" customHeight="false" outlineLevel="0" collapsed="false">
      <c r="A174" s="21"/>
      <c r="B174" s="8" t="str">
        <f aca="false">IF($A174="","",IFERROR(INDEX(Transactions!$C:$C,MATCH($A174,Transactions!$O:$O,0)),""))</f>
        <v/>
      </c>
      <c r="C174" s="10" t="str">
        <f aca="false">IF($A174="","",IF(COUNTIFS(Transactions!$O:$O,$A174,Transactions!$B:$B,"Buy shares")=0,"",_xlfn.MINIFS(Transactions!$A:$A,Transactions!$O:$O,$A174,Transactions!$B:$B,"Buy shares")))</f>
        <v/>
      </c>
      <c r="D174" s="18" t="str">
        <f aca="false">IF($A174="","",SUMIFS(Transactions!$E:$E,Transactions!$O:$O,$A174,Transactions!$B:$B,"Buy shares"))</f>
        <v/>
      </c>
      <c r="E174" s="26" t="str">
        <f aca="false">IF($A174="","",IF(D174=0,"",-SUMIFS(Transactions!$J:$J,Transactions!$O:$O,$A174,Transactions!$B:$B,"Buy shares")/D174))</f>
        <v/>
      </c>
      <c r="F174" s="18" t="str">
        <f aca="false">IF($A174="","",-SUMIFS(Transactions!$E:$E,Transactions!$O:$O,$A174,Transactions!$B:$B,"Sell shares"))</f>
        <v/>
      </c>
      <c r="G174" s="18" t="str">
        <f aca="false">IF($A174="","",D174-F174)</f>
        <v/>
      </c>
      <c r="H174" s="14" t="str">
        <f aca="false">IF($A174="","",SUMIFS(Transactions!$J:$J,Transactions!$O:$O,$A174,Transactions!$B:$B,"Sell call")+SUMIFS(Transactions!$J:$J,Transactions!$O:$O,$A174,Transactions!$B:$B,"Buy to close"))</f>
        <v/>
      </c>
      <c r="I174" s="26" t="str">
        <f aca="false">IF(OR($A174="",E174=""),"",E174-H174/D174)</f>
        <v/>
      </c>
      <c r="J174" s="26" t="str">
        <f aca="false">IF($A174="","",IFERROR(INDEX(Positions!$K:$K,MATCH(B174,Positions!$B:$B,0)),""))</f>
        <v/>
      </c>
      <c r="K174" s="23"/>
      <c r="L174" s="26" t="str">
        <f aca="false">IF($A174="","",IF(K174&lt;&gt;"",K174,J174))</f>
        <v/>
      </c>
      <c r="M174" s="14" t="str">
        <f aca="false">IF(OR($A174="",L174=""),"",L174*G174)</f>
        <v/>
      </c>
      <c r="N174" s="14" t="str">
        <f aca="false">IF(OR(M174="",E174=""),"",(L174-E174)*G174)</f>
        <v/>
      </c>
      <c r="O174" s="8" t="str">
        <f aca="false">IF($A174="","",IF(G174&lt;=0,"Sold",IF((-SUMIFS(Transactions!$E:$E,Transactions!$O:$O,$A174,Transactions!$B:$B,"Sell call")-SUMIFS(Transactions!$E:$E,Transactions!$O:$O,$A174,Transactions!$B:$B,"Buy to close")-SUMIFS(Transactions!$E:$E,Transactions!$O:$O,$A174,Transactions!$B:$B,"Expired")-SUMIFS(Transactions!$E:$E,Transactions!$O:$O,$A174,Transactions!$B:$B,"Assigned"))&gt;0,"Covered","Free")))</f>
        <v/>
      </c>
      <c r="P174" s="26" t="str">
        <f aca="false">IF(OR(I174="",G174&lt;=0),"",CEILING(MAX(I174,N(L174)),IF(E174&lt;50,0.5,IF(E174&lt;200,1,5))))</f>
        <v/>
      </c>
      <c r="Q174" s="8" t="str">
        <f aca="true">IF(OR(N174="",G174&lt;=0),"",IF(N174&gt;=0,"",IF(COUNTIFS($B:$B,B174,$C:$C,"&gt;="&amp;(TODAY()-30),$C:$C,"&lt;="&amp;TODAY(),$A:$A,"&lt;&gt;"&amp;$A174)&gt;0,"Loss sale now = wash sale","OK to harvest loss")))</f>
        <v/>
      </c>
      <c r="R174" s="14" t="str">
        <f aca="false">IF(OR($A174="",N(F174)&lt;=0),"",SUMIFS(Transactions!$J:$J,Transactions!$O:$O,$A174,Transactions!$B:$B,"Sell shares")-E174*F174)</f>
        <v/>
      </c>
      <c r="S174" s="10" t="str">
        <f aca="false">IF(OR($A174="",N(F174)&lt;=0),"",_xlfn.MAXIFS(Transactions!$A:$A,Transactions!$O:$O,$A174,Transactions!$B:$B,"Sell shares"))</f>
        <v/>
      </c>
      <c r="T174" s="14" t="str">
        <f aca="false">IF(OR($A174="",E174=""),"",E174*G174)</f>
        <v/>
      </c>
    </row>
    <row r="175" customFormat="false" ht="15" hidden="false" customHeight="false" outlineLevel="0" collapsed="false">
      <c r="A175" s="21"/>
      <c r="B175" s="8" t="str">
        <f aca="false">IF($A175="","",IFERROR(INDEX(Transactions!$C:$C,MATCH($A175,Transactions!$O:$O,0)),""))</f>
        <v/>
      </c>
      <c r="C175" s="10" t="str">
        <f aca="false">IF($A175="","",IF(COUNTIFS(Transactions!$O:$O,$A175,Transactions!$B:$B,"Buy shares")=0,"",_xlfn.MINIFS(Transactions!$A:$A,Transactions!$O:$O,$A175,Transactions!$B:$B,"Buy shares")))</f>
        <v/>
      </c>
      <c r="D175" s="18" t="str">
        <f aca="false">IF($A175="","",SUMIFS(Transactions!$E:$E,Transactions!$O:$O,$A175,Transactions!$B:$B,"Buy shares"))</f>
        <v/>
      </c>
      <c r="E175" s="26" t="str">
        <f aca="false">IF($A175="","",IF(D175=0,"",-SUMIFS(Transactions!$J:$J,Transactions!$O:$O,$A175,Transactions!$B:$B,"Buy shares")/D175))</f>
        <v/>
      </c>
      <c r="F175" s="18" t="str">
        <f aca="false">IF($A175="","",-SUMIFS(Transactions!$E:$E,Transactions!$O:$O,$A175,Transactions!$B:$B,"Sell shares"))</f>
        <v/>
      </c>
      <c r="G175" s="18" t="str">
        <f aca="false">IF($A175="","",D175-F175)</f>
        <v/>
      </c>
      <c r="H175" s="14" t="str">
        <f aca="false">IF($A175="","",SUMIFS(Transactions!$J:$J,Transactions!$O:$O,$A175,Transactions!$B:$B,"Sell call")+SUMIFS(Transactions!$J:$J,Transactions!$O:$O,$A175,Transactions!$B:$B,"Buy to close"))</f>
        <v/>
      </c>
      <c r="I175" s="26" t="str">
        <f aca="false">IF(OR($A175="",E175=""),"",E175-H175/D175)</f>
        <v/>
      </c>
      <c r="J175" s="26" t="str">
        <f aca="false">IF($A175="","",IFERROR(INDEX(Positions!$K:$K,MATCH(B175,Positions!$B:$B,0)),""))</f>
        <v/>
      </c>
      <c r="K175" s="23"/>
      <c r="L175" s="26" t="str">
        <f aca="false">IF($A175="","",IF(K175&lt;&gt;"",K175,J175))</f>
        <v/>
      </c>
      <c r="M175" s="14" t="str">
        <f aca="false">IF(OR($A175="",L175=""),"",L175*G175)</f>
        <v/>
      </c>
      <c r="N175" s="14" t="str">
        <f aca="false">IF(OR(M175="",E175=""),"",(L175-E175)*G175)</f>
        <v/>
      </c>
      <c r="O175" s="8" t="str">
        <f aca="false">IF($A175="","",IF(G175&lt;=0,"Sold",IF((-SUMIFS(Transactions!$E:$E,Transactions!$O:$O,$A175,Transactions!$B:$B,"Sell call")-SUMIFS(Transactions!$E:$E,Transactions!$O:$O,$A175,Transactions!$B:$B,"Buy to close")-SUMIFS(Transactions!$E:$E,Transactions!$O:$O,$A175,Transactions!$B:$B,"Expired")-SUMIFS(Transactions!$E:$E,Transactions!$O:$O,$A175,Transactions!$B:$B,"Assigned"))&gt;0,"Covered","Free")))</f>
        <v/>
      </c>
      <c r="P175" s="26" t="str">
        <f aca="false">IF(OR(I175="",G175&lt;=0),"",CEILING(MAX(I175,N(L175)),IF(E175&lt;50,0.5,IF(E175&lt;200,1,5))))</f>
        <v/>
      </c>
      <c r="Q175" s="8" t="str">
        <f aca="true">IF(OR(N175="",G175&lt;=0),"",IF(N175&gt;=0,"",IF(COUNTIFS($B:$B,B175,$C:$C,"&gt;="&amp;(TODAY()-30),$C:$C,"&lt;="&amp;TODAY(),$A:$A,"&lt;&gt;"&amp;$A175)&gt;0,"Loss sale now = wash sale","OK to harvest loss")))</f>
        <v/>
      </c>
      <c r="R175" s="14" t="str">
        <f aca="false">IF(OR($A175="",N(F175)&lt;=0),"",SUMIFS(Transactions!$J:$J,Transactions!$O:$O,$A175,Transactions!$B:$B,"Sell shares")-E175*F175)</f>
        <v/>
      </c>
      <c r="S175" s="10" t="str">
        <f aca="false">IF(OR($A175="",N(F175)&lt;=0),"",_xlfn.MAXIFS(Transactions!$A:$A,Transactions!$O:$O,$A175,Transactions!$B:$B,"Sell shares"))</f>
        <v/>
      </c>
      <c r="T175" s="14" t="str">
        <f aca="false">IF(OR($A175="",E175=""),"",E175*G175)</f>
        <v/>
      </c>
    </row>
    <row r="176" customFormat="false" ht="15" hidden="false" customHeight="false" outlineLevel="0" collapsed="false">
      <c r="A176" s="21"/>
      <c r="B176" s="8" t="str">
        <f aca="false">IF($A176="","",IFERROR(INDEX(Transactions!$C:$C,MATCH($A176,Transactions!$O:$O,0)),""))</f>
        <v/>
      </c>
      <c r="C176" s="10" t="str">
        <f aca="false">IF($A176="","",IF(COUNTIFS(Transactions!$O:$O,$A176,Transactions!$B:$B,"Buy shares")=0,"",_xlfn.MINIFS(Transactions!$A:$A,Transactions!$O:$O,$A176,Transactions!$B:$B,"Buy shares")))</f>
        <v/>
      </c>
      <c r="D176" s="18" t="str">
        <f aca="false">IF($A176="","",SUMIFS(Transactions!$E:$E,Transactions!$O:$O,$A176,Transactions!$B:$B,"Buy shares"))</f>
        <v/>
      </c>
      <c r="E176" s="26" t="str">
        <f aca="false">IF($A176="","",IF(D176=0,"",-SUMIFS(Transactions!$J:$J,Transactions!$O:$O,$A176,Transactions!$B:$B,"Buy shares")/D176))</f>
        <v/>
      </c>
      <c r="F176" s="18" t="str">
        <f aca="false">IF($A176="","",-SUMIFS(Transactions!$E:$E,Transactions!$O:$O,$A176,Transactions!$B:$B,"Sell shares"))</f>
        <v/>
      </c>
      <c r="G176" s="18" t="str">
        <f aca="false">IF($A176="","",D176-F176)</f>
        <v/>
      </c>
      <c r="H176" s="14" t="str">
        <f aca="false">IF($A176="","",SUMIFS(Transactions!$J:$J,Transactions!$O:$O,$A176,Transactions!$B:$B,"Sell call")+SUMIFS(Transactions!$J:$J,Transactions!$O:$O,$A176,Transactions!$B:$B,"Buy to close"))</f>
        <v/>
      </c>
      <c r="I176" s="26" t="str">
        <f aca="false">IF(OR($A176="",E176=""),"",E176-H176/D176)</f>
        <v/>
      </c>
      <c r="J176" s="26" t="str">
        <f aca="false">IF($A176="","",IFERROR(INDEX(Positions!$K:$K,MATCH(B176,Positions!$B:$B,0)),""))</f>
        <v/>
      </c>
      <c r="K176" s="23"/>
      <c r="L176" s="26" t="str">
        <f aca="false">IF($A176="","",IF(K176&lt;&gt;"",K176,J176))</f>
        <v/>
      </c>
      <c r="M176" s="14" t="str">
        <f aca="false">IF(OR($A176="",L176=""),"",L176*G176)</f>
        <v/>
      </c>
      <c r="N176" s="14" t="str">
        <f aca="false">IF(OR(M176="",E176=""),"",(L176-E176)*G176)</f>
        <v/>
      </c>
      <c r="O176" s="8" t="str">
        <f aca="false">IF($A176="","",IF(G176&lt;=0,"Sold",IF((-SUMIFS(Transactions!$E:$E,Transactions!$O:$O,$A176,Transactions!$B:$B,"Sell call")-SUMIFS(Transactions!$E:$E,Transactions!$O:$O,$A176,Transactions!$B:$B,"Buy to close")-SUMIFS(Transactions!$E:$E,Transactions!$O:$O,$A176,Transactions!$B:$B,"Expired")-SUMIFS(Transactions!$E:$E,Transactions!$O:$O,$A176,Transactions!$B:$B,"Assigned"))&gt;0,"Covered","Free")))</f>
        <v/>
      </c>
      <c r="P176" s="26" t="str">
        <f aca="false">IF(OR(I176="",G176&lt;=0),"",CEILING(MAX(I176,N(L176)),IF(E176&lt;50,0.5,IF(E176&lt;200,1,5))))</f>
        <v/>
      </c>
      <c r="Q176" s="8" t="str">
        <f aca="true">IF(OR(N176="",G176&lt;=0),"",IF(N176&gt;=0,"",IF(COUNTIFS($B:$B,B176,$C:$C,"&gt;="&amp;(TODAY()-30),$C:$C,"&lt;="&amp;TODAY(),$A:$A,"&lt;&gt;"&amp;$A176)&gt;0,"Loss sale now = wash sale","OK to harvest loss")))</f>
        <v/>
      </c>
      <c r="R176" s="14" t="str">
        <f aca="false">IF(OR($A176="",N(F176)&lt;=0),"",SUMIFS(Transactions!$J:$J,Transactions!$O:$O,$A176,Transactions!$B:$B,"Sell shares")-E176*F176)</f>
        <v/>
      </c>
      <c r="S176" s="10" t="str">
        <f aca="false">IF(OR($A176="",N(F176)&lt;=0),"",_xlfn.MAXIFS(Transactions!$A:$A,Transactions!$O:$O,$A176,Transactions!$B:$B,"Sell shares"))</f>
        <v/>
      </c>
      <c r="T176" s="14" t="str">
        <f aca="false">IF(OR($A176="",E176=""),"",E176*G176)</f>
        <v/>
      </c>
    </row>
    <row r="177" customFormat="false" ht="15" hidden="false" customHeight="false" outlineLevel="0" collapsed="false">
      <c r="A177" s="21"/>
      <c r="B177" s="8" t="str">
        <f aca="false">IF($A177="","",IFERROR(INDEX(Transactions!$C:$C,MATCH($A177,Transactions!$O:$O,0)),""))</f>
        <v/>
      </c>
      <c r="C177" s="10" t="str">
        <f aca="false">IF($A177="","",IF(COUNTIFS(Transactions!$O:$O,$A177,Transactions!$B:$B,"Buy shares")=0,"",_xlfn.MINIFS(Transactions!$A:$A,Transactions!$O:$O,$A177,Transactions!$B:$B,"Buy shares")))</f>
        <v/>
      </c>
      <c r="D177" s="18" t="str">
        <f aca="false">IF($A177="","",SUMIFS(Transactions!$E:$E,Transactions!$O:$O,$A177,Transactions!$B:$B,"Buy shares"))</f>
        <v/>
      </c>
      <c r="E177" s="26" t="str">
        <f aca="false">IF($A177="","",IF(D177=0,"",-SUMIFS(Transactions!$J:$J,Transactions!$O:$O,$A177,Transactions!$B:$B,"Buy shares")/D177))</f>
        <v/>
      </c>
      <c r="F177" s="18" t="str">
        <f aca="false">IF($A177="","",-SUMIFS(Transactions!$E:$E,Transactions!$O:$O,$A177,Transactions!$B:$B,"Sell shares"))</f>
        <v/>
      </c>
      <c r="G177" s="18" t="str">
        <f aca="false">IF($A177="","",D177-F177)</f>
        <v/>
      </c>
      <c r="H177" s="14" t="str">
        <f aca="false">IF($A177="","",SUMIFS(Transactions!$J:$J,Transactions!$O:$O,$A177,Transactions!$B:$B,"Sell call")+SUMIFS(Transactions!$J:$J,Transactions!$O:$O,$A177,Transactions!$B:$B,"Buy to close"))</f>
        <v/>
      </c>
      <c r="I177" s="26" t="str">
        <f aca="false">IF(OR($A177="",E177=""),"",E177-H177/D177)</f>
        <v/>
      </c>
      <c r="J177" s="26" t="str">
        <f aca="false">IF($A177="","",IFERROR(INDEX(Positions!$K:$K,MATCH(B177,Positions!$B:$B,0)),""))</f>
        <v/>
      </c>
      <c r="K177" s="23"/>
      <c r="L177" s="26" t="str">
        <f aca="false">IF($A177="","",IF(K177&lt;&gt;"",K177,J177))</f>
        <v/>
      </c>
      <c r="M177" s="14" t="str">
        <f aca="false">IF(OR($A177="",L177=""),"",L177*G177)</f>
        <v/>
      </c>
      <c r="N177" s="14" t="str">
        <f aca="false">IF(OR(M177="",E177=""),"",(L177-E177)*G177)</f>
        <v/>
      </c>
      <c r="O177" s="8" t="str">
        <f aca="false">IF($A177="","",IF(G177&lt;=0,"Sold",IF((-SUMIFS(Transactions!$E:$E,Transactions!$O:$O,$A177,Transactions!$B:$B,"Sell call")-SUMIFS(Transactions!$E:$E,Transactions!$O:$O,$A177,Transactions!$B:$B,"Buy to close")-SUMIFS(Transactions!$E:$E,Transactions!$O:$O,$A177,Transactions!$B:$B,"Expired")-SUMIFS(Transactions!$E:$E,Transactions!$O:$O,$A177,Transactions!$B:$B,"Assigned"))&gt;0,"Covered","Free")))</f>
        <v/>
      </c>
      <c r="P177" s="26" t="str">
        <f aca="false">IF(OR(I177="",G177&lt;=0),"",CEILING(MAX(I177,N(L177)),IF(E177&lt;50,0.5,IF(E177&lt;200,1,5))))</f>
        <v/>
      </c>
      <c r="Q177" s="8" t="str">
        <f aca="true">IF(OR(N177="",G177&lt;=0),"",IF(N177&gt;=0,"",IF(COUNTIFS($B:$B,B177,$C:$C,"&gt;="&amp;(TODAY()-30),$C:$C,"&lt;="&amp;TODAY(),$A:$A,"&lt;&gt;"&amp;$A177)&gt;0,"Loss sale now = wash sale","OK to harvest loss")))</f>
        <v/>
      </c>
      <c r="R177" s="14" t="str">
        <f aca="false">IF(OR($A177="",N(F177)&lt;=0),"",SUMIFS(Transactions!$J:$J,Transactions!$O:$O,$A177,Transactions!$B:$B,"Sell shares")-E177*F177)</f>
        <v/>
      </c>
      <c r="S177" s="10" t="str">
        <f aca="false">IF(OR($A177="",N(F177)&lt;=0),"",_xlfn.MAXIFS(Transactions!$A:$A,Transactions!$O:$O,$A177,Transactions!$B:$B,"Sell shares"))</f>
        <v/>
      </c>
      <c r="T177" s="14" t="str">
        <f aca="false">IF(OR($A177="",E177=""),"",E177*G177)</f>
        <v/>
      </c>
    </row>
    <row r="178" customFormat="false" ht="15" hidden="false" customHeight="false" outlineLevel="0" collapsed="false">
      <c r="A178" s="21"/>
      <c r="B178" s="8" t="str">
        <f aca="false">IF($A178="","",IFERROR(INDEX(Transactions!$C:$C,MATCH($A178,Transactions!$O:$O,0)),""))</f>
        <v/>
      </c>
      <c r="C178" s="10" t="str">
        <f aca="false">IF($A178="","",IF(COUNTIFS(Transactions!$O:$O,$A178,Transactions!$B:$B,"Buy shares")=0,"",_xlfn.MINIFS(Transactions!$A:$A,Transactions!$O:$O,$A178,Transactions!$B:$B,"Buy shares")))</f>
        <v/>
      </c>
      <c r="D178" s="18" t="str">
        <f aca="false">IF($A178="","",SUMIFS(Transactions!$E:$E,Transactions!$O:$O,$A178,Transactions!$B:$B,"Buy shares"))</f>
        <v/>
      </c>
      <c r="E178" s="26" t="str">
        <f aca="false">IF($A178="","",IF(D178=0,"",-SUMIFS(Transactions!$J:$J,Transactions!$O:$O,$A178,Transactions!$B:$B,"Buy shares")/D178))</f>
        <v/>
      </c>
      <c r="F178" s="18" t="str">
        <f aca="false">IF($A178="","",-SUMIFS(Transactions!$E:$E,Transactions!$O:$O,$A178,Transactions!$B:$B,"Sell shares"))</f>
        <v/>
      </c>
      <c r="G178" s="18" t="str">
        <f aca="false">IF($A178="","",D178-F178)</f>
        <v/>
      </c>
      <c r="H178" s="14" t="str">
        <f aca="false">IF($A178="","",SUMIFS(Transactions!$J:$J,Transactions!$O:$O,$A178,Transactions!$B:$B,"Sell call")+SUMIFS(Transactions!$J:$J,Transactions!$O:$O,$A178,Transactions!$B:$B,"Buy to close"))</f>
        <v/>
      </c>
      <c r="I178" s="26" t="str">
        <f aca="false">IF(OR($A178="",E178=""),"",E178-H178/D178)</f>
        <v/>
      </c>
      <c r="J178" s="26" t="str">
        <f aca="false">IF($A178="","",IFERROR(INDEX(Positions!$K:$K,MATCH(B178,Positions!$B:$B,0)),""))</f>
        <v/>
      </c>
      <c r="K178" s="23"/>
      <c r="L178" s="26" t="str">
        <f aca="false">IF($A178="","",IF(K178&lt;&gt;"",K178,J178))</f>
        <v/>
      </c>
      <c r="M178" s="14" t="str">
        <f aca="false">IF(OR($A178="",L178=""),"",L178*G178)</f>
        <v/>
      </c>
      <c r="N178" s="14" t="str">
        <f aca="false">IF(OR(M178="",E178=""),"",(L178-E178)*G178)</f>
        <v/>
      </c>
      <c r="O178" s="8" t="str">
        <f aca="false">IF($A178="","",IF(G178&lt;=0,"Sold",IF((-SUMIFS(Transactions!$E:$E,Transactions!$O:$O,$A178,Transactions!$B:$B,"Sell call")-SUMIFS(Transactions!$E:$E,Transactions!$O:$O,$A178,Transactions!$B:$B,"Buy to close")-SUMIFS(Transactions!$E:$E,Transactions!$O:$O,$A178,Transactions!$B:$B,"Expired")-SUMIFS(Transactions!$E:$E,Transactions!$O:$O,$A178,Transactions!$B:$B,"Assigned"))&gt;0,"Covered","Free")))</f>
        <v/>
      </c>
      <c r="P178" s="26" t="str">
        <f aca="false">IF(OR(I178="",G178&lt;=0),"",CEILING(MAX(I178,N(L178)),IF(E178&lt;50,0.5,IF(E178&lt;200,1,5))))</f>
        <v/>
      </c>
      <c r="Q178" s="8" t="str">
        <f aca="true">IF(OR(N178="",G178&lt;=0),"",IF(N178&gt;=0,"",IF(COUNTIFS($B:$B,B178,$C:$C,"&gt;="&amp;(TODAY()-30),$C:$C,"&lt;="&amp;TODAY(),$A:$A,"&lt;&gt;"&amp;$A178)&gt;0,"Loss sale now = wash sale","OK to harvest loss")))</f>
        <v/>
      </c>
      <c r="R178" s="14" t="str">
        <f aca="false">IF(OR($A178="",N(F178)&lt;=0),"",SUMIFS(Transactions!$J:$J,Transactions!$O:$O,$A178,Transactions!$B:$B,"Sell shares")-E178*F178)</f>
        <v/>
      </c>
      <c r="S178" s="10" t="str">
        <f aca="false">IF(OR($A178="",N(F178)&lt;=0),"",_xlfn.MAXIFS(Transactions!$A:$A,Transactions!$O:$O,$A178,Transactions!$B:$B,"Sell shares"))</f>
        <v/>
      </c>
      <c r="T178" s="14" t="str">
        <f aca="false">IF(OR($A178="",E178=""),"",E178*G178)</f>
        <v/>
      </c>
    </row>
    <row r="179" customFormat="false" ht="15" hidden="false" customHeight="false" outlineLevel="0" collapsed="false">
      <c r="A179" s="21"/>
      <c r="B179" s="8" t="str">
        <f aca="false">IF($A179="","",IFERROR(INDEX(Transactions!$C:$C,MATCH($A179,Transactions!$O:$O,0)),""))</f>
        <v/>
      </c>
      <c r="C179" s="10" t="str">
        <f aca="false">IF($A179="","",IF(COUNTIFS(Transactions!$O:$O,$A179,Transactions!$B:$B,"Buy shares")=0,"",_xlfn.MINIFS(Transactions!$A:$A,Transactions!$O:$O,$A179,Transactions!$B:$B,"Buy shares")))</f>
        <v/>
      </c>
      <c r="D179" s="18" t="str">
        <f aca="false">IF($A179="","",SUMIFS(Transactions!$E:$E,Transactions!$O:$O,$A179,Transactions!$B:$B,"Buy shares"))</f>
        <v/>
      </c>
      <c r="E179" s="26" t="str">
        <f aca="false">IF($A179="","",IF(D179=0,"",-SUMIFS(Transactions!$J:$J,Transactions!$O:$O,$A179,Transactions!$B:$B,"Buy shares")/D179))</f>
        <v/>
      </c>
      <c r="F179" s="18" t="str">
        <f aca="false">IF($A179="","",-SUMIFS(Transactions!$E:$E,Transactions!$O:$O,$A179,Transactions!$B:$B,"Sell shares"))</f>
        <v/>
      </c>
      <c r="G179" s="18" t="str">
        <f aca="false">IF($A179="","",D179-F179)</f>
        <v/>
      </c>
      <c r="H179" s="14" t="str">
        <f aca="false">IF($A179="","",SUMIFS(Transactions!$J:$J,Transactions!$O:$O,$A179,Transactions!$B:$B,"Sell call")+SUMIFS(Transactions!$J:$J,Transactions!$O:$O,$A179,Transactions!$B:$B,"Buy to close"))</f>
        <v/>
      </c>
      <c r="I179" s="26" t="str">
        <f aca="false">IF(OR($A179="",E179=""),"",E179-H179/D179)</f>
        <v/>
      </c>
      <c r="J179" s="26" t="str">
        <f aca="false">IF($A179="","",IFERROR(INDEX(Positions!$K:$K,MATCH(B179,Positions!$B:$B,0)),""))</f>
        <v/>
      </c>
      <c r="K179" s="23"/>
      <c r="L179" s="26" t="str">
        <f aca="false">IF($A179="","",IF(K179&lt;&gt;"",K179,J179))</f>
        <v/>
      </c>
      <c r="M179" s="14" t="str">
        <f aca="false">IF(OR($A179="",L179=""),"",L179*G179)</f>
        <v/>
      </c>
      <c r="N179" s="14" t="str">
        <f aca="false">IF(OR(M179="",E179=""),"",(L179-E179)*G179)</f>
        <v/>
      </c>
      <c r="O179" s="8" t="str">
        <f aca="false">IF($A179="","",IF(G179&lt;=0,"Sold",IF((-SUMIFS(Transactions!$E:$E,Transactions!$O:$O,$A179,Transactions!$B:$B,"Sell call")-SUMIFS(Transactions!$E:$E,Transactions!$O:$O,$A179,Transactions!$B:$B,"Buy to close")-SUMIFS(Transactions!$E:$E,Transactions!$O:$O,$A179,Transactions!$B:$B,"Expired")-SUMIFS(Transactions!$E:$E,Transactions!$O:$O,$A179,Transactions!$B:$B,"Assigned"))&gt;0,"Covered","Free")))</f>
        <v/>
      </c>
      <c r="P179" s="26" t="str">
        <f aca="false">IF(OR(I179="",G179&lt;=0),"",CEILING(MAX(I179,N(L179)),IF(E179&lt;50,0.5,IF(E179&lt;200,1,5))))</f>
        <v/>
      </c>
      <c r="Q179" s="8" t="str">
        <f aca="true">IF(OR(N179="",G179&lt;=0),"",IF(N179&gt;=0,"",IF(COUNTIFS($B:$B,B179,$C:$C,"&gt;="&amp;(TODAY()-30),$C:$C,"&lt;="&amp;TODAY(),$A:$A,"&lt;&gt;"&amp;$A179)&gt;0,"Loss sale now = wash sale","OK to harvest loss")))</f>
        <v/>
      </c>
      <c r="R179" s="14" t="str">
        <f aca="false">IF(OR($A179="",N(F179)&lt;=0),"",SUMIFS(Transactions!$J:$J,Transactions!$O:$O,$A179,Transactions!$B:$B,"Sell shares")-E179*F179)</f>
        <v/>
      </c>
      <c r="S179" s="10" t="str">
        <f aca="false">IF(OR($A179="",N(F179)&lt;=0),"",_xlfn.MAXIFS(Transactions!$A:$A,Transactions!$O:$O,$A179,Transactions!$B:$B,"Sell shares"))</f>
        <v/>
      </c>
      <c r="T179" s="14" t="str">
        <f aca="false">IF(OR($A179="",E179=""),"",E179*G179)</f>
        <v/>
      </c>
    </row>
    <row r="180" customFormat="false" ht="15" hidden="false" customHeight="false" outlineLevel="0" collapsed="false">
      <c r="A180" s="21"/>
      <c r="B180" s="8" t="str">
        <f aca="false">IF($A180="","",IFERROR(INDEX(Transactions!$C:$C,MATCH($A180,Transactions!$O:$O,0)),""))</f>
        <v/>
      </c>
      <c r="C180" s="10" t="str">
        <f aca="false">IF($A180="","",IF(COUNTIFS(Transactions!$O:$O,$A180,Transactions!$B:$B,"Buy shares")=0,"",_xlfn.MINIFS(Transactions!$A:$A,Transactions!$O:$O,$A180,Transactions!$B:$B,"Buy shares")))</f>
        <v/>
      </c>
      <c r="D180" s="18" t="str">
        <f aca="false">IF($A180="","",SUMIFS(Transactions!$E:$E,Transactions!$O:$O,$A180,Transactions!$B:$B,"Buy shares"))</f>
        <v/>
      </c>
      <c r="E180" s="26" t="str">
        <f aca="false">IF($A180="","",IF(D180=0,"",-SUMIFS(Transactions!$J:$J,Transactions!$O:$O,$A180,Transactions!$B:$B,"Buy shares")/D180))</f>
        <v/>
      </c>
      <c r="F180" s="18" t="str">
        <f aca="false">IF($A180="","",-SUMIFS(Transactions!$E:$E,Transactions!$O:$O,$A180,Transactions!$B:$B,"Sell shares"))</f>
        <v/>
      </c>
      <c r="G180" s="18" t="str">
        <f aca="false">IF($A180="","",D180-F180)</f>
        <v/>
      </c>
      <c r="H180" s="14" t="str">
        <f aca="false">IF($A180="","",SUMIFS(Transactions!$J:$J,Transactions!$O:$O,$A180,Transactions!$B:$B,"Sell call")+SUMIFS(Transactions!$J:$J,Transactions!$O:$O,$A180,Transactions!$B:$B,"Buy to close"))</f>
        <v/>
      </c>
      <c r="I180" s="26" t="str">
        <f aca="false">IF(OR($A180="",E180=""),"",E180-H180/D180)</f>
        <v/>
      </c>
      <c r="J180" s="26" t="str">
        <f aca="false">IF($A180="","",IFERROR(INDEX(Positions!$K:$K,MATCH(B180,Positions!$B:$B,0)),""))</f>
        <v/>
      </c>
      <c r="K180" s="23"/>
      <c r="L180" s="26" t="str">
        <f aca="false">IF($A180="","",IF(K180&lt;&gt;"",K180,J180))</f>
        <v/>
      </c>
      <c r="M180" s="14" t="str">
        <f aca="false">IF(OR($A180="",L180=""),"",L180*G180)</f>
        <v/>
      </c>
      <c r="N180" s="14" t="str">
        <f aca="false">IF(OR(M180="",E180=""),"",(L180-E180)*G180)</f>
        <v/>
      </c>
      <c r="O180" s="8" t="str">
        <f aca="false">IF($A180="","",IF(G180&lt;=0,"Sold",IF((-SUMIFS(Transactions!$E:$E,Transactions!$O:$O,$A180,Transactions!$B:$B,"Sell call")-SUMIFS(Transactions!$E:$E,Transactions!$O:$O,$A180,Transactions!$B:$B,"Buy to close")-SUMIFS(Transactions!$E:$E,Transactions!$O:$O,$A180,Transactions!$B:$B,"Expired")-SUMIFS(Transactions!$E:$E,Transactions!$O:$O,$A180,Transactions!$B:$B,"Assigned"))&gt;0,"Covered","Free")))</f>
        <v/>
      </c>
      <c r="P180" s="26" t="str">
        <f aca="false">IF(OR(I180="",G180&lt;=0),"",CEILING(MAX(I180,N(L180)),IF(E180&lt;50,0.5,IF(E180&lt;200,1,5))))</f>
        <v/>
      </c>
      <c r="Q180" s="8" t="str">
        <f aca="true">IF(OR(N180="",G180&lt;=0),"",IF(N180&gt;=0,"",IF(COUNTIFS($B:$B,B180,$C:$C,"&gt;="&amp;(TODAY()-30),$C:$C,"&lt;="&amp;TODAY(),$A:$A,"&lt;&gt;"&amp;$A180)&gt;0,"Loss sale now = wash sale","OK to harvest loss")))</f>
        <v/>
      </c>
      <c r="R180" s="14" t="str">
        <f aca="false">IF(OR($A180="",N(F180)&lt;=0),"",SUMIFS(Transactions!$J:$J,Transactions!$O:$O,$A180,Transactions!$B:$B,"Sell shares")-E180*F180)</f>
        <v/>
      </c>
      <c r="S180" s="10" t="str">
        <f aca="false">IF(OR($A180="",N(F180)&lt;=0),"",_xlfn.MAXIFS(Transactions!$A:$A,Transactions!$O:$O,$A180,Transactions!$B:$B,"Sell shares"))</f>
        <v/>
      </c>
      <c r="T180" s="14" t="str">
        <f aca="false">IF(OR($A180="",E180=""),"",E180*G180)</f>
        <v/>
      </c>
    </row>
    <row r="181" customFormat="false" ht="15" hidden="false" customHeight="false" outlineLevel="0" collapsed="false">
      <c r="A181" s="21"/>
      <c r="B181" s="8" t="str">
        <f aca="false">IF($A181="","",IFERROR(INDEX(Transactions!$C:$C,MATCH($A181,Transactions!$O:$O,0)),""))</f>
        <v/>
      </c>
      <c r="C181" s="10" t="str">
        <f aca="false">IF($A181="","",IF(COUNTIFS(Transactions!$O:$O,$A181,Transactions!$B:$B,"Buy shares")=0,"",_xlfn.MINIFS(Transactions!$A:$A,Transactions!$O:$O,$A181,Transactions!$B:$B,"Buy shares")))</f>
        <v/>
      </c>
      <c r="D181" s="18" t="str">
        <f aca="false">IF($A181="","",SUMIFS(Transactions!$E:$E,Transactions!$O:$O,$A181,Transactions!$B:$B,"Buy shares"))</f>
        <v/>
      </c>
      <c r="E181" s="26" t="str">
        <f aca="false">IF($A181="","",IF(D181=0,"",-SUMIFS(Transactions!$J:$J,Transactions!$O:$O,$A181,Transactions!$B:$B,"Buy shares")/D181))</f>
        <v/>
      </c>
      <c r="F181" s="18" t="str">
        <f aca="false">IF($A181="","",-SUMIFS(Transactions!$E:$E,Transactions!$O:$O,$A181,Transactions!$B:$B,"Sell shares"))</f>
        <v/>
      </c>
      <c r="G181" s="18" t="str">
        <f aca="false">IF($A181="","",D181-F181)</f>
        <v/>
      </c>
      <c r="H181" s="14" t="str">
        <f aca="false">IF($A181="","",SUMIFS(Transactions!$J:$J,Transactions!$O:$O,$A181,Transactions!$B:$B,"Sell call")+SUMIFS(Transactions!$J:$J,Transactions!$O:$O,$A181,Transactions!$B:$B,"Buy to close"))</f>
        <v/>
      </c>
      <c r="I181" s="26" t="str">
        <f aca="false">IF(OR($A181="",E181=""),"",E181-H181/D181)</f>
        <v/>
      </c>
      <c r="J181" s="26" t="str">
        <f aca="false">IF($A181="","",IFERROR(INDEX(Positions!$K:$K,MATCH(B181,Positions!$B:$B,0)),""))</f>
        <v/>
      </c>
      <c r="K181" s="23"/>
      <c r="L181" s="26" t="str">
        <f aca="false">IF($A181="","",IF(K181&lt;&gt;"",K181,J181))</f>
        <v/>
      </c>
      <c r="M181" s="14" t="str">
        <f aca="false">IF(OR($A181="",L181=""),"",L181*G181)</f>
        <v/>
      </c>
      <c r="N181" s="14" t="str">
        <f aca="false">IF(OR(M181="",E181=""),"",(L181-E181)*G181)</f>
        <v/>
      </c>
      <c r="O181" s="8" t="str">
        <f aca="false">IF($A181="","",IF(G181&lt;=0,"Sold",IF((-SUMIFS(Transactions!$E:$E,Transactions!$O:$O,$A181,Transactions!$B:$B,"Sell call")-SUMIFS(Transactions!$E:$E,Transactions!$O:$O,$A181,Transactions!$B:$B,"Buy to close")-SUMIFS(Transactions!$E:$E,Transactions!$O:$O,$A181,Transactions!$B:$B,"Expired")-SUMIFS(Transactions!$E:$E,Transactions!$O:$O,$A181,Transactions!$B:$B,"Assigned"))&gt;0,"Covered","Free")))</f>
        <v/>
      </c>
      <c r="P181" s="26" t="str">
        <f aca="false">IF(OR(I181="",G181&lt;=0),"",CEILING(MAX(I181,N(L181)),IF(E181&lt;50,0.5,IF(E181&lt;200,1,5))))</f>
        <v/>
      </c>
      <c r="Q181" s="8" t="str">
        <f aca="true">IF(OR(N181="",G181&lt;=0),"",IF(N181&gt;=0,"",IF(COUNTIFS($B:$B,B181,$C:$C,"&gt;="&amp;(TODAY()-30),$C:$C,"&lt;="&amp;TODAY(),$A:$A,"&lt;&gt;"&amp;$A181)&gt;0,"Loss sale now = wash sale","OK to harvest loss")))</f>
        <v/>
      </c>
      <c r="R181" s="14" t="str">
        <f aca="false">IF(OR($A181="",N(F181)&lt;=0),"",SUMIFS(Transactions!$J:$J,Transactions!$O:$O,$A181,Transactions!$B:$B,"Sell shares")-E181*F181)</f>
        <v/>
      </c>
      <c r="S181" s="10" t="str">
        <f aca="false">IF(OR($A181="",N(F181)&lt;=0),"",_xlfn.MAXIFS(Transactions!$A:$A,Transactions!$O:$O,$A181,Transactions!$B:$B,"Sell shares"))</f>
        <v/>
      </c>
      <c r="T181" s="14" t="str">
        <f aca="false">IF(OR($A181="",E181=""),"",E181*G181)</f>
        <v/>
      </c>
    </row>
    <row r="182" customFormat="false" ht="15" hidden="false" customHeight="false" outlineLevel="0" collapsed="false">
      <c r="A182" s="21"/>
      <c r="B182" s="8" t="str">
        <f aca="false">IF($A182="","",IFERROR(INDEX(Transactions!$C:$C,MATCH($A182,Transactions!$O:$O,0)),""))</f>
        <v/>
      </c>
      <c r="C182" s="10" t="str">
        <f aca="false">IF($A182="","",IF(COUNTIFS(Transactions!$O:$O,$A182,Transactions!$B:$B,"Buy shares")=0,"",_xlfn.MINIFS(Transactions!$A:$A,Transactions!$O:$O,$A182,Transactions!$B:$B,"Buy shares")))</f>
        <v/>
      </c>
      <c r="D182" s="18" t="str">
        <f aca="false">IF($A182="","",SUMIFS(Transactions!$E:$E,Transactions!$O:$O,$A182,Transactions!$B:$B,"Buy shares"))</f>
        <v/>
      </c>
      <c r="E182" s="26" t="str">
        <f aca="false">IF($A182="","",IF(D182=0,"",-SUMIFS(Transactions!$J:$J,Transactions!$O:$O,$A182,Transactions!$B:$B,"Buy shares")/D182))</f>
        <v/>
      </c>
      <c r="F182" s="18" t="str">
        <f aca="false">IF($A182="","",-SUMIFS(Transactions!$E:$E,Transactions!$O:$O,$A182,Transactions!$B:$B,"Sell shares"))</f>
        <v/>
      </c>
      <c r="G182" s="18" t="str">
        <f aca="false">IF($A182="","",D182-F182)</f>
        <v/>
      </c>
      <c r="H182" s="14" t="str">
        <f aca="false">IF($A182="","",SUMIFS(Transactions!$J:$J,Transactions!$O:$O,$A182,Transactions!$B:$B,"Sell call")+SUMIFS(Transactions!$J:$J,Transactions!$O:$O,$A182,Transactions!$B:$B,"Buy to close"))</f>
        <v/>
      </c>
      <c r="I182" s="26" t="str">
        <f aca="false">IF(OR($A182="",E182=""),"",E182-H182/D182)</f>
        <v/>
      </c>
      <c r="J182" s="26" t="str">
        <f aca="false">IF($A182="","",IFERROR(INDEX(Positions!$K:$K,MATCH(B182,Positions!$B:$B,0)),""))</f>
        <v/>
      </c>
      <c r="K182" s="23"/>
      <c r="L182" s="26" t="str">
        <f aca="false">IF($A182="","",IF(K182&lt;&gt;"",K182,J182))</f>
        <v/>
      </c>
      <c r="M182" s="14" t="str">
        <f aca="false">IF(OR($A182="",L182=""),"",L182*G182)</f>
        <v/>
      </c>
      <c r="N182" s="14" t="str">
        <f aca="false">IF(OR(M182="",E182=""),"",(L182-E182)*G182)</f>
        <v/>
      </c>
      <c r="O182" s="8" t="str">
        <f aca="false">IF($A182="","",IF(G182&lt;=0,"Sold",IF((-SUMIFS(Transactions!$E:$E,Transactions!$O:$O,$A182,Transactions!$B:$B,"Sell call")-SUMIFS(Transactions!$E:$E,Transactions!$O:$O,$A182,Transactions!$B:$B,"Buy to close")-SUMIFS(Transactions!$E:$E,Transactions!$O:$O,$A182,Transactions!$B:$B,"Expired")-SUMIFS(Transactions!$E:$E,Transactions!$O:$O,$A182,Transactions!$B:$B,"Assigned"))&gt;0,"Covered","Free")))</f>
        <v/>
      </c>
      <c r="P182" s="26" t="str">
        <f aca="false">IF(OR(I182="",G182&lt;=0),"",CEILING(MAX(I182,N(L182)),IF(E182&lt;50,0.5,IF(E182&lt;200,1,5))))</f>
        <v/>
      </c>
      <c r="Q182" s="8" t="str">
        <f aca="true">IF(OR(N182="",G182&lt;=0),"",IF(N182&gt;=0,"",IF(COUNTIFS($B:$B,B182,$C:$C,"&gt;="&amp;(TODAY()-30),$C:$C,"&lt;="&amp;TODAY(),$A:$A,"&lt;&gt;"&amp;$A182)&gt;0,"Loss sale now = wash sale","OK to harvest loss")))</f>
        <v/>
      </c>
      <c r="R182" s="14" t="str">
        <f aca="false">IF(OR($A182="",N(F182)&lt;=0),"",SUMIFS(Transactions!$J:$J,Transactions!$O:$O,$A182,Transactions!$B:$B,"Sell shares")-E182*F182)</f>
        <v/>
      </c>
      <c r="S182" s="10" t="str">
        <f aca="false">IF(OR($A182="",N(F182)&lt;=0),"",_xlfn.MAXIFS(Transactions!$A:$A,Transactions!$O:$O,$A182,Transactions!$B:$B,"Sell shares"))</f>
        <v/>
      </c>
      <c r="T182" s="14" t="str">
        <f aca="false">IF(OR($A182="",E182=""),"",E182*G182)</f>
        <v/>
      </c>
    </row>
    <row r="183" customFormat="false" ht="15" hidden="false" customHeight="false" outlineLevel="0" collapsed="false">
      <c r="A183" s="21"/>
      <c r="B183" s="8" t="str">
        <f aca="false">IF($A183="","",IFERROR(INDEX(Transactions!$C:$C,MATCH($A183,Transactions!$O:$O,0)),""))</f>
        <v/>
      </c>
      <c r="C183" s="10" t="str">
        <f aca="false">IF($A183="","",IF(COUNTIFS(Transactions!$O:$O,$A183,Transactions!$B:$B,"Buy shares")=0,"",_xlfn.MINIFS(Transactions!$A:$A,Transactions!$O:$O,$A183,Transactions!$B:$B,"Buy shares")))</f>
        <v/>
      </c>
      <c r="D183" s="18" t="str">
        <f aca="false">IF($A183="","",SUMIFS(Transactions!$E:$E,Transactions!$O:$O,$A183,Transactions!$B:$B,"Buy shares"))</f>
        <v/>
      </c>
      <c r="E183" s="26" t="str">
        <f aca="false">IF($A183="","",IF(D183=0,"",-SUMIFS(Transactions!$J:$J,Transactions!$O:$O,$A183,Transactions!$B:$B,"Buy shares")/D183))</f>
        <v/>
      </c>
      <c r="F183" s="18" t="str">
        <f aca="false">IF($A183="","",-SUMIFS(Transactions!$E:$E,Transactions!$O:$O,$A183,Transactions!$B:$B,"Sell shares"))</f>
        <v/>
      </c>
      <c r="G183" s="18" t="str">
        <f aca="false">IF($A183="","",D183-F183)</f>
        <v/>
      </c>
      <c r="H183" s="14" t="str">
        <f aca="false">IF($A183="","",SUMIFS(Transactions!$J:$J,Transactions!$O:$O,$A183,Transactions!$B:$B,"Sell call")+SUMIFS(Transactions!$J:$J,Transactions!$O:$O,$A183,Transactions!$B:$B,"Buy to close"))</f>
        <v/>
      </c>
      <c r="I183" s="26" t="str">
        <f aca="false">IF(OR($A183="",E183=""),"",E183-H183/D183)</f>
        <v/>
      </c>
      <c r="J183" s="26" t="str">
        <f aca="false">IF($A183="","",IFERROR(INDEX(Positions!$K:$K,MATCH(B183,Positions!$B:$B,0)),""))</f>
        <v/>
      </c>
      <c r="K183" s="23"/>
      <c r="L183" s="26" t="str">
        <f aca="false">IF($A183="","",IF(K183&lt;&gt;"",K183,J183))</f>
        <v/>
      </c>
      <c r="M183" s="14" t="str">
        <f aca="false">IF(OR($A183="",L183=""),"",L183*G183)</f>
        <v/>
      </c>
      <c r="N183" s="14" t="str">
        <f aca="false">IF(OR(M183="",E183=""),"",(L183-E183)*G183)</f>
        <v/>
      </c>
      <c r="O183" s="8" t="str">
        <f aca="false">IF($A183="","",IF(G183&lt;=0,"Sold",IF((-SUMIFS(Transactions!$E:$E,Transactions!$O:$O,$A183,Transactions!$B:$B,"Sell call")-SUMIFS(Transactions!$E:$E,Transactions!$O:$O,$A183,Transactions!$B:$B,"Buy to close")-SUMIFS(Transactions!$E:$E,Transactions!$O:$O,$A183,Transactions!$B:$B,"Expired")-SUMIFS(Transactions!$E:$E,Transactions!$O:$O,$A183,Transactions!$B:$B,"Assigned"))&gt;0,"Covered","Free")))</f>
        <v/>
      </c>
      <c r="P183" s="26" t="str">
        <f aca="false">IF(OR(I183="",G183&lt;=0),"",CEILING(MAX(I183,N(L183)),IF(E183&lt;50,0.5,IF(E183&lt;200,1,5))))</f>
        <v/>
      </c>
      <c r="Q183" s="8" t="str">
        <f aca="true">IF(OR(N183="",G183&lt;=0),"",IF(N183&gt;=0,"",IF(COUNTIFS($B:$B,B183,$C:$C,"&gt;="&amp;(TODAY()-30),$C:$C,"&lt;="&amp;TODAY(),$A:$A,"&lt;&gt;"&amp;$A183)&gt;0,"Loss sale now = wash sale","OK to harvest loss")))</f>
        <v/>
      </c>
      <c r="R183" s="14" t="str">
        <f aca="false">IF(OR($A183="",N(F183)&lt;=0),"",SUMIFS(Transactions!$J:$J,Transactions!$O:$O,$A183,Transactions!$B:$B,"Sell shares")-E183*F183)</f>
        <v/>
      </c>
      <c r="S183" s="10" t="str">
        <f aca="false">IF(OR($A183="",N(F183)&lt;=0),"",_xlfn.MAXIFS(Transactions!$A:$A,Transactions!$O:$O,$A183,Transactions!$B:$B,"Sell shares"))</f>
        <v/>
      </c>
      <c r="T183" s="14" t="str">
        <f aca="false">IF(OR($A183="",E183=""),"",E183*G183)</f>
        <v/>
      </c>
    </row>
    <row r="184" customFormat="false" ht="15" hidden="false" customHeight="false" outlineLevel="0" collapsed="false">
      <c r="A184" s="21"/>
      <c r="B184" s="8" t="str">
        <f aca="false">IF($A184="","",IFERROR(INDEX(Transactions!$C:$C,MATCH($A184,Transactions!$O:$O,0)),""))</f>
        <v/>
      </c>
      <c r="C184" s="10" t="str">
        <f aca="false">IF($A184="","",IF(COUNTIFS(Transactions!$O:$O,$A184,Transactions!$B:$B,"Buy shares")=0,"",_xlfn.MINIFS(Transactions!$A:$A,Transactions!$O:$O,$A184,Transactions!$B:$B,"Buy shares")))</f>
        <v/>
      </c>
      <c r="D184" s="18" t="str">
        <f aca="false">IF($A184="","",SUMIFS(Transactions!$E:$E,Transactions!$O:$O,$A184,Transactions!$B:$B,"Buy shares"))</f>
        <v/>
      </c>
      <c r="E184" s="26" t="str">
        <f aca="false">IF($A184="","",IF(D184=0,"",-SUMIFS(Transactions!$J:$J,Transactions!$O:$O,$A184,Transactions!$B:$B,"Buy shares")/D184))</f>
        <v/>
      </c>
      <c r="F184" s="18" t="str">
        <f aca="false">IF($A184="","",-SUMIFS(Transactions!$E:$E,Transactions!$O:$O,$A184,Transactions!$B:$B,"Sell shares"))</f>
        <v/>
      </c>
      <c r="G184" s="18" t="str">
        <f aca="false">IF($A184="","",D184-F184)</f>
        <v/>
      </c>
      <c r="H184" s="14" t="str">
        <f aca="false">IF($A184="","",SUMIFS(Transactions!$J:$J,Transactions!$O:$O,$A184,Transactions!$B:$B,"Sell call")+SUMIFS(Transactions!$J:$J,Transactions!$O:$O,$A184,Transactions!$B:$B,"Buy to close"))</f>
        <v/>
      </c>
      <c r="I184" s="26" t="str">
        <f aca="false">IF(OR($A184="",E184=""),"",E184-H184/D184)</f>
        <v/>
      </c>
      <c r="J184" s="26" t="str">
        <f aca="false">IF($A184="","",IFERROR(INDEX(Positions!$K:$K,MATCH(B184,Positions!$B:$B,0)),""))</f>
        <v/>
      </c>
      <c r="K184" s="23"/>
      <c r="L184" s="26" t="str">
        <f aca="false">IF($A184="","",IF(K184&lt;&gt;"",K184,J184))</f>
        <v/>
      </c>
      <c r="M184" s="14" t="str">
        <f aca="false">IF(OR($A184="",L184=""),"",L184*G184)</f>
        <v/>
      </c>
      <c r="N184" s="14" t="str">
        <f aca="false">IF(OR(M184="",E184=""),"",(L184-E184)*G184)</f>
        <v/>
      </c>
      <c r="O184" s="8" t="str">
        <f aca="false">IF($A184="","",IF(G184&lt;=0,"Sold",IF((-SUMIFS(Transactions!$E:$E,Transactions!$O:$O,$A184,Transactions!$B:$B,"Sell call")-SUMIFS(Transactions!$E:$E,Transactions!$O:$O,$A184,Transactions!$B:$B,"Buy to close")-SUMIFS(Transactions!$E:$E,Transactions!$O:$O,$A184,Transactions!$B:$B,"Expired")-SUMIFS(Transactions!$E:$E,Transactions!$O:$O,$A184,Transactions!$B:$B,"Assigned"))&gt;0,"Covered","Free")))</f>
        <v/>
      </c>
      <c r="P184" s="26" t="str">
        <f aca="false">IF(OR(I184="",G184&lt;=0),"",CEILING(MAX(I184,N(L184)),IF(E184&lt;50,0.5,IF(E184&lt;200,1,5))))</f>
        <v/>
      </c>
      <c r="Q184" s="8" t="str">
        <f aca="true">IF(OR(N184="",G184&lt;=0),"",IF(N184&gt;=0,"",IF(COUNTIFS($B:$B,B184,$C:$C,"&gt;="&amp;(TODAY()-30),$C:$C,"&lt;="&amp;TODAY(),$A:$A,"&lt;&gt;"&amp;$A184)&gt;0,"Loss sale now = wash sale","OK to harvest loss")))</f>
        <v/>
      </c>
      <c r="R184" s="14" t="str">
        <f aca="false">IF(OR($A184="",N(F184)&lt;=0),"",SUMIFS(Transactions!$J:$J,Transactions!$O:$O,$A184,Transactions!$B:$B,"Sell shares")-E184*F184)</f>
        <v/>
      </c>
      <c r="S184" s="10" t="str">
        <f aca="false">IF(OR($A184="",N(F184)&lt;=0),"",_xlfn.MAXIFS(Transactions!$A:$A,Transactions!$O:$O,$A184,Transactions!$B:$B,"Sell shares"))</f>
        <v/>
      </c>
      <c r="T184" s="14" t="str">
        <f aca="false">IF(OR($A184="",E184=""),"",E184*G184)</f>
        <v/>
      </c>
    </row>
    <row r="185" customFormat="false" ht="15" hidden="false" customHeight="false" outlineLevel="0" collapsed="false">
      <c r="A185" s="21"/>
      <c r="B185" s="8" t="str">
        <f aca="false">IF($A185="","",IFERROR(INDEX(Transactions!$C:$C,MATCH($A185,Transactions!$O:$O,0)),""))</f>
        <v/>
      </c>
      <c r="C185" s="10" t="str">
        <f aca="false">IF($A185="","",IF(COUNTIFS(Transactions!$O:$O,$A185,Transactions!$B:$B,"Buy shares")=0,"",_xlfn.MINIFS(Transactions!$A:$A,Transactions!$O:$O,$A185,Transactions!$B:$B,"Buy shares")))</f>
        <v/>
      </c>
      <c r="D185" s="18" t="str">
        <f aca="false">IF($A185="","",SUMIFS(Transactions!$E:$E,Transactions!$O:$O,$A185,Transactions!$B:$B,"Buy shares"))</f>
        <v/>
      </c>
      <c r="E185" s="26" t="str">
        <f aca="false">IF($A185="","",IF(D185=0,"",-SUMIFS(Transactions!$J:$J,Transactions!$O:$O,$A185,Transactions!$B:$B,"Buy shares")/D185))</f>
        <v/>
      </c>
      <c r="F185" s="18" t="str">
        <f aca="false">IF($A185="","",-SUMIFS(Transactions!$E:$E,Transactions!$O:$O,$A185,Transactions!$B:$B,"Sell shares"))</f>
        <v/>
      </c>
      <c r="G185" s="18" t="str">
        <f aca="false">IF($A185="","",D185-F185)</f>
        <v/>
      </c>
      <c r="H185" s="14" t="str">
        <f aca="false">IF($A185="","",SUMIFS(Transactions!$J:$J,Transactions!$O:$O,$A185,Transactions!$B:$B,"Sell call")+SUMIFS(Transactions!$J:$J,Transactions!$O:$O,$A185,Transactions!$B:$B,"Buy to close"))</f>
        <v/>
      </c>
      <c r="I185" s="26" t="str">
        <f aca="false">IF(OR($A185="",E185=""),"",E185-H185/D185)</f>
        <v/>
      </c>
      <c r="J185" s="26" t="str">
        <f aca="false">IF($A185="","",IFERROR(INDEX(Positions!$K:$K,MATCH(B185,Positions!$B:$B,0)),""))</f>
        <v/>
      </c>
      <c r="K185" s="23"/>
      <c r="L185" s="26" t="str">
        <f aca="false">IF($A185="","",IF(K185&lt;&gt;"",K185,J185))</f>
        <v/>
      </c>
      <c r="M185" s="14" t="str">
        <f aca="false">IF(OR($A185="",L185=""),"",L185*G185)</f>
        <v/>
      </c>
      <c r="N185" s="14" t="str">
        <f aca="false">IF(OR(M185="",E185=""),"",(L185-E185)*G185)</f>
        <v/>
      </c>
      <c r="O185" s="8" t="str">
        <f aca="false">IF($A185="","",IF(G185&lt;=0,"Sold",IF((-SUMIFS(Transactions!$E:$E,Transactions!$O:$O,$A185,Transactions!$B:$B,"Sell call")-SUMIFS(Transactions!$E:$E,Transactions!$O:$O,$A185,Transactions!$B:$B,"Buy to close")-SUMIFS(Transactions!$E:$E,Transactions!$O:$O,$A185,Transactions!$B:$B,"Expired")-SUMIFS(Transactions!$E:$E,Transactions!$O:$O,$A185,Transactions!$B:$B,"Assigned"))&gt;0,"Covered","Free")))</f>
        <v/>
      </c>
      <c r="P185" s="26" t="str">
        <f aca="false">IF(OR(I185="",G185&lt;=0),"",CEILING(MAX(I185,N(L185)),IF(E185&lt;50,0.5,IF(E185&lt;200,1,5))))</f>
        <v/>
      </c>
      <c r="Q185" s="8" t="str">
        <f aca="true">IF(OR(N185="",G185&lt;=0),"",IF(N185&gt;=0,"",IF(COUNTIFS($B:$B,B185,$C:$C,"&gt;="&amp;(TODAY()-30),$C:$C,"&lt;="&amp;TODAY(),$A:$A,"&lt;&gt;"&amp;$A185)&gt;0,"Loss sale now = wash sale","OK to harvest loss")))</f>
        <v/>
      </c>
      <c r="R185" s="14" t="str">
        <f aca="false">IF(OR($A185="",N(F185)&lt;=0),"",SUMIFS(Transactions!$J:$J,Transactions!$O:$O,$A185,Transactions!$B:$B,"Sell shares")-E185*F185)</f>
        <v/>
      </c>
      <c r="S185" s="10" t="str">
        <f aca="false">IF(OR($A185="",N(F185)&lt;=0),"",_xlfn.MAXIFS(Transactions!$A:$A,Transactions!$O:$O,$A185,Transactions!$B:$B,"Sell shares"))</f>
        <v/>
      </c>
      <c r="T185" s="14" t="str">
        <f aca="false">IF(OR($A185="",E185=""),"",E185*G185)</f>
        <v/>
      </c>
    </row>
    <row r="186" customFormat="false" ht="15" hidden="false" customHeight="false" outlineLevel="0" collapsed="false">
      <c r="A186" s="21"/>
      <c r="B186" s="8" t="str">
        <f aca="false">IF($A186="","",IFERROR(INDEX(Transactions!$C:$C,MATCH($A186,Transactions!$O:$O,0)),""))</f>
        <v/>
      </c>
      <c r="C186" s="10" t="str">
        <f aca="false">IF($A186="","",IF(COUNTIFS(Transactions!$O:$O,$A186,Transactions!$B:$B,"Buy shares")=0,"",_xlfn.MINIFS(Transactions!$A:$A,Transactions!$O:$O,$A186,Transactions!$B:$B,"Buy shares")))</f>
        <v/>
      </c>
      <c r="D186" s="18" t="str">
        <f aca="false">IF($A186="","",SUMIFS(Transactions!$E:$E,Transactions!$O:$O,$A186,Transactions!$B:$B,"Buy shares"))</f>
        <v/>
      </c>
      <c r="E186" s="26" t="str">
        <f aca="false">IF($A186="","",IF(D186=0,"",-SUMIFS(Transactions!$J:$J,Transactions!$O:$O,$A186,Transactions!$B:$B,"Buy shares")/D186))</f>
        <v/>
      </c>
      <c r="F186" s="18" t="str">
        <f aca="false">IF($A186="","",-SUMIFS(Transactions!$E:$E,Transactions!$O:$O,$A186,Transactions!$B:$B,"Sell shares"))</f>
        <v/>
      </c>
      <c r="G186" s="18" t="str">
        <f aca="false">IF($A186="","",D186-F186)</f>
        <v/>
      </c>
      <c r="H186" s="14" t="str">
        <f aca="false">IF($A186="","",SUMIFS(Transactions!$J:$J,Transactions!$O:$O,$A186,Transactions!$B:$B,"Sell call")+SUMIFS(Transactions!$J:$J,Transactions!$O:$O,$A186,Transactions!$B:$B,"Buy to close"))</f>
        <v/>
      </c>
      <c r="I186" s="26" t="str">
        <f aca="false">IF(OR($A186="",E186=""),"",E186-H186/D186)</f>
        <v/>
      </c>
      <c r="J186" s="26" t="str">
        <f aca="false">IF($A186="","",IFERROR(INDEX(Positions!$K:$K,MATCH(B186,Positions!$B:$B,0)),""))</f>
        <v/>
      </c>
      <c r="K186" s="23"/>
      <c r="L186" s="26" t="str">
        <f aca="false">IF($A186="","",IF(K186&lt;&gt;"",K186,J186))</f>
        <v/>
      </c>
      <c r="M186" s="14" t="str">
        <f aca="false">IF(OR($A186="",L186=""),"",L186*G186)</f>
        <v/>
      </c>
      <c r="N186" s="14" t="str">
        <f aca="false">IF(OR(M186="",E186=""),"",(L186-E186)*G186)</f>
        <v/>
      </c>
      <c r="O186" s="8" t="str">
        <f aca="false">IF($A186="","",IF(G186&lt;=0,"Sold",IF((-SUMIFS(Transactions!$E:$E,Transactions!$O:$O,$A186,Transactions!$B:$B,"Sell call")-SUMIFS(Transactions!$E:$E,Transactions!$O:$O,$A186,Transactions!$B:$B,"Buy to close")-SUMIFS(Transactions!$E:$E,Transactions!$O:$O,$A186,Transactions!$B:$B,"Expired")-SUMIFS(Transactions!$E:$E,Transactions!$O:$O,$A186,Transactions!$B:$B,"Assigned"))&gt;0,"Covered","Free")))</f>
        <v/>
      </c>
      <c r="P186" s="26" t="str">
        <f aca="false">IF(OR(I186="",G186&lt;=0),"",CEILING(MAX(I186,N(L186)),IF(E186&lt;50,0.5,IF(E186&lt;200,1,5))))</f>
        <v/>
      </c>
      <c r="Q186" s="8" t="str">
        <f aca="true">IF(OR(N186="",G186&lt;=0),"",IF(N186&gt;=0,"",IF(COUNTIFS($B:$B,B186,$C:$C,"&gt;="&amp;(TODAY()-30),$C:$C,"&lt;="&amp;TODAY(),$A:$A,"&lt;&gt;"&amp;$A186)&gt;0,"Loss sale now = wash sale","OK to harvest loss")))</f>
        <v/>
      </c>
      <c r="R186" s="14" t="str">
        <f aca="false">IF(OR($A186="",N(F186)&lt;=0),"",SUMIFS(Transactions!$J:$J,Transactions!$O:$O,$A186,Transactions!$B:$B,"Sell shares")-E186*F186)</f>
        <v/>
      </c>
      <c r="S186" s="10" t="str">
        <f aca="false">IF(OR($A186="",N(F186)&lt;=0),"",_xlfn.MAXIFS(Transactions!$A:$A,Transactions!$O:$O,$A186,Transactions!$B:$B,"Sell shares"))</f>
        <v/>
      </c>
      <c r="T186" s="14" t="str">
        <f aca="false">IF(OR($A186="",E186=""),"",E186*G186)</f>
        <v/>
      </c>
    </row>
    <row r="187" customFormat="false" ht="15" hidden="false" customHeight="false" outlineLevel="0" collapsed="false">
      <c r="A187" s="21"/>
      <c r="B187" s="8" t="str">
        <f aca="false">IF($A187="","",IFERROR(INDEX(Transactions!$C:$C,MATCH($A187,Transactions!$O:$O,0)),""))</f>
        <v/>
      </c>
      <c r="C187" s="10" t="str">
        <f aca="false">IF($A187="","",IF(COUNTIFS(Transactions!$O:$O,$A187,Transactions!$B:$B,"Buy shares")=0,"",_xlfn.MINIFS(Transactions!$A:$A,Transactions!$O:$O,$A187,Transactions!$B:$B,"Buy shares")))</f>
        <v/>
      </c>
      <c r="D187" s="18" t="str">
        <f aca="false">IF($A187="","",SUMIFS(Transactions!$E:$E,Transactions!$O:$O,$A187,Transactions!$B:$B,"Buy shares"))</f>
        <v/>
      </c>
      <c r="E187" s="26" t="str">
        <f aca="false">IF($A187="","",IF(D187=0,"",-SUMIFS(Transactions!$J:$J,Transactions!$O:$O,$A187,Transactions!$B:$B,"Buy shares")/D187))</f>
        <v/>
      </c>
      <c r="F187" s="18" t="str">
        <f aca="false">IF($A187="","",-SUMIFS(Transactions!$E:$E,Transactions!$O:$O,$A187,Transactions!$B:$B,"Sell shares"))</f>
        <v/>
      </c>
      <c r="G187" s="18" t="str">
        <f aca="false">IF($A187="","",D187-F187)</f>
        <v/>
      </c>
      <c r="H187" s="14" t="str">
        <f aca="false">IF($A187="","",SUMIFS(Transactions!$J:$J,Transactions!$O:$O,$A187,Transactions!$B:$B,"Sell call")+SUMIFS(Transactions!$J:$J,Transactions!$O:$O,$A187,Transactions!$B:$B,"Buy to close"))</f>
        <v/>
      </c>
      <c r="I187" s="26" t="str">
        <f aca="false">IF(OR($A187="",E187=""),"",E187-H187/D187)</f>
        <v/>
      </c>
      <c r="J187" s="26" t="str">
        <f aca="false">IF($A187="","",IFERROR(INDEX(Positions!$K:$K,MATCH(B187,Positions!$B:$B,0)),""))</f>
        <v/>
      </c>
      <c r="K187" s="23"/>
      <c r="L187" s="26" t="str">
        <f aca="false">IF($A187="","",IF(K187&lt;&gt;"",K187,J187))</f>
        <v/>
      </c>
      <c r="M187" s="14" t="str">
        <f aca="false">IF(OR($A187="",L187=""),"",L187*G187)</f>
        <v/>
      </c>
      <c r="N187" s="14" t="str">
        <f aca="false">IF(OR(M187="",E187=""),"",(L187-E187)*G187)</f>
        <v/>
      </c>
      <c r="O187" s="8" t="str">
        <f aca="false">IF($A187="","",IF(G187&lt;=0,"Sold",IF((-SUMIFS(Transactions!$E:$E,Transactions!$O:$O,$A187,Transactions!$B:$B,"Sell call")-SUMIFS(Transactions!$E:$E,Transactions!$O:$O,$A187,Transactions!$B:$B,"Buy to close")-SUMIFS(Transactions!$E:$E,Transactions!$O:$O,$A187,Transactions!$B:$B,"Expired")-SUMIFS(Transactions!$E:$E,Transactions!$O:$O,$A187,Transactions!$B:$B,"Assigned"))&gt;0,"Covered","Free")))</f>
        <v/>
      </c>
      <c r="P187" s="26" t="str">
        <f aca="false">IF(OR(I187="",G187&lt;=0),"",CEILING(MAX(I187,N(L187)),IF(E187&lt;50,0.5,IF(E187&lt;200,1,5))))</f>
        <v/>
      </c>
      <c r="Q187" s="8" t="str">
        <f aca="true">IF(OR(N187="",G187&lt;=0),"",IF(N187&gt;=0,"",IF(COUNTIFS($B:$B,B187,$C:$C,"&gt;="&amp;(TODAY()-30),$C:$C,"&lt;="&amp;TODAY(),$A:$A,"&lt;&gt;"&amp;$A187)&gt;0,"Loss sale now = wash sale","OK to harvest loss")))</f>
        <v/>
      </c>
      <c r="R187" s="14" t="str">
        <f aca="false">IF(OR($A187="",N(F187)&lt;=0),"",SUMIFS(Transactions!$J:$J,Transactions!$O:$O,$A187,Transactions!$B:$B,"Sell shares")-E187*F187)</f>
        <v/>
      </c>
      <c r="S187" s="10" t="str">
        <f aca="false">IF(OR($A187="",N(F187)&lt;=0),"",_xlfn.MAXIFS(Transactions!$A:$A,Transactions!$O:$O,$A187,Transactions!$B:$B,"Sell shares"))</f>
        <v/>
      </c>
      <c r="T187" s="14" t="str">
        <f aca="false">IF(OR($A187="",E187=""),"",E187*G187)</f>
        <v/>
      </c>
    </row>
    <row r="188" customFormat="false" ht="15" hidden="false" customHeight="false" outlineLevel="0" collapsed="false">
      <c r="A188" s="21"/>
      <c r="B188" s="8" t="str">
        <f aca="false">IF($A188="","",IFERROR(INDEX(Transactions!$C:$C,MATCH($A188,Transactions!$O:$O,0)),""))</f>
        <v/>
      </c>
      <c r="C188" s="10" t="str">
        <f aca="false">IF($A188="","",IF(COUNTIFS(Transactions!$O:$O,$A188,Transactions!$B:$B,"Buy shares")=0,"",_xlfn.MINIFS(Transactions!$A:$A,Transactions!$O:$O,$A188,Transactions!$B:$B,"Buy shares")))</f>
        <v/>
      </c>
      <c r="D188" s="18" t="str">
        <f aca="false">IF($A188="","",SUMIFS(Transactions!$E:$E,Transactions!$O:$O,$A188,Transactions!$B:$B,"Buy shares"))</f>
        <v/>
      </c>
      <c r="E188" s="26" t="str">
        <f aca="false">IF($A188="","",IF(D188=0,"",-SUMIFS(Transactions!$J:$J,Transactions!$O:$O,$A188,Transactions!$B:$B,"Buy shares")/D188))</f>
        <v/>
      </c>
      <c r="F188" s="18" t="str">
        <f aca="false">IF($A188="","",-SUMIFS(Transactions!$E:$E,Transactions!$O:$O,$A188,Transactions!$B:$B,"Sell shares"))</f>
        <v/>
      </c>
      <c r="G188" s="18" t="str">
        <f aca="false">IF($A188="","",D188-F188)</f>
        <v/>
      </c>
      <c r="H188" s="14" t="str">
        <f aca="false">IF($A188="","",SUMIFS(Transactions!$J:$J,Transactions!$O:$O,$A188,Transactions!$B:$B,"Sell call")+SUMIFS(Transactions!$J:$J,Transactions!$O:$O,$A188,Transactions!$B:$B,"Buy to close"))</f>
        <v/>
      </c>
      <c r="I188" s="26" t="str">
        <f aca="false">IF(OR($A188="",E188=""),"",E188-H188/D188)</f>
        <v/>
      </c>
      <c r="J188" s="26" t="str">
        <f aca="false">IF($A188="","",IFERROR(INDEX(Positions!$K:$K,MATCH(B188,Positions!$B:$B,0)),""))</f>
        <v/>
      </c>
      <c r="K188" s="23"/>
      <c r="L188" s="26" t="str">
        <f aca="false">IF($A188="","",IF(K188&lt;&gt;"",K188,J188))</f>
        <v/>
      </c>
      <c r="M188" s="14" t="str">
        <f aca="false">IF(OR($A188="",L188=""),"",L188*G188)</f>
        <v/>
      </c>
      <c r="N188" s="14" t="str">
        <f aca="false">IF(OR(M188="",E188=""),"",(L188-E188)*G188)</f>
        <v/>
      </c>
      <c r="O188" s="8" t="str">
        <f aca="false">IF($A188="","",IF(G188&lt;=0,"Sold",IF((-SUMIFS(Transactions!$E:$E,Transactions!$O:$O,$A188,Transactions!$B:$B,"Sell call")-SUMIFS(Transactions!$E:$E,Transactions!$O:$O,$A188,Transactions!$B:$B,"Buy to close")-SUMIFS(Transactions!$E:$E,Transactions!$O:$O,$A188,Transactions!$B:$B,"Expired")-SUMIFS(Transactions!$E:$E,Transactions!$O:$O,$A188,Transactions!$B:$B,"Assigned"))&gt;0,"Covered","Free")))</f>
        <v/>
      </c>
      <c r="P188" s="26" t="str">
        <f aca="false">IF(OR(I188="",G188&lt;=0),"",CEILING(MAX(I188,N(L188)),IF(E188&lt;50,0.5,IF(E188&lt;200,1,5))))</f>
        <v/>
      </c>
      <c r="Q188" s="8" t="str">
        <f aca="true">IF(OR(N188="",G188&lt;=0),"",IF(N188&gt;=0,"",IF(COUNTIFS($B:$B,B188,$C:$C,"&gt;="&amp;(TODAY()-30),$C:$C,"&lt;="&amp;TODAY(),$A:$A,"&lt;&gt;"&amp;$A188)&gt;0,"Loss sale now = wash sale","OK to harvest loss")))</f>
        <v/>
      </c>
      <c r="R188" s="14" t="str">
        <f aca="false">IF(OR($A188="",N(F188)&lt;=0),"",SUMIFS(Transactions!$J:$J,Transactions!$O:$O,$A188,Transactions!$B:$B,"Sell shares")-E188*F188)</f>
        <v/>
      </c>
      <c r="S188" s="10" t="str">
        <f aca="false">IF(OR($A188="",N(F188)&lt;=0),"",_xlfn.MAXIFS(Transactions!$A:$A,Transactions!$O:$O,$A188,Transactions!$B:$B,"Sell shares"))</f>
        <v/>
      </c>
      <c r="T188" s="14" t="str">
        <f aca="false">IF(OR($A188="",E188=""),"",E188*G188)</f>
        <v/>
      </c>
    </row>
    <row r="189" customFormat="false" ht="15" hidden="false" customHeight="false" outlineLevel="0" collapsed="false">
      <c r="A189" s="21"/>
      <c r="B189" s="8" t="str">
        <f aca="false">IF($A189="","",IFERROR(INDEX(Transactions!$C:$C,MATCH($A189,Transactions!$O:$O,0)),""))</f>
        <v/>
      </c>
      <c r="C189" s="10" t="str">
        <f aca="false">IF($A189="","",IF(COUNTIFS(Transactions!$O:$O,$A189,Transactions!$B:$B,"Buy shares")=0,"",_xlfn.MINIFS(Transactions!$A:$A,Transactions!$O:$O,$A189,Transactions!$B:$B,"Buy shares")))</f>
        <v/>
      </c>
      <c r="D189" s="18" t="str">
        <f aca="false">IF($A189="","",SUMIFS(Transactions!$E:$E,Transactions!$O:$O,$A189,Transactions!$B:$B,"Buy shares"))</f>
        <v/>
      </c>
      <c r="E189" s="26" t="str">
        <f aca="false">IF($A189="","",IF(D189=0,"",-SUMIFS(Transactions!$J:$J,Transactions!$O:$O,$A189,Transactions!$B:$B,"Buy shares")/D189))</f>
        <v/>
      </c>
      <c r="F189" s="18" t="str">
        <f aca="false">IF($A189="","",-SUMIFS(Transactions!$E:$E,Transactions!$O:$O,$A189,Transactions!$B:$B,"Sell shares"))</f>
        <v/>
      </c>
      <c r="G189" s="18" t="str">
        <f aca="false">IF($A189="","",D189-F189)</f>
        <v/>
      </c>
      <c r="H189" s="14" t="str">
        <f aca="false">IF($A189="","",SUMIFS(Transactions!$J:$J,Transactions!$O:$O,$A189,Transactions!$B:$B,"Sell call")+SUMIFS(Transactions!$J:$J,Transactions!$O:$O,$A189,Transactions!$B:$B,"Buy to close"))</f>
        <v/>
      </c>
      <c r="I189" s="26" t="str">
        <f aca="false">IF(OR($A189="",E189=""),"",E189-H189/D189)</f>
        <v/>
      </c>
      <c r="J189" s="26" t="str">
        <f aca="false">IF($A189="","",IFERROR(INDEX(Positions!$K:$K,MATCH(B189,Positions!$B:$B,0)),""))</f>
        <v/>
      </c>
      <c r="K189" s="23"/>
      <c r="L189" s="26" t="str">
        <f aca="false">IF($A189="","",IF(K189&lt;&gt;"",K189,J189))</f>
        <v/>
      </c>
      <c r="M189" s="14" t="str">
        <f aca="false">IF(OR($A189="",L189=""),"",L189*G189)</f>
        <v/>
      </c>
      <c r="N189" s="14" t="str">
        <f aca="false">IF(OR(M189="",E189=""),"",(L189-E189)*G189)</f>
        <v/>
      </c>
      <c r="O189" s="8" t="str">
        <f aca="false">IF($A189="","",IF(G189&lt;=0,"Sold",IF((-SUMIFS(Transactions!$E:$E,Transactions!$O:$O,$A189,Transactions!$B:$B,"Sell call")-SUMIFS(Transactions!$E:$E,Transactions!$O:$O,$A189,Transactions!$B:$B,"Buy to close")-SUMIFS(Transactions!$E:$E,Transactions!$O:$O,$A189,Transactions!$B:$B,"Expired")-SUMIFS(Transactions!$E:$E,Transactions!$O:$O,$A189,Transactions!$B:$B,"Assigned"))&gt;0,"Covered","Free")))</f>
        <v/>
      </c>
      <c r="P189" s="26" t="str">
        <f aca="false">IF(OR(I189="",G189&lt;=0),"",CEILING(MAX(I189,N(L189)),IF(E189&lt;50,0.5,IF(E189&lt;200,1,5))))</f>
        <v/>
      </c>
      <c r="Q189" s="8" t="str">
        <f aca="true">IF(OR(N189="",G189&lt;=0),"",IF(N189&gt;=0,"",IF(COUNTIFS($B:$B,B189,$C:$C,"&gt;="&amp;(TODAY()-30),$C:$C,"&lt;="&amp;TODAY(),$A:$A,"&lt;&gt;"&amp;$A189)&gt;0,"Loss sale now = wash sale","OK to harvest loss")))</f>
        <v/>
      </c>
      <c r="R189" s="14" t="str">
        <f aca="false">IF(OR($A189="",N(F189)&lt;=0),"",SUMIFS(Transactions!$J:$J,Transactions!$O:$O,$A189,Transactions!$B:$B,"Sell shares")-E189*F189)</f>
        <v/>
      </c>
      <c r="S189" s="10" t="str">
        <f aca="false">IF(OR($A189="",N(F189)&lt;=0),"",_xlfn.MAXIFS(Transactions!$A:$A,Transactions!$O:$O,$A189,Transactions!$B:$B,"Sell shares"))</f>
        <v/>
      </c>
      <c r="T189" s="14" t="str">
        <f aca="false">IF(OR($A189="",E189=""),"",E189*G189)</f>
        <v/>
      </c>
    </row>
    <row r="190" customFormat="false" ht="15" hidden="false" customHeight="false" outlineLevel="0" collapsed="false">
      <c r="A190" s="21"/>
      <c r="B190" s="8" t="str">
        <f aca="false">IF($A190="","",IFERROR(INDEX(Transactions!$C:$C,MATCH($A190,Transactions!$O:$O,0)),""))</f>
        <v/>
      </c>
      <c r="C190" s="10" t="str">
        <f aca="false">IF($A190="","",IF(COUNTIFS(Transactions!$O:$O,$A190,Transactions!$B:$B,"Buy shares")=0,"",_xlfn.MINIFS(Transactions!$A:$A,Transactions!$O:$O,$A190,Transactions!$B:$B,"Buy shares")))</f>
        <v/>
      </c>
      <c r="D190" s="18" t="str">
        <f aca="false">IF($A190="","",SUMIFS(Transactions!$E:$E,Transactions!$O:$O,$A190,Transactions!$B:$B,"Buy shares"))</f>
        <v/>
      </c>
      <c r="E190" s="26" t="str">
        <f aca="false">IF($A190="","",IF(D190=0,"",-SUMIFS(Transactions!$J:$J,Transactions!$O:$O,$A190,Transactions!$B:$B,"Buy shares")/D190))</f>
        <v/>
      </c>
      <c r="F190" s="18" t="str">
        <f aca="false">IF($A190="","",-SUMIFS(Transactions!$E:$E,Transactions!$O:$O,$A190,Transactions!$B:$B,"Sell shares"))</f>
        <v/>
      </c>
      <c r="G190" s="18" t="str">
        <f aca="false">IF($A190="","",D190-F190)</f>
        <v/>
      </c>
      <c r="H190" s="14" t="str">
        <f aca="false">IF($A190="","",SUMIFS(Transactions!$J:$J,Transactions!$O:$O,$A190,Transactions!$B:$B,"Sell call")+SUMIFS(Transactions!$J:$J,Transactions!$O:$O,$A190,Transactions!$B:$B,"Buy to close"))</f>
        <v/>
      </c>
      <c r="I190" s="26" t="str">
        <f aca="false">IF(OR($A190="",E190=""),"",E190-H190/D190)</f>
        <v/>
      </c>
      <c r="J190" s="26" t="str">
        <f aca="false">IF($A190="","",IFERROR(INDEX(Positions!$K:$K,MATCH(B190,Positions!$B:$B,0)),""))</f>
        <v/>
      </c>
      <c r="K190" s="23"/>
      <c r="L190" s="26" t="str">
        <f aca="false">IF($A190="","",IF(K190&lt;&gt;"",K190,J190))</f>
        <v/>
      </c>
      <c r="M190" s="14" t="str">
        <f aca="false">IF(OR($A190="",L190=""),"",L190*G190)</f>
        <v/>
      </c>
      <c r="N190" s="14" t="str">
        <f aca="false">IF(OR(M190="",E190=""),"",(L190-E190)*G190)</f>
        <v/>
      </c>
      <c r="O190" s="8" t="str">
        <f aca="false">IF($A190="","",IF(G190&lt;=0,"Sold",IF((-SUMIFS(Transactions!$E:$E,Transactions!$O:$O,$A190,Transactions!$B:$B,"Sell call")-SUMIFS(Transactions!$E:$E,Transactions!$O:$O,$A190,Transactions!$B:$B,"Buy to close")-SUMIFS(Transactions!$E:$E,Transactions!$O:$O,$A190,Transactions!$B:$B,"Expired")-SUMIFS(Transactions!$E:$E,Transactions!$O:$O,$A190,Transactions!$B:$B,"Assigned"))&gt;0,"Covered","Free")))</f>
        <v/>
      </c>
      <c r="P190" s="26" t="str">
        <f aca="false">IF(OR(I190="",G190&lt;=0),"",CEILING(MAX(I190,N(L190)),IF(E190&lt;50,0.5,IF(E190&lt;200,1,5))))</f>
        <v/>
      </c>
      <c r="Q190" s="8" t="str">
        <f aca="true">IF(OR(N190="",G190&lt;=0),"",IF(N190&gt;=0,"",IF(COUNTIFS($B:$B,B190,$C:$C,"&gt;="&amp;(TODAY()-30),$C:$C,"&lt;="&amp;TODAY(),$A:$A,"&lt;&gt;"&amp;$A190)&gt;0,"Loss sale now = wash sale","OK to harvest loss")))</f>
        <v/>
      </c>
      <c r="R190" s="14" t="str">
        <f aca="false">IF(OR($A190="",N(F190)&lt;=0),"",SUMIFS(Transactions!$J:$J,Transactions!$O:$O,$A190,Transactions!$B:$B,"Sell shares")-E190*F190)</f>
        <v/>
      </c>
      <c r="S190" s="10" t="str">
        <f aca="false">IF(OR($A190="",N(F190)&lt;=0),"",_xlfn.MAXIFS(Transactions!$A:$A,Transactions!$O:$O,$A190,Transactions!$B:$B,"Sell shares"))</f>
        <v/>
      </c>
      <c r="T190" s="14" t="str">
        <f aca="false">IF(OR($A190="",E190=""),"",E190*G190)</f>
        <v/>
      </c>
    </row>
    <row r="191" customFormat="false" ht="15" hidden="false" customHeight="false" outlineLevel="0" collapsed="false">
      <c r="A191" s="21"/>
      <c r="B191" s="8" t="str">
        <f aca="false">IF($A191="","",IFERROR(INDEX(Transactions!$C:$C,MATCH($A191,Transactions!$O:$O,0)),""))</f>
        <v/>
      </c>
      <c r="C191" s="10" t="str">
        <f aca="false">IF($A191="","",IF(COUNTIFS(Transactions!$O:$O,$A191,Transactions!$B:$B,"Buy shares")=0,"",_xlfn.MINIFS(Transactions!$A:$A,Transactions!$O:$O,$A191,Transactions!$B:$B,"Buy shares")))</f>
        <v/>
      </c>
      <c r="D191" s="18" t="str">
        <f aca="false">IF($A191="","",SUMIFS(Transactions!$E:$E,Transactions!$O:$O,$A191,Transactions!$B:$B,"Buy shares"))</f>
        <v/>
      </c>
      <c r="E191" s="26" t="str">
        <f aca="false">IF($A191="","",IF(D191=0,"",-SUMIFS(Transactions!$J:$J,Transactions!$O:$O,$A191,Transactions!$B:$B,"Buy shares")/D191))</f>
        <v/>
      </c>
      <c r="F191" s="18" t="str">
        <f aca="false">IF($A191="","",-SUMIFS(Transactions!$E:$E,Transactions!$O:$O,$A191,Transactions!$B:$B,"Sell shares"))</f>
        <v/>
      </c>
      <c r="G191" s="18" t="str">
        <f aca="false">IF($A191="","",D191-F191)</f>
        <v/>
      </c>
      <c r="H191" s="14" t="str">
        <f aca="false">IF($A191="","",SUMIFS(Transactions!$J:$J,Transactions!$O:$O,$A191,Transactions!$B:$B,"Sell call")+SUMIFS(Transactions!$J:$J,Transactions!$O:$O,$A191,Transactions!$B:$B,"Buy to close"))</f>
        <v/>
      </c>
      <c r="I191" s="26" t="str">
        <f aca="false">IF(OR($A191="",E191=""),"",E191-H191/D191)</f>
        <v/>
      </c>
      <c r="J191" s="26" t="str">
        <f aca="false">IF($A191="","",IFERROR(INDEX(Positions!$K:$K,MATCH(B191,Positions!$B:$B,0)),""))</f>
        <v/>
      </c>
      <c r="K191" s="23"/>
      <c r="L191" s="26" t="str">
        <f aca="false">IF($A191="","",IF(K191&lt;&gt;"",K191,J191))</f>
        <v/>
      </c>
      <c r="M191" s="14" t="str">
        <f aca="false">IF(OR($A191="",L191=""),"",L191*G191)</f>
        <v/>
      </c>
      <c r="N191" s="14" t="str">
        <f aca="false">IF(OR(M191="",E191=""),"",(L191-E191)*G191)</f>
        <v/>
      </c>
      <c r="O191" s="8" t="str">
        <f aca="false">IF($A191="","",IF(G191&lt;=0,"Sold",IF((-SUMIFS(Transactions!$E:$E,Transactions!$O:$O,$A191,Transactions!$B:$B,"Sell call")-SUMIFS(Transactions!$E:$E,Transactions!$O:$O,$A191,Transactions!$B:$B,"Buy to close")-SUMIFS(Transactions!$E:$E,Transactions!$O:$O,$A191,Transactions!$B:$B,"Expired")-SUMIFS(Transactions!$E:$E,Transactions!$O:$O,$A191,Transactions!$B:$B,"Assigned"))&gt;0,"Covered","Free")))</f>
        <v/>
      </c>
      <c r="P191" s="26" t="str">
        <f aca="false">IF(OR(I191="",G191&lt;=0),"",CEILING(MAX(I191,N(L191)),IF(E191&lt;50,0.5,IF(E191&lt;200,1,5))))</f>
        <v/>
      </c>
      <c r="Q191" s="8" t="str">
        <f aca="true">IF(OR(N191="",G191&lt;=0),"",IF(N191&gt;=0,"",IF(COUNTIFS($B:$B,B191,$C:$C,"&gt;="&amp;(TODAY()-30),$C:$C,"&lt;="&amp;TODAY(),$A:$A,"&lt;&gt;"&amp;$A191)&gt;0,"Loss sale now = wash sale","OK to harvest loss")))</f>
        <v/>
      </c>
      <c r="R191" s="14" t="str">
        <f aca="false">IF(OR($A191="",N(F191)&lt;=0),"",SUMIFS(Transactions!$J:$J,Transactions!$O:$O,$A191,Transactions!$B:$B,"Sell shares")-E191*F191)</f>
        <v/>
      </c>
      <c r="S191" s="10" t="str">
        <f aca="false">IF(OR($A191="",N(F191)&lt;=0),"",_xlfn.MAXIFS(Transactions!$A:$A,Transactions!$O:$O,$A191,Transactions!$B:$B,"Sell shares"))</f>
        <v/>
      </c>
      <c r="T191" s="14" t="str">
        <f aca="false">IF(OR($A191="",E191=""),"",E191*G191)</f>
        <v/>
      </c>
    </row>
    <row r="192" customFormat="false" ht="15" hidden="false" customHeight="false" outlineLevel="0" collapsed="false">
      <c r="A192" s="21"/>
      <c r="B192" s="8" t="str">
        <f aca="false">IF($A192="","",IFERROR(INDEX(Transactions!$C:$C,MATCH($A192,Transactions!$O:$O,0)),""))</f>
        <v/>
      </c>
      <c r="C192" s="10" t="str">
        <f aca="false">IF($A192="","",IF(COUNTIFS(Transactions!$O:$O,$A192,Transactions!$B:$B,"Buy shares")=0,"",_xlfn.MINIFS(Transactions!$A:$A,Transactions!$O:$O,$A192,Transactions!$B:$B,"Buy shares")))</f>
        <v/>
      </c>
      <c r="D192" s="18" t="str">
        <f aca="false">IF($A192="","",SUMIFS(Transactions!$E:$E,Transactions!$O:$O,$A192,Transactions!$B:$B,"Buy shares"))</f>
        <v/>
      </c>
      <c r="E192" s="26" t="str">
        <f aca="false">IF($A192="","",IF(D192=0,"",-SUMIFS(Transactions!$J:$J,Transactions!$O:$O,$A192,Transactions!$B:$B,"Buy shares")/D192))</f>
        <v/>
      </c>
      <c r="F192" s="18" t="str">
        <f aca="false">IF($A192="","",-SUMIFS(Transactions!$E:$E,Transactions!$O:$O,$A192,Transactions!$B:$B,"Sell shares"))</f>
        <v/>
      </c>
      <c r="G192" s="18" t="str">
        <f aca="false">IF($A192="","",D192-F192)</f>
        <v/>
      </c>
      <c r="H192" s="14" t="str">
        <f aca="false">IF($A192="","",SUMIFS(Transactions!$J:$J,Transactions!$O:$O,$A192,Transactions!$B:$B,"Sell call")+SUMIFS(Transactions!$J:$J,Transactions!$O:$O,$A192,Transactions!$B:$B,"Buy to close"))</f>
        <v/>
      </c>
      <c r="I192" s="26" t="str">
        <f aca="false">IF(OR($A192="",E192=""),"",E192-H192/D192)</f>
        <v/>
      </c>
      <c r="J192" s="26" t="str">
        <f aca="false">IF($A192="","",IFERROR(INDEX(Positions!$K:$K,MATCH(B192,Positions!$B:$B,0)),""))</f>
        <v/>
      </c>
      <c r="K192" s="23"/>
      <c r="L192" s="26" t="str">
        <f aca="false">IF($A192="","",IF(K192&lt;&gt;"",K192,J192))</f>
        <v/>
      </c>
      <c r="M192" s="14" t="str">
        <f aca="false">IF(OR($A192="",L192=""),"",L192*G192)</f>
        <v/>
      </c>
      <c r="N192" s="14" t="str">
        <f aca="false">IF(OR(M192="",E192=""),"",(L192-E192)*G192)</f>
        <v/>
      </c>
      <c r="O192" s="8" t="str">
        <f aca="false">IF($A192="","",IF(G192&lt;=0,"Sold",IF((-SUMIFS(Transactions!$E:$E,Transactions!$O:$O,$A192,Transactions!$B:$B,"Sell call")-SUMIFS(Transactions!$E:$E,Transactions!$O:$O,$A192,Transactions!$B:$B,"Buy to close")-SUMIFS(Transactions!$E:$E,Transactions!$O:$O,$A192,Transactions!$B:$B,"Expired")-SUMIFS(Transactions!$E:$E,Transactions!$O:$O,$A192,Transactions!$B:$B,"Assigned"))&gt;0,"Covered","Free")))</f>
        <v/>
      </c>
      <c r="P192" s="26" t="str">
        <f aca="false">IF(OR(I192="",G192&lt;=0),"",CEILING(MAX(I192,N(L192)),IF(E192&lt;50,0.5,IF(E192&lt;200,1,5))))</f>
        <v/>
      </c>
      <c r="Q192" s="8" t="str">
        <f aca="true">IF(OR(N192="",G192&lt;=0),"",IF(N192&gt;=0,"",IF(COUNTIFS($B:$B,B192,$C:$C,"&gt;="&amp;(TODAY()-30),$C:$C,"&lt;="&amp;TODAY(),$A:$A,"&lt;&gt;"&amp;$A192)&gt;0,"Loss sale now = wash sale","OK to harvest loss")))</f>
        <v/>
      </c>
      <c r="R192" s="14" t="str">
        <f aca="false">IF(OR($A192="",N(F192)&lt;=0),"",SUMIFS(Transactions!$J:$J,Transactions!$O:$O,$A192,Transactions!$B:$B,"Sell shares")-E192*F192)</f>
        <v/>
      </c>
      <c r="S192" s="10" t="str">
        <f aca="false">IF(OR($A192="",N(F192)&lt;=0),"",_xlfn.MAXIFS(Transactions!$A:$A,Transactions!$O:$O,$A192,Transactions!$B:$B,"Sell shares"))</f>
        <v/>
      </c>
      <c r="T192" s="14" t="str">
        <f aca="false">IF(OR($A192="",E192=""),"",E192*G192)</f>
        <v/>
      </c>
    </row>
    <row r="193" customFormat="false" ht="15" hidden="false" customHeight="false" outlineLevel="0" collapsed="false">
      <c r="A193" s="21"/>
      <c r="B193" s="8" t="str">
        <f aca="false">IF($A193="","",IFERROR(INDEX(Transactions!$C:$C,MATCH($A193,Transactions!$O:$O,0)),""))</f>
        <v/>
      </c>
      <c r="C193" s="10" t="str">
        <f aca="false">IF($A193="","",IF(COUNTIFS(Transactions!$O:$O,$A193,Transactions!$B:$B,"Buy shares")=0,"",_xlfn.MINIFS(Transactions!$A:$A,Transactions!$O:$O,$A193,Transactions!$B:$B,"Buy shares")))</f>
        <v/>
      </c>
      <c r="D193" s="18" t="str">
        <f aca="false">IF($A193="","",SUMIFS(Transactions!$E:$E,Transactions!$O:$O,$A193,Transactions!$B:$B,"Buy shares"))</f>
        <v/>
      </c>
      <c r="E193" s="26" t="str">
        <f aca="false">IF($A193="","",IF(D193=0,"",-SUMIFS(Transactions!$J:$J,Transactions!$O:$O,$A193,Transactions!$B:$B,"Buy shares")/D193))</f>
        <v/>
      </c>
      <c r="F193" s="18" t="str">
        <f aca="false">IF($A193="","",-SUMIFS(Transactions!$E:$E,Transactions!$O:$O,$A193,Transactions!$B:$B,"Sell shares"))</f>
        <v/>
      </c>
      <c r="G193" s="18" t="str">
        <f aca="false">IF($A193="","",D193-F193)</f>
        <v/>
      </c>
      <c r="H193" s="14" t="str">
        <f aca="false">IF($A193="","",SUMIFS(Transactions!$J:$J,Transactions!$O:$O,$A193,Transactions!$B:$B,"Sell call")+SUMIFS(Transactions!$J:$J,Transactions!$O:$O,$A193,Transactions!$B:$B,"Buy to close"))</f>
        <v/>
      </c>
      <c r="I193" s="26" t="str">
        <f aca="false">IF(OR($A193="",E193=""),"",E193-H193/D193)</f>
        <v/>
      </c>
      <c r="J193" s="26" t="str">
        <f aca="false">IF($A193="","",IFERROR(INDEX(Positions!$K:$K,MATCH(B193,Positions!$B:$B,0)),""))</f>
        <v/>
      </c>
      <c r="K193" s="23"/>
      <c r="L193" s="26" t="str">
        <f aca="false">IF($A193="","",IF(K193&lt;&gt;"",K193,J193))</f>
        <v/>
      </c>
      <c r="M193" s="14" t="str">
        <f aca="false">IF(OR($A193="",L193=""),"",L193*G193)</f>
        <v/>
      </c>
      <c r="N193" s="14" t="str">
        <f aca="false">IF(OR(M193="",E193=""),"",(L193-E193)*G193)</f>
        <v/>
      </c>
      <c r="O193" s="8" t="str">
        <f aca="false">IF($A193="","",IF(G193&lt;=0,"Sold",IF((-SUMIFS(Transactions!$E:$E,Transactions!$O:$O,$A193,Transactions!$B:$B,"Sell call")-SUMIFS(Transactions!$E:$E,Transactions!$O:$O,$A193,Transactions!$B:$B,"Buy to close")-SUMIFS(Transactions!$E:$E,Transactions!$O:$O,$A193,Transactions!$B:$B,"Expired")-SUMIFS(Transactions!$E:$E,Transactions!$O:$O,$A193,Transactions!$B:$B,"Assigned"))&gt;0,"Covered","Free")))</f>
        <v/>
      </c>
      <c r="P193" s="26" t="str">
        <f aca="false">IF(OR(I193="",G193&lt;=0),"",CEILING(MAX(I193,N(L193)),IF(E193&lt;50,0.5,IF(E193&lt;200,1,5))))</f>
        <v/>
      </c>
      <c r="Q193" s="8" t="str">
        <f aca="true">IF(OR(N193="",G193&lt;=0),"",IF(N193&gt;=0,"",IF(COUNTIFS($B:$B,B193,$C:$C,"&gt;="&amp;(TODAY()-30),$C:$C,"&lt;="&amp;TODAY(),$A:$A,"&lt;&gt;"&amp;$A193)&gt;0,"Loss sale now = wash sale","OK to harvest loss")))</f>
        <v/>
      </c>
      <c r="R193" s="14" t="str">
        <f aca="false">IF(OR($A193="",N(F193)&lt;=0),"",SUMIFS(Transactions!$J:$J,Transactions!$O:$O,$A193,Transactions!$B:$B,"Sell shares")-E193*F193)</f>
        <v/>
      </c>
      <c r="S193" s="10" t="str">
        <f aca="false">IF(OR($A193="",N(F193)&lt;=0),"",_xlfn.MAXIFS(Transactions!$A:$A,Transactions!$O:$O,$A193,Transactions!$B:$B,"Sell shares"))</f>
        <v/>
      </c>
      <c r="T193" s="14" t="str">
        <f aca="false">IF(OR($A193="",E193=""),"",E193*G193)</f>
        <v/>
      </c>
    </row>
    <row r="194" customFormat="false" ht="15" hidden="false" customHeight="false" outlineLevel="0" collapsed="false">
      <c r="A194" s="21"/>
      <c r="B194" s="8" t="str">
        <f aca="false">IF($A194="","",IFERROR(INDEX(Transactions!$C:$C,MATCH($A194,Transactions!$O:$O,0)),""))</f>
        <v/>
      </c>
      <c r="C194" s="10" t="str">
        <f aca="false">IF($A194="","",IF(COUNTIFS(Transactions!$O:$O,$A194,Transactions!$B:$B,"Buy shares")=0,"",_xlfn.MINIFS(Transactions!$A:$A,Transactions!$O:$O,$A194,Transactions!$B:$B,"Buy shares")))</f>
        <v/>
      </c>
      <c r="D194" s="18" t="str">
        <f aca="false">IF($A194="","",SUMIFS(Transactions!$E:$E,Transactions!$O:$O,$A194,Transactions!$B:$B,"Buy shares"))</f>
        <v/>
      </c>
      <c r="E194" s="26" t="str">
        <f aca="false">IF($A194="","",IF(D194=0,"",-SUMIFS(Transactions!$J:$J,Transactions!$O:$O,$A194,Transactions!$B:$B,"Buy shares")/D194))</f>
        <v/>
      </c>
      <c r="F194" s="18" t="str">
        <f aca="false">IF($A194="","",-SUMIFS(Transactions!$E:$E,Transactions!$O:$O,$A194,Transactions!$B:$B,"Sell shares"))</f>
        <v/>
      </c>
      <c r="G194" s="18" t="str">
        <f aca="false">IF($A194="","",D194-F194)</f>
        <v/>
      </c>
      <c r="H194" s="14" t="str">
        <f aca="false">IF($A194="","",SUMIFS(Transactions!$J:$J,Transactions!$O:$O,$A194,Transactions!$B:$B,"Sell call")+SUMIFS(Transactions!$J:$J,Transactions!$O:$O,$A194,Transactions!$B:$B,"Buy to close"))</f>
        <v/>
      </c>
      <c r="I194" s="26" t="str">
        <f aca="false">IF(OR($A194="",E194=""),"",E194-H194/D194)</f>
        <v/>
      </c>
      <c r="J194" s="26" t="str">
        <f aca="false">IF($A194="","",IFERROR(INDEX(Positions!$K:$K,MATCH(B194,Positions!$B:$B,0)),""))</f>
        <v/>
      </c>
      <c r="K194" s="23"/>
      <c r="L194" s="26" t="str">
        <f aca="false">IF($A194="","",IF(K194&lt;&gt;"",K194,J194))</f>
        <v/>
      </c>
      <c r="M194" s="14" t="str">
        <f aca="false">IF(OR($A194="",L194=""),"",L194*G194)</f>
        <v/>
      </c>
      <c r="N194" s="14" t="str">
        <f aca="false">IF(OR(M194="",E194=""),"",(L194-E194)*G194)</f>
        <v/>
      </c>
      <c r="O194" s="8" t="str">
        <f aca="false">IF($A194="","",IF(G194&lt;=0,"Sold",IF((-SUMIFS(Transactions!$E:$E,Transactions!$O:$O,$A194,Transactions!$B:$B,"Sell call")-SUMIFS(Transactions!$E:$E,Transactions!$O:$O,$A194,Transactions!$B:$B,"Buy to close")-SUMIFS(Transactions!$E:$E,Transactions!$O:$O,$A194,Transactions!$B:$B,"Expired")-SUMIFS(Transactions!$E:$E,Transactions!$O:$O,$A194,Transactions!$B:$B,"Assigned"))&gt;0,"Covered","Free")))</f>
        <v/>
      </c>
      <c r="P194" s="26" t="str">
        <f aca="false">IF(OR(I194="",G194&lt;=0),"",CEILING(MAX(I194,N(L194)),IF(E194&lt;50,0.5,IF(E194&lt;200,1,5))))</f>
        <v/>
      </c>
      <c r="Q194" s="8" t="str">
        <f aca="true">IF(OR(N194="",G194&lt;=0),"",IF(N194&gt;=0,"",IF(COUNTIFS($B:$B,B194,$C:$C,"&gt;="&amp;(TODAY()-30),$C:$C,"&lt;="&amp;TODAY(),$A:$A,"&lt;&gt;"&amp;$A194)&gt;0,"Loss sale now = wash sale","OK to harvest loss")))</f>
        <v/>
      </c>
      <c r="R194" s="14" t="str">
        <f aca="false">IF(OR($A194="",N(F194)&lt;=0),"",SUMIFS(Transactions!$J:$J,Transactions!$O:$O,$A194,Transactions!$B:$B,"Sell shares")-E194*F194)</f>
        <v/>
      </c>
      <c r="S194" s="10" t="str">
        <f aca="false">IF(OR($A194="",N(F194)&lt;=0),"",_xlfn.MAXIFS(Transactions!$A:$A,Transactions!$O:$O,$A194,Transactions!$B:$B,"Sell shares"))</f>
        <v/>
      </c>
      <c r="T194" s="14" t="str">
        <f aca="false">IF(OR($A194="",E194=""),"",E194*G194)</f>
        <v/>
      </c>
    </row>
    <row r="195" customFormat="false" ht="15" hidden="false" customHeight="false" outlineLevel="0" collapsed="false">
      <c r="A195" s="21"/>
      <c r="B195" s="8" t="str">
        <f aca="false">IF($A195="","",IFERROR(INDEX(Transactions!$C:$C,MATCH($A195,Transactions!$O:$O,0)),""))</f>
        <v/>
      </c>
      <c r="C195" s="10" t="str">
        <f aca="false">IF($A195="","",IF(COUNTIFS(Transactions!$O:$O,$A195,Transactions!$B:$B,"Buy shares")=0,"",_xlfn.MINIFS(Transactions!$A:$A,Transactions!$O:$O,$A195,Transactions!$B:$B,"Buy shares")))</f>
        <v/>
      </c>
      <c r="D195" s="18" t="str">
        <f aca="false">IF($A195="","",SUMIFS(Transactions!$E:$E,Transactions!$O:$O,$A195,Transactions!$B:$B,"Buy shares"))</f>
        <v/>
      </c>
      <c r="E195" s="26" t="str">
        <f aca="false">IF($A195="","",IF(D195=0,"",-SUMIFS(Transactions!$J:$J,Transactions!$O:$O,$A195,Transactions!$B:$B,"Buy shares")/D195))</f>
        <v/>
      </c>
      <c r="F195" s="18" t="str">
        <f aca="false">IF($A195="","",-SUMIFS(Transactions!$E:$E,Transactions!$O:$O,$A195,Transactions!$B:$B,"Sell shares"))</f>
        <v/>
      </c>
      <c r="G195" s="18" t="str">
        <f aca="false">IF($A195="","",D195-F195)</f>
        <v/>
      </c>
      <c r="H195" s="14" t="str">
        <f aca="false">IF($A195="","",SUMIFS(Transactions!$J:$J,Transactions!$O:$O,$A195,Transactions!$B:$B,"Sell call")+SUMIFS(Transactions!$J:$J,Transactions!$O:$O,$A195,Transactions!$B:$B,"Buy to close"))</f>
        <v/>
      </c>
      <c r="I195" s="26" t="str">
        <f aca="false">IF(OR($A195="",E195=""),"",E195-H195/D195)</f>
        <v/>
      </c>
      <c r="J195" s="26" t="str">
        <f aca="false">IF($A195="","",IFERROR(INDEX(Positions!$K:$K,MATCH(B195,Positions!$B:$B,0)),""))</f>
        <v/>
      </c>
      <c r="K195" s="23"/>
      <c r="L195" s="26" t="str">
        <f aca="false">IF($A195="","",IF(K195&lt;&gt;"",K195,J195))</f>
        <v/>
      </c>
      <c r="M195" s="14" t="str">
        <f aca="false">IF(OR($A195="",L195=""),"",L195*G195)</f>
        <v/>
      </c>
      <c r="N195" s="14" t="str">
        <f aca="false">IF(OR(M195="",E195=""),"",(L195-E195)*G195)</f>
        <v/>
      </c>
      <c r="O195" s="8" t="str">
        <f aca="false">IF($A195="","",IF(G195&lt;=0,"Sold",IF((-SUMIFS(Transactions!$E:$E,Transactions!$O:$O,$A195,Transactions!$B:$B,"Sell call")-SUMIFS(Transactions!$E:$E,Transactions!$O:$O,$A195,Transactions!$B:$B,"Buy to close")-SUMIFS(Transactions!$E:$E,Transactions!$O:$O,$A195,Transactions!$B:$B,"Expired")-SUMIFS(Transactions!$E:$E,Transactions!$O:$O,$A195,Transactions!$B:$B,"Assigned"))&gt;0,"Covered","Free")))</f>
        <v/>
      </c>
      <c r="P195" s="26" t="str">
        <f aca="false">IF(OR(I195="",G195&lt;=0),"",CEILING(MAX(I195,N(L195)),IF(E195&lt;50,0.5,IF(E195&lt;200,1,5))))</f>
        <v/>
      </c>
      <c r="Q195" s="8" t="str">
        <f aca="true">IF(OR(N195="",G195&lt;=0),"",IF(N195&gt;=0,"",IF(COUNTIFS($B:$B,B195,$C:$C,"&gt;="&amp;(TODAY()-30),$C:$C,"&lt;="&amp;TODAY(),$A:$A,"&lt;&gt;"&amp;$A195)&gt;0,"Loss sale now = wash sale","OK to harvest loss")))</f>
        <v/>
      </c>
      <c r="R195" s="14" t="str">
        <f aca="false">IF(OR($A195="",N(F195)&lt;=0),"",SUMIFS(Transactions!$J:$J,Transactions!$O:$O,$A195,Transactions!$B:$B,"Sell shares")-E195*F195)</f>
        <v/>
      </c>
      <c r="S195" s="10" t="str">
        <f aca="false">IF(OR($A195="",N(F195)&lt;=0),"",_xlfn.MAXIFS(Transactions!$A:$A,Transactions!$O:$O,$A195,Transactions!$B:$B,"Sell shares"))</f>
        <v/>
      </c>
      <c r="T195" s="14" t="str">
        <f aca="false">IF(OR($A195="",E195=""),"",E195*G195)</f>
        <v/>
      </c>
    </row>
    <row r="196" customFormat="false" ht="15" hidden="false" customHeight="false" outlineLevel="0" collapsed="false">
      <c r="A196" s="21"/>
      <c r="B196" s="8" t="str">
        <f aca="false">IF($A196="","",IFERROR(INDEX(Transactions!$C:$C,MATCH($A196,Transactions!$O:$O,0)),""))</f>
        <v/>
      </c>
      <c r="C196" s="10" t="str">
        <f aca="false">IF($A196="","",IF(COUNTIFS(Transactions!$O:$O,$A196,Transactions!$B:$B,"Buy shares")=0,"",_xlfn.MINIFS(Transactions!$A:$A,Transactions!$O:$O,$A196,Transactions!$B:$B,"Buy shares")))</f>
        <v/>
      </c>
      <c r="D196" s="18" t="str">
        <f aca="false">IF($A196="","",SUMIFS(Transactions!$E:$E,Transactions!$O:$O,$A196,Transactions!$B:$B,"Buy shares"))</f>
        <v/>
      </c>
      <c r="E196" s="26" t="str">
        <f aca="false">IF($A196="","",IF(D196=0,"",-SUMIFS(Transactions!$J:$J,Transactions!$O:$O,$A196,Transactions!$B:$B,"Buy shares")/D196))</f>
        <v/>
      </c>
      <c r="F196" s="18" t="str">
        <f aca="false">IF($A196="","",-SUMIFS(Transactions!$E:$E,Transactions!$O:$O,$A196,Transactions!$B:$B,"Sell shares"))</f>
        <v/>
      </c>
      <c r="G196" s="18" t="str">
        <f aca="false">IF($A196="","",D196-F196)</f>
        <v/>
      </c>
      <c r="H196" s="14" t="str">
        <f aca="false">IF($A196="","",SUMIFS(Transactions!$J:$J,Transactions!$O:$O,$A196,Transactions!$B:$B,"Sell call")+SUMIFS(Transactions!$J:$J,Transactions!$O:$O,$A196,Transactions!$B:$B,"Buy to close"))</f>
        <v/>
      </c>
      <c r="I196" s="26" t="str">
        <f aca="false">IF(OR($A196="",E196=""),"",E196-H196/D196)</f>
        <v/>
      </c>
      <c r="J196" s="26" t="str">
        <f aca="false">IF($A196="","",IFERROR(INDEX(Positions!$K:$K,MATCH(B196,Positions!$B:$B,0)),""))</f>
        <v/>
      </c>
      <c r="K196" s="23"/>
      <c r="L196" s="26" t="str">
        <f aca="false">IF($A196="","",IF(K196&lt;&gt;"",K196,J196))</f>
        <v/>
      </c>
      <c r="M196" s="14" t="str">
        <f aca="false">IF(OR($A196="",L196=""),"",L196*G196)</f>
        <v/>
      </c>
      <c r="N196" s="14" t="str">
        <f aca="false">IF(OR(M196="",E196=""),"",(L196-E196)*G196)</f>
        <v/>
      </c>
      <c r="O196" s="8" t="str">
        <f aca="false">IF($A196="","",IF(G196&lt;=0,"Sold",IF((-SUMIFS(Transactions!$E:$E,Transactions!$O:$O,$A196,Transactions!$B:$B,"Sell call")-SUMIFS(Transactions!$E:$E,Transactions!$O:$O,$A196,Transactions!$B:$B,"Buy to close")-SUMIFS(Transactions!$E:$E,Transactions!$O:$O,$A196,Transactions!$B:$B,"Expired")-SUMIFS(Transactions!$E:$E,Transactions!$O:$O,$A196,Transactions!$B:$B,"Assigned"))&gt;0,"Covered","Free")))</f>
        <v/>
      </c>
      <c r="P196" s="26" t="str">
        <f aca="false">IF(OR(I196="",G196&lt;=0),"",CEILING(MAX(I196,N(L196)),IF(E196&lt;50,0.5,IF(E196&lt;200,1,5))))</f>
        <v/>
      </c>
      <c r="Q196" s="8" t="str">
        <f aca="true">IF(OR(N196="",G196&lt;=0),"",IF(N196&gt;=0,"",IF(COUNTIFS($B:$B,B196,$C:$C,"&gt;="&amp;(TODAY()-30),$C:$C,"&lt;="&amp;TODAY(),$A:$A,"&lt;&gt;"&amp;$A196)&gt;0,"Loss sale now = wash sale","OK to harvest loss")))</f>
        <v/>
      </c>
      <c r="R196" s="14" t="str">
        <f aca="false">IF(OR($A196="",N(F196)&lt;=0),"",SUMIFS(Transactions!$J:$J,Transactions!$O:$O,$A196,Transactions!$B:$B,"Sell shares")-E196*F196)</f>
        <v/>
      </c>
      <c r="S196" s="10" t="str">
        <f aca="false">IF(OR($A196="",N(F196)&lt;=0),"",_xlfn.MAXIFS(Transactions!$A:$A,Transactions!$O:$O,$A196,Transactions!$B:$B,"Sell shares"))</f>
        <v/>
      </c>
      <c r="T196" s="14" t="str">
        <f aca="false">IF(OR($A196="",E196=""),"",E196*G196)</f>
        <v/>
      </c>
    </row>
    <row r="197" customFormat="false" ht="15" hidden="false" customHeight="false" outlineLevel="0" collapsed="false">
      <c r="A197" s="21"/>
      <c r="B197" s="8" t="str">
        <f aca="false">IF($A197="","",IFERROR(INDEX(Transactions!$C:$C,MATCH($A197,Transactions!$O:$O,0)),""))</f>
        <v/>
      </c>
      <c r="C197" s="10" t="str">
        <f aca="false">IF($A197="","",IF(COUNTIFS(Transactions!$O:$O,$A197,Transactions!$B:$B,"Buy shares")=0,"",_xlfn.MINIFS(Transactions!$A:$A,Transactions!$O:$O,$A197,Transactions!$B:$B,"Buy shares")))</f>
        <v/>
      </c>
      <c r="D197" s="18" t="str">
        <f aca="false">IF($A197="","",SUMIFS(Transactions!$E:$E,Transactions!$O:$O,$A197,Transactions!$B:$B,"Buy shares"))</f>
        <v/>
      </c>
      <c r="E197" s="26" t="str">
        <f aca="false">IF($A197="","",IF(D197=0,"",-SUMIFS(Transactions!$J:$J,Transactions!$O:$O,$A197,Transactions!$B:$B,"Buy shares")/D197))</f>
        <v/>
      </c>
      <c r="F197" s="18" t="str">
        <f aca="false">IF($A197="","",-SUMIFS(Transactions!$E:$E,Transactions!$O:$O,$A197,Transactions!$B:$B,"Sell shares"))</f>
        <v/>
      </c>
      <c r="G197" s="18" t="str">
        <f aca="false">IF($A197="","",D197-F197)</f>
        <v/>
      </c>
      <c r="H197" s="14" t="str">
        <f aca="false">IF($A197="","",SUMIFS(Transactions!$J:$J,Transactions!$O:$O,$A197,Transactions!$B:$B,"Sell call")+SUMIFS(Transactions!$J:$J,Transactions!$O:$O,$A197,Transactions!$B:$B,"Buy to close"))</f>
        <v/>
      </c>
      <c r="I197" s="26" t="str">
        <f aca="false">IF(OR($A197="",E197=""),"",E197-H197/D197)</f>
        <v/>
      </c>
      <c r="J197" s="26" t="str">
        <f aca="false">IF($A197="","",IFERROR(INDEX(Positions!$K:$K,MATCH(B197,Positions!$B:$B,0)),""))</f>
        <v/>
      </c>
      <c r="K197" s="23"/>
      <c r="L197" s="26" t="str">
        <f aca="false">IF($A197="","",IF(K197&lt;&gt;"",K197,J197))</f>
        <v/>
      </c>
      <c r="M197" s="14" t="str">
        <f aca="false">IF(OR($A197="",L197=""),"",L197*G197)</f>
        <v/>
      </c>
      <c r="N197" s="14" t="str">
        <f aca="false">IF(OR(M197="",E197=""),"",(L197-E197)*G197)</f>
        <v/>
      </c>
      <c r="O197" s="8" t="str">
        <f aca="false">IF($A197="","",IF(G197&lt;=0,"Sold",IF((-SUMIFS(Transactions!$E:$E,Transactions!$O:$O,$A197,Transactions!$B:$B,"Sell call")-SUMIFS(Transactions!$E:$E,Transactions!$O:$O,$A197,Transactions!$B:$B,"Buy to close")-SUMIFS(Transactions!$E:$E,Transactions!$O:$O,$A197,Transactions!$B:$B,"Expired")-SUMIFS(Transactions!$E:$E,Transactions!$O:$O,$A197,Transactions!$B:$B,"Assigned"))&gt;0,"Covered","Free")))</f>
        <v/>
      </c>
      <c r="P197" s="26" t="str">
        <f aca="false">IF(OR(I197="",G197&lt;=0),"",CEILING(MAX(I197,N(L197)),IF(E197&lt;50,0.5,IF(E197&lt;200,1,5))))</f>
        <v/>
      </c>
      <c r="Q197" s="8" t="str">
        <f aca="true">IF(OR(N197="",G197&lt;=0),"",IF(N197&gt;=0,"",IF(COUNTIFS($B:$B,B197,$C:$C,"&gt;="&amp;(TODAY()-30),$C:$C,"&lt;="&amp;TODAY(),$A:$A,"&lt;&gt;"&amp;$A197)&gt;0,"Loss sale now = wash sale","OK to harvest loss")))</f>
        <v/>
      </c>
      <c r="R197" s="14" t="str">
        <f aca="false">IF(OR($A197="",N(F197)&lt;=0),"",SUMIFS(Transactions!$J:$J,Transactions!$O:$O,$A197,Transactions!$B:$B,"Sell shares")-E197*F197)</f>
        <v/>
      </c>
      <c r="S197" s="10" t="str">
        <f aca="false">IF(OR($A197="",N(F197)&lt;=0),"",_xlfn.MAXIFS(Transactions!$A:$A,Transactions!$O:$O,$A197,Transactions!$B:$B,"Sell shares"))</f>
        <v/>
      </c>
      <c r="T197" s="14" t="str">
        <f aca="false">IF(OR($A197="",E197=""),"",E197*G197)</f>
        <v/>
      </c>
    </row>
    <row r="198" customFormat="false" ht="15" hidden="false" customHeight="false" outlineLevel="0" collapsed="false">
      <c r="A198" s="21"/>
      <c r="B198" s="8" t="str">
        <f aca="false">IF($A198="","",IFERROR(INDEX(Transactions!$C:$C,MATCH($A198,Transactions!$O:$O,0)),""))</f>
        <v/>
      </c>
      <c r="C198" s="10" t="str">
        <f aca="false">IF($A198="","",IF(COUNTIFS(Transactions!$O:$O,$A198,Transactions!$B:$B,"Buy shares")=0,"",_xlfn.MINIFS(Transactions!$A:$A,Transactions!$O:$O,$A198,Transactions!$B:$B,"Buy shares")))</f>
        <v/>
      </c>
      <c r="D198" s="18" t="str">
        <f aca="false">IF($A198="","",SUMIFS(Transactions!$E:$E,Transactions!$O:$O,$A198,Transactions!$B:$B,"Buy shares"))</f>
        <v/>
      </c>
      <c r="E198" s="26" t="str">
        <f aca="false">IF($A198="","",IF(D198=0,"",-SUMIFS(Transactions!$J:$J,Transactions!$O:$O,$A198,Transactions!$B:$B,"Buy shares")/D198))</f>
        <v/>
      </c>
      <c r="F198" s="18" t="str">
        <f aca="false">IF($A198="","",-SUMIFS(Transactions!$E:$E,Transactions!$O:$O,$A198,Transactions!$B:$B,"Sell shares"))</f>
        <v/>
      </c>
      <c r="G198" s="18" t="str">
        <f aca="false">IF($A198="","",D198-F198)</f>
        <v/>
      </c>
      <c r="H198" s="14" t="str">
        <f aca="false">IF($A198="","",SUMIFS(Transactions!$J:$J,Transactions!$O:$O,$A198,Transactions!$B:$B,"Sell call")+SUMIFS(Transactions!$J:$J,Transactions!$O:$O,$A198,Transactions!$B:$B,"Buy to close"))</f>
        <v/>
      </c>
      <c r="I198" s="26" t="str">
        <f aca="false">IF(OR($A198="",E198=""),"",E198-H198/D198)</f>
        <v/>
      </c>
      <c r="J198" s="26" t="str">
        <f aca="false">IF($A198="","",IFERROR(INDEX(Positions!$K:$K,MATCH(B198,Positions!$B:$B,0)),""))</f>
        <v/>
      </c>
      <c r="K198" s="23"/>
      <c r="L198" s="26" t="str">
        <f aca="false">IF($A198="","",IF(K198&lt;&gt;"",K198,J198))</f>
        <v/>
      </c>
      <c r="M198" s="14" t="str">
        <f aca="false">IF(OR($A198="",L198=""),"",L198*G198)</f>
        <v/>
      </c>
      <c r="N198" s="14" t="str">
        <f aca="false">IF(OR(M198="",E198=""),"",(L198-E198)*G198)</f>
        <v/>
      </c>
      <c r="O198" s="8" t="str">
        <f aca="false">IF($A198="","",IF(G198&lt;=0,"Sold",IF((-SUMIFS(Transactions!$E:$E,Transactions!$O:$O,$A198,Transactions!$B:$B,"Sell call")-SUMIFS(Transactions!$E:$E,Transactions!$O:$O,$A198,Transactions!$B:$B,"Buy to close")-SUMIFS(Transactions!$E:$E,Transactions!$O:$O,$A198,Transactions!$B:$B,"Expired")-SUMIFS(Transactions!$E:$E,Transactions!$O:$O,$A198,Transactions!$B:$B,"Assigned"))&gt;0,"Covered","Free")))</f>
        <v/>
      </c>
      <c r="P198" s="26" t="str">
        <f aca="false">IF(OR(I198="",G198&lt;=0),"",CEILING(MAX(I198,N(L198)),IF(E198&lt;50,0.5,IF(E198&lt;200,1,5))))</f>
        <v/>
      </c>
      <c r="Q198" s="8" t="str">
        <f aca="true">IF(OR(N198="",G198&lt;=0),"",IF(N198&gt;=0,"",IF(COUNTIFS($B:$B,B198,$C:$C,"&gt;="&amp;(TODAY()-30),$C:$C,"&lt;="&amp;TODAY(),$A:$A,"&lt;&gt;"&amp;$A198)&gt;0,"Loss sale now = wash sale","OK to harvest loss")))</f>
        <v/>
      </c>
      <c r="R198" s="14" t="str">
        <f aca="false">IF(OR($A198="",N(F198)&lt;=0),"",SUMIFS(Transactions!$J:$J,Transactions!$O:$O,$A198,Transactions!$B:$B,"Sell shares")-E198*F198)</f>
        <v/>
      </c>
      <c r="S198" s="10" t="str">
        <f aca="false">IF(OR($A198="",N(F198)&lt;=0),"",_xlfn.MAXIFS(Transactions!$A:$A,Transactions!$O:$O,$A198,Transactions!$B:$B,"Sell shares"))</f>
        <v/>
      </c>
      <c r="T198" s="14" t="str">
        <f aca="false">IF(OR($A198="",E198=""),"",E198*G198)</f>
        <v/>
      </c>
    </row>
    <row r="199" customFormat="false" ht="15" hidden="false" customHeight="false" outlineLevel="0" collapsed="false">
      <c r="A199" s="21"/>
      <c r="B199" s="8" t="str">
        <f aca="false">IF($A199="","",IFERROR(INDEX(Transactions!$C:$C,MATCH($A199,Transactions!$O:$O,0)),""))</f>
        <v/>
      </c>
      <c r="C199" s="10" t="str">
        <f aca="false">IF($A199="","",IF(COUNTIFS(Transactions!$O:$O,$A199,Transactions!$B:$B,"Buy shares")=0,"",_xlfn.MINIFS(Transactions!$A:$A,Transactions!$O:$O,$A199,Transactions!$B:$B,"Buy shares")))</f>
        <v/>
      </c>
      <c r="D199" s="18" t="str">
        <f aca="false">IF($A199="","",SUMIFS(Transactions!$E:$E,Transactions!$O:$O,$A199,Transactions!$B:$B,"Buy shares"))</f>
        <v/>
      </c>
      <c r="E199" s="26" t="str">
        <f aca="false">IF($A199="","",IF(D199=0,"",-SUMIFS(Transactions!$J:$J,Transactions!$O:$O,$A199,Transactions!$B:$B,"Buy shares")/D199))</f>
        <v/>
      </c>
      <c r="F199" s="18" t="str">
        <f aca="false">IF($A199="","",-SUMIFS(Transactions!$E:$E,Transactions!$O:$O,$A199,Transactions!$B:$B,"Sell shares"))</f>
        <v/>
      </c>
      <c r="G199" s="18" t="str">
        <f aca="false">IF($A199="","",D199-F199)</f>
        <v/>
      </c>
      <c r="H199" s="14" t="str">
        <f aca="false">IF($A199="","",SUMIFS(Transactions!$J:$J,Transactions!$O:$O,$A199,Transactions!$B:$B,"Sell call")+SUMIFS(Transactions!$J:$J,Transactions!$O:$O,$A199,Transactions!$B:$B,"Buy to close"))</f>
        <v/>
      </c>
      <c r="I199" s="26" t="str">
        <f aca="false">IF(OR($A199="",E199=""),"",E199-H199/D199)</f>
        <v/>
      </c>
      <c r="J199" s="26" t="str">
        <f aca="false">IF($A199="","",IFERROR(INDEX(Positions!$K:$K,MATCH(B199,Positions!$B:$B,0)),""))</f>
        <v/>
      </c>
      <c r="K199" s="23"/>
      <c r="L199" s="26" t="str">
        <f aca="false">IF($A199="","",IF(K199&lt;&gt;"",K199,J199))</f>
        <v/>
      </c>
      <c r="M199" s="14" t="str">
        <f aca="false">IF(OR($A199="",L199=""),"",L199*G199)</f>
        <v/>
      </c>
      <c r="N199" s="14" t="str">
        <f aca="false">IF(OR(M199="",E199=""),"",(L199-E199)*G199)</f>
        <v/>
      </c>
      <c r="O199" s="8" t="str">
        <f aca="false">IF($A199="","",IF(G199&lt;=0,"Sold",IF((-SUMIFS(Transactions!$E:$E,Transactions!$O:$O,$A199,Transactions!$B:$B,"Sell call")-SUMIFS(Transactions!$E:$E,Transactions!$O:$O,$A199,Transactions!$B:$B,"Buy to close")-SUMIFS(Transactions!$E:$E,Transactions!$O:$O,$A199,Transactions!$B:$B,"Expired")-SUMIFS(Transactions!$E:$E,Transactions!$O:$O,$A199,Transactions!$B:$B,"Assigned"))&gt;0,"Covered","Free")))</f>
        <v/>
      </c>
      <c r="P199" s="26" t="str">
        <f aca="false">IF(OR(I199="",G199&lt;=0),"",CEILING(MAX(I199,N(L199)),IF(E199&lt;50,0.5,IF(E199&lt;200,1,5))))</f>
        <v/>
      </c>
      <c r="Q199" s="8" t="str">
        <f aca="true">IF(OR(N199="",G199&lt;=0),"",IF(N199&gt;=0,"",IF(COUNTIFS($B:$B,B199,$C:$C,"&gt;="&amp;(TODAY()-30),$C:$C,"&lt;="&amp;TODAY(),$A:$A,"&lt;&gt;"&amp;$A199)&gt;0,"Loss sale now = wash sale","OK to harvest loss")))</f>
        <v/>
      </c>
      <c r="R199" s="14" t="str">
        <f aca="false">IF(OR($A199="",N(F199)&lt;=0),"",SUMIFS(Transactions!$J:$J,Transactions!$O:$O,$A199,Transactions!$B:$B,"Sell shares")-E199*F199)</f>
        <v/>
      </c>
      <c r="S199" s="10" t="str">
        <f aca="false">IF(OR($A199="",N(F199)&lt;=0),"",_xlfn.MAXIFS(Transactions!$A:$A,Transactions!$O:$O,$A199,Transactions!$B:$B,"Sell shares"))</f>
        <v/>
      </c>
      <c r="T199" s="14" t="str">
        <f aca="false">IF(OR($A199="",E199=""),"",E199*G199)</f>
        <v/>
      </c>
    </row>
    <row r="200" customFormat="false" ht="15" hidden="false" customHeight="false" outlineLevel="0" collapsed="false">
      <c r="A200" s="21"/>
      <c r="B200" s="8" t="str">
        <f aca="false">IF($A200="","",IFERROR(INDEX(Transactions!$C:$C,MATCH($A200,Transactions!$O:$O,0)),""))</f>
        <v/>
      </c>
      <c r="C200" s="10" t="str">
        <f aca="false">IF($A200="","",IF(COUNTIFS(Transactions!$O:$O,$A200,Transactions!$B:$B,"Buy shares")=0,"",_xlfn.MINIFS(Transactions!$A:$A,Transactions!$O:$O,$A200,Transactions!$B:$B,"Buy shares")))</f>
        <v/>
      </c>
      <c r="D200" s="18" t="str">
        <f aca="false">IF($A200="","",SUMIFS(Transactions!$E:$E,Transactions!$O:$O,$A200,Transactions!$B:$B,"Buy shares"))</f>
        <v/>
      </c>
      <c r="E200" s="26" t="str">
        <f aca="false">IF($A200="","",IF(D200=0,"",-SUMIFS(Transactions!$J:$J,Transactions!$O:$O,$A200,Transactions!$B:$B,"Buy shares")/D200))</f>
        <v/>
      </c>
      <c r="F200" s="18" t="str">
        <f aca="false">IF($A200="","",-SUMIFS(Transactions!$E:$E,Transactions!$O:$O,$A200,Transactions!$B:$B,"Sell shares"))</f>
        <v/>
      </c>
      <c r="G200" s="18" t="str">
        <f aca="false">IF($A200="","",D200-F200)</f>
        <v/>
      </c>
      <c r="H200" s="14" t="str">
        <f aca="false">IF($A200="","",SUMIFS(Transactions!$J:$J,Transactions!$O:$O,$A200,Transactions!$B:$B,"Sell call")+SUMIFS(Transactions!$J:$J,Transactions!$O:$O,$A200,Transactions!$B:$B,"Buy to close"))</f>
        <v/>
      </c>
      <c r="I200" s="26" t="str">
        <f aca="false">IF(OR($A200="",E200=""),"",E200-H200/D200)</f>
        <v/>
      </c>
      <c r="J200" s="26" t="str">
        <f aca="false">IF($A200="","",IFERROR(INDEX(Positions!$K:$K,MATCH(B200,Positions!$B:$B,0)),""))</f>
        <v/>
      </c>
      <c r="K200" s="23"/>
      <c r="L200" s="26" t="str">
        <f aca="false">IF($A200="","",IF(K200&lt;&gt;"",K200,J200))</f>
        <v/>
      </c>
      <c r="M200" s="14" t="str">
        <f aca="false">IF(OR($A200="",L200=""),"",L200*G200)</f>
        <v/>
      </c>
      <c r="N200" s="14" t="str">
        <f aca="false">IF(OR(M200="",E200=""),"",(L200-E200)*G200)</f>
        <v/>
      </c>
      <c r="O200" s="8" t="str">
        <f aca="false">IF($A200="","",IF(G200&lt;=0,"Sold",IF((-SUMIFS(Transactions!$E:$E,Transactions!$O:$O,$A200,Transactions!$B:$B,"Sell call")-SUMIFS(Transactions!$E:$E,Transactions!$O:$O,$A200,Transactions!$B:$B,"Buy to close")-SUMIFS(Transactions!$E:$E,Transactions!$O:$O,$A200,Transactions!$B:$B,"Expired")-SUMIFS(Transactions!$E:$E,Transactions!$O:$O,$A200,Transactions!$B:$B,"Assigned"))&gt;0,"Covered","Free")))</f>
        <v/>
      </c>
      <c r="P200" s="26" t="str">
        <f aca="false">IF(OR(I200="",G200&lt;=0),"",CEILING(MAX(I200,N(L200)),IF(E200&lt;50,0.5,IF(E200&lt;200,1,5))))</f>
        <v/>
      </c>
      <c r="Q200" s="8" t="str">
        <f aca="true">IF(OR(N200="",G200&lt;=0),"",IF(N200&gt;=0,"",IF(COUNTIFS($B:$B,B200,$C:$C,"&gt;="&amp;(TODAY()-30),$C:$C,"&lt;="&amp;TODAY(),$A:$A,"&lt;&gt;"&amp;$A200)&gt;0,"Loss sale now = wash sale","OK to harvest loss")))</f>
        <v/>
      </c>
      <c r="R200" s="14" t="str">
        <f aca="false">IF(OR($A200="",N(F200)&lt;=0),"",SUMIFS(Transactions!$J:$J,Transactions!$O:$O,$A200,Transactions!$B:$B,"Sell shares")-E200*F200)</f>
        <v/>
      </c>
      <c r="S200" s="10" t="str">
        <f aca="false">IF(OR($A200="",N(F200)&lt;=0),"",_xlfn.MAXIFS(Transactions!$A:$A,Transactions!$O:$O,$A200,Transactions!$B:$B,"Sell shares"))</f>
        <v/>
      </c>
      <c r="T200" s="14" t="str">
        <f aca="false">IF(OR($A200="",E200=""),"",E200*G200)</f>
        <v/>
      </c>
    </row>
  </sheetData>
  <conditionalFormatting sqref="O2:O200">
    <cfRule type="expression" priority="2" aboveAverage="0" equalAverage="0" bottom="0" percent="0" rank="0" text="" dxfId="0">
      <formula>$O2="Covered"</formula>
    </cfRule>
    <cfRule type="expression" priority="3" aboveAverage="0" equalAverage="0" bottom="0" percent="0" rank="0" text="" dxfId="1">
      <formula>$O2="Free"</formula>
    </cfRule>
    <cfRule type="expression" priority="4" aboveAverage="0" equalAverage="0" bottom="0" percent="0" rank="0" text="" dxfId="2">
      <formula>$O2="Sold"</formula>
    </cfRule>
  </conditionalFormatting>
  <conditionalFormatting sqref="Q2:Q200">
    <cfRule type="expression" priority="5" aboveAverage="0" equalAverage="0" bottom="0" percent="0" rank="0" text="" dxfId="3">
      <formula>$Q2="Loss sale now = wash sale"</formula>
    </cfRule>
  </conditionalFormatting>
  <conditionalFormatting sqref="N2:N200">
    <cfRule type="expression" priority="6" aboveAverage="0" equalAverage="0" bottom="0" percent="0" rank="0" text="" dxfId="4">
      <formula>AND(ISNUMBER($N2),$N2&lt;0)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2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8"/>
    <col collapsed="false" customWidth="true" hidden="false" outlineLevel="0" max="3" min="3" style="0" width="9"/>
    <col collapsed="false" customWidth="true" hidden="false" outlineLevel="0" max="4" min="4" style="0" width="10"/>
    <col collapsed="false" customWidth="true" hidden="false" outlineLevel="0" max="5" min="5" style="0" width="8"/>
    <col collapsed="false" customWidth="true" hidden="false" outlineLevel="0" max="6" min="6" style="0" width="11"/>
    <col collapsed="false" customWidth="true" hidden="false" outlineLevel="0" max="7" min="7" style="0" width="9"/>
    <col collapsed="false" customWidth="true" hidden="false" outlineLevel="0" max="9" min="8" style="0" width="12"/>
    <col collapsed="false" customWidth="true" hidden="false" outlineLevel="0" max="11" min="10" style="0" width="11"/>
    <col collapsed="false" customWidth="true" hidden="false" outlineLevel="0" max="14" min="12" style="0" width="10"/>
    <col collapsed="false" customWidth="true" hidden="false" outlineLevel="0" max="15" min="15" style="0" width="16"/>
    <col collapsed="false" customWidth="true" hidden="false" outlineLevel="0" max="16" min="16" style="0" width="11"/>
    <col collapsed="false" customWidth="true" hidden="false" outlineLevel="0" max="17" min="17" style="0" width="13"/>
    <col collapsed="false" customWidth="true" hidden="false" outlineLevel="0" max="19" min="18" style="0" width="12"/>
    <col collapsed="false" customWidth="true" hidden="false" outlineLevel="0" max="20" min="20" style="0" width="9"/>
    <col collapsed="false" customWidth="true" hidden="false" outlineLevel="0" max="21" min="21" style="0" width="11"/>
    <col collapsed="false" customWidth="true" hidden="false" outlineLevel="0" max="22" min="22" style="0" width="12"/>
    <col collapsed="false" customWidth="true" hidden="false" outlineLevel="0" max="23" min="23" style="0" width="14"/>
  </cols>
  <sheetData>
    <row r="1" customFormat="false" ht="30" hidden="false" customHeight="true" outlineLevel="0" collapsed="false">
      <c r="A1" s="25" t="s">
        <v>91</v>
      </c>
      <c r="B1" s="25" t="s">
        <v>90</v>
      </c>
      <c r="C1" s="25" t="s">
        <v>123</v>
      </c>
      <c r="D1" s="25" t="s">
        <v>129</v>
      </c>
      <c r="E1" s="25" t="s">
        <v>93</v>
      </c>
      <c r="F1" s="25" t="s">
        <v>94</v>
      </c>
      <c r="G1" s="25" t="s">
        <v>130</v>
      </c>
      <c r="H1" s="25" t="s">
        <v>131</v>
      </c>
      <c r="I1" s="25" t="s">
        <v>66</v>
      </c>
      <c r="J1" s="25" t="s">
        <v>132</v>
      </c>
      <c r="K1" s="25" t="s">
        <v>133</v>
      </c>
      <c r="L1" s="25" t="s">
        <v>134</v>
      </c>
      <c r="M1" s="25" t="s">
        <v>135</v>
      </c>
      <c r="N1" s="25" t="s">
        <v>136</v>
      </c>
      <c r="O1" s="25" t="s">
        <v>137</v>
      </c>
      <c r="P1" s="25" t="s">
        <v>138</v>
      </c>
      <c r="Q1" s="25" t="s">
        <v>68</v>
      </c>
      <c r="R1" s="25" t="s">
        <v>139</v>
      </c>
      <c r="S1" s="25" t="s">
        <v>140</v>
      </c>
      <c r="T1" s="25" t="s">
        <v>141</v>
      </c>
      <c r="U1" s="25" t="s">
        <v>142</v>
      </c>
      <c r="V1" s="25" t="s">
        <v>143</v>
      </c>
      <c r="W1" s="25" t="s">
        <v>102</v>
      </c>
    </row>
    <row r="2" customFormat="false" ht="15" hidden="false" customHeight="false" outlineLevel="0" collapsed="false">
      <c r="A2" s="21" t="s">
        <v>105</v>
      </c>
      <c r="B2" s="8" t="str">
        <f aca="false">IF($A2="","",IFERROR(INDEX(Transactions!$C:$C,MATCH($A2,Transactions!$D:$D,0)),""))</f>
        <v>PFE</v>
      </c>
      <c r="C2" s="8" t="str">
        <f aca="false">IF($A2="","",IF(D2&gt;0,"Open","Closed"))</f>
        <v>Open</v>
      </c>
      <c r="D2" s="8" t="n">
        <f aca="false">IF($A2="","",-SUMIFS(Transactions!$E:$E,Transactions!$D:$D,$A2,Transactions!$B:$B,"Sell call")-SUMIFS(Transactions!$E:$E,Transactions!$D:$D,$A2,Transactions!$B:$B,"Buy to close")-SUMIFS(Transactions!$E:$E,Transactions!$D:$D,$A2,Transactions!$B:$B,"Expired")-SUMIFS(Transactions!$E:$E,Transactions!$D:$D,$A2,Transactions!$B:$B,"Assigned"))</f>
        <v>1</v>
      </c>
      <c r="E2" s="27" t="n">
        <f aca="false">IF($A2="","",IFERROR(SUMIFS(Transactions!$F:$F,Transactions!$D:$D,$A2,Transactions!$B:$B,"Sell call")/COUNTIFS(Transactions!$D:$D,$A2,Transactions!$B:$B,"Sell call"),""))</f>
        <v>28</v>
      </c>
      <c r="F2" s="10" t="n">
        <f aca="false">IF($A2="","",IFERROR(SUMIFS(Transactions!$G:$G,Transactions!$D:$D,$A2,Transactions!$B:$B,"Sell call")/COUNTIFS(Transactions!$D:$D,$A2,Transactions!$B:$B,"Sell call"),""))</f>
        <v>46311</v>
      </c>
      <c r="G2" s="8" t="n">
        <f aca="false">IF($A2="","",-SUMIFS(Transactions!$E:$E,Transactions!$D:$D,$A2,Transactions!$B:$B,"Sell call")*100+SUMIFS(Transactions!$E:$E,Transactions!$D:$D,$A2,Transactions!$B:$B,"Sell shares"))</f>
        <v>100</v>
      </c>
      <c r="H2" s="14" t="n">
        <f aca="false">IF($A2="","",IF(SUMIFS(Transactions!$J:$J,Transactions!$D:$D,$A2,Transactions!$B:$B,"Buy shares")&lt;&gt;0,-SUMIFS(Transactions!$J:$J,Transactions!$D:$D,$A2,Transactions!$B:$B,"Buy shares"),IFERROR(INDEX(Lots!$E:$E,MATCH($W2,Lots!$A:$A,0))*-SUMIFS(Transactions!$E:$E,Transactions!$D:$D,$A2,Transactions!$B:$B,"Sell call")*100,0)))</f>
        <v>2780</v>
      </c>
      <c r="I2" s="14" t="n">
        <f aca="false">IF($A2="","",SUMIFS(Transactions!$J:$J,Transactions!$D:$D,$A2,Transactions!$B:$B,"Sell call"))</f>
        <v>55</v>
      </c>
      <c r="J2" s="14" t="n">
        <f aca="false">IF($A2="","",-SUMIFS(Transactions!$J:$J,Transactions!$D:$D,$A2,Transactions!$B:$B,"Buy to close"))</f>
        <v>-0</v>
      </c>
      <c r="K2" s="23" t="n">
        <v>27.775</v>
      </c>
      <c r="L2" s="23" t="n">
        <v>0.57</v>
      </c>
      <c r="M2" s="23" t="n">
        <v>0.1</v>
      </c>
      <c r="N2" s="21" t="s">
        <v>144</v>
      </c>
      <c r="O2" s="28" t="s">
        <v>145</v>
      </c>
      <c r="P2" s="14" t="n">
        <f aca="false">IF(OR(C2&lt;&gt;"Open",L2=""),"",L2*100*D2)</f>
        <v>57</v>
      </c>
      <c r="Q2" s="14" t="n">
        <f aca="false">IF(OR(C2&lt;&gt;"Open",P2=""),"",I2-J2-P2)</f>
        <v>-1.99999999999999</v>
      </c>
      <c r="R2" s="14" t="n">
        <f aca="false">IF(OR(C2&lt;&gt;"Open",K2=""),"",K2*G2)</f>
        <v>2777.5</v>
      </c>
      <c r="S2" s="14" t="n">
        <f aca="false">IF(OR(R2="",Q2=""),"",R2-H2+Q2)</f>
        <v>-4.49999999999999</v>
      </c>
      <c r="T2" s="13" t="n">
        <f aca="false">IF(OR(R2="",Q2="",N(H2)=0),"",(R2+Q2)/H2)</f>
        <v>0.998381294964029</v>
      </c>
      <c r="U2" s="10" t="str">
        <f aca="false">IF(C2&lt;&gt;"Closed","",_xlfn.MAXIFS(Transactions!$A:$A,Transactions!$D:$D,$A2))</f>
        <v/>
      </c>
      <c r="V2" s="14" t="str">
        <f aca="false">IF(C2&lt;&gt;"Closed","",I2-J2)</f>
        <v/>
      </c>
      <c r="W2" s="8" t="str">
        <f aca="false">IF($A2="","",IFERROR(INDEX(Transactions!$O:$O,MATCH($A2,Transactions!$D:$D,0)),""))</f>
        <v>pfe-a</v>
      </c>
    </row>
    <row r="3" customFormat="false" ht="15" hidden="false" customHeight="false" outlineLevel="0" collapsed="false">
      <c r="A3" s="21"/>
      <c r="B3" s="8" t="str">
        <f aca="false">IF($A3="","",IFERROR(INDEX(Transactions!$C:$C,MATCH($A3,Transactions!$D:$D,0)),""))</f>
        <v/>
      </c>
      <c r="C3" s="8" t="str">
        <f aca="false">IF($A3="","",IF(D3&gt;0,"Open","Closed"))</f>
        <v/>
      </c>
      <c r="D3" s="8" t="str">
        <f aca="false">IF($A3="","",-SUMIFS(Transactions!$E:$E,Transactions!$D:$D,$A3,Transactions!$B:$B,"Sell call")-SUMIFS(Transactions!$E:$E,Transactions!$D:$D,$A3,Transactions!$B:$B,"Buy to close")-SUMIFS(Transactions!$E:$E,Transactions!$D:$D,$A3,Transactions!$B:$B,"Expired")-SUMIFS(Transactions!$E:$E,Transactions!$D:$D,$A3,Transactions!$B:$B,"Assigned"))</f>
        <v/>
      </c>
      <c r="E3" s="27" t="str">
        <f aca="false">IF($A3="","",IFERROR(SUMIFS(Transactions!$F:$F,Transactions!$D:$D,$A3,Transactions!$B:$B,"Sell call")/COUNTIFS(Transactions!$D:$D,$A3,Transactions!$B:$B,"Sell call"),""))</f>
        <v/>
      </c>
      <c r="F3" s="10" t="str">
        <f aca="false">IF($A3="","",IFERROR(SUMIFS(Transactions!$G:$G,Transactions!$D:$D,$A3,Transactions!$B:$B,"Sell call")/COUNTIFS(Transactions!$D:$D,$A3,Transactions!$B:$B,"Sell call"),""))</f>
        <v/>
      </c>
      <c r="G3" s="8" t="str">
        <f aca="false">IF($A3="","",-SUMIFS(Transactions!$E:$E,Transactions!$D:$D,$A3,Transactions!$B:$B,"Sell call")*100+SUMIFS(Transactions!$E:$E,Transactions!$D:$D,$A3,Transactions!$B:$B,"Sell shares"))</f>
        <v/>
      </c>
      <c r="H3" s="14" t="str">
        <f aca="false">IF($A3="","",IF(SUMIFS(Transactions!$J:$J,Transactions!$D:$D,$A3,Transactions!$B:$B,"Buy shares")&lt;&gt;0,-SUMIFS(Transactions!$J:$J,Transactions!$D:$D,$A3,Transactions!$B:$B,"Buy shares"),IFERROR(INDEX(Lots!$E:$E,MATCH($W3,Lots!$A:$A,0))*-SUMIFS(Transactions!$E:$E,Transactions!$D:$D,$A3,Transactions!$B:$B,"Sell call")*100,0)))</f>
        <v/>
      </c>
      <c r="I3" s="14" t="str">
        <f aca="false">IF($A3="","",SUMIFS(Transactions!$J:$J,Transactions!$D:$D,$A3,Transactions!$B:$B,"Sell call"))</f>
        <v/>
      </c>
      <c r="J3" s="14" t="str">
        <f aca="false">IF($A3="","",-SUMIFS(Transactions!$J:$J,Transactions!$D:$D,$A3,Transactions!$B:$B,"Buy to close"))</f>
        <v/>
      </c>
      <c r="K3" s="23"/>
      <c r="L3" s="23"/>
      <c r="M3" s="23"/>
      <c r="N3" s="21"/>
      <c r="O3" s="28"/>
      <c r="P3" s="14" t="str">
        <f aca="false">IF(OR(C3&lt;&gt;"Open",L3=""),"",L3*100*D3)</f>
        <v/>
      </c>
      <c r="Q3" s="14" t="str">
        <f aca="false">IF(OR(C3&lt;&gt;"Open",P3=""),"",I3-J3-P3)</f>
        <v/>
      </c>
      <c r="R3" s="14" t="str">
        <f aca="false">IF(OR(C3&lt;&gt;"Open",K3=""),"",K3*G3)</f>
        <v/>
      </c>
      <c r="S3" s="14" t="str">
        <f aca="false">IF(OR(R3="",Q3=""),"",R3-H3+Q3)</f>
        <v/>
      </c>
      <c r="T3" s="13" t="str">
        <f aca="false">IF(OR(R3="",Q3="",N(H3)=0),"",(R3+Q3)/H3)</f>
        <v/>
      </c>
      <c r="U3" s="10" t="str">
        <f aca="false">IF(C3&lt;&gt;"Closed","",_xlfn.MAXIFS(Transactions!$A:$A,Transactions!$D:$D,$A3))</f>
        <v/>
      </c>
      <c r="V3" s="14" t="str">
        <f aca="false">IF(C3&lt;&gt;"Closed","",I3-J3)</f>
        <v/>
      </c>
      <c r="W3" s="8" t="str">
        <f aca="false">IF($A3="","",IFERROR(INDEX(Transactions!$O:$O,MATCH($A3,Transactions!$D:$D,0)),""))</f>
        <v/>
      </c>
    </row>
    <row r="4" customFormat="false" ht="15" hidden="false" customHeight="false" outlineLevel="0" collapsed="false">
      <c r="A4" s="21"/>
      <c r="B4" s="8" t="str">
        <f aca="false">IF($A4="","",IFERROR(INDEX(Transactions!$C:$C,MATCH($A4,Transactions!$D:$D,0)),""))</f>
        <v/>
      </c>
      <c r="C4" s="8" t="str">
        <f aca="false">IF($A4="","",IF(D4&gt;0,"Open","Closed"))</f>
        <v/>
      </c>
      <c r="D4" s="8" t="str">
        <f aca="false">IF($A4="","",-SUMIFS(Transactions!$E:$E,Transactions!$D:$D,$A4,Transactions!$B:$B,"Sell call")-SUMIFS(Transactions!$E:$E,Transactions!$D:$D,$A4,Transactions!$B:$B,"Buy to close")-SUMIFS(Transactions!$E:$E,Transactions!$D:$D,$A4,Transactions!$B:$B,"Expired")-SUMIFS(Transactions!$E:$E,Transactions!$D:$D,$A4,Transactions!$B:$B,"Assigned"))</f>
        <v/>
      </c>
      <c r="E4" s="27" t="str">
        <f aca="false">IF($A4="","",IFERROR(SUMIFS(Transactions!$F:$F,Transactions!$D:$D,$A4,Transactions!$B:$B,"Sell call")/COUNTIFS(Transactions!$D:$D,$A4,Transactions!$B:$B,"Sell call"),""))</f>
        <v/>
      </c>
      <c r="F4" s="10" t="str">
        <f aca="false">IF($A4="","",IFERROR(SUMIFS(Transactions!$G:$G,Transactions!$D:$D,$A4,Transactions!$B:$B,"Sell call")/COUNTIFS(Transactions!$D:$D,$A4,Transactions!$B:$B,"Sell call"),""))</f>
        <v/>
      </c>
      <c r="G4" s="8" t="str">
        <f aca="false">IF($A4="","",-SUMIFS(Transactions!$E:$E,Transactions!$D:$D,$A4,Transactions!$B:$B,"Sell call")*100+SUMIFS(Transactions!$E:$E,Transactions!$D:$D,$A4,Transactions!$B:$B,"Sell shares"))</f>
        <v/>
      </c>
      <c r="H4" s="14" t="str">
        <f aca="false">IF($A4="","",IF(SUMIFS(Transactions!$J:$J,Transactions!$D:$D,$A4,Transactions!$B:$B,"Buy shares")&lt;&gt;0,-SUMIFS(Transactions!$J:$J,Transactions!$D:$D,$A4,Transactions!$B:$B,"Buy shares"),IFERROR(INDEX(Lots!$E:$E,MATCH($W4,Lots!$A:$A,0))*-SUMIFS(Transactions!$E:$E,Transactions!$D:$D,$A4,Transactions!$B:$B,"Sell call")*100,0)))</f>
        <v/>
      </c>
      <c r="I4" s="14" t="str">
        <f aca="false">IF($A4="","",SUMIFS(Transactions!$J:$J,Transactions!$D:$D,$A4,Transactions!$B:$B,"Sell call"))</f>
        <v/>
      </c>
      <c r="J4" s="14" t="str">
        <f aca="false">IF($A4="","",-SUMIFS(Transactions!$J:$J,Transactions!$D:$D,$A4,Transactions!$B:$B,"Buy to close"))</f>
        <v/>
      </c>
      <c r="K4" s="23"/>
      <c r="L4" s="23"/>
      <c r="M4" s="23"/>
      <c r="N4" s="21"/>
      <c r="O4" s="28"/>
      <c r="P4" s="14" t="str">
        <f aca="false">IF(OR(C4&lt;&gt;"Open",L4=""),"",L4*100*D4)</f>
        <v/>
      </c>
      <c r="Q4" s="14" t="str">
        <f aca="false">IF(OR(C4&lt;&gt;"Open",P4=""),"",I4-J4-P4)</f>
        <v/>
      </c>
      <c r="R4" s="14" t="str">
        <f aca="false">IF(OR(C4&lt;&gt;"Open",K4=""),"",K4*G4)</f>
        <v/>
      </c>
      <c r="S4" s="14" t="str">
        <f aca="false">IF(OR(R4="",Q4=""),"",R4-H4+Q4)</f>
        <v/>
      </c>
      <c r="T4" s="13" t="str">
        <f aca="false">IF(OR(R4="",Q4="",N(H4)=0),"",(R4+Q4)/H4)</f>
        <v/>
      </c>
      <c r="U4" s="10" t="str">
        <f aca="false">IF(C4&lt;&gt;"Closed","",_xlfn.MAXIFS(Transactions!$A:$A,Transactions!$D:$D,$A4))</f>
        <v/>
      </c>
      <c r="V4" s="14" t="str">
        <f aca="false">IF(C4&lt;&gt;"Closed","",I4-J4)</f>
        <v/>
      </c>
      <c r="W4" s="8" t="str">
        <f aca="false">IF($A4="","",IFERROR(INDEX(Transactions!$O:$O,MATCH($A4,Transactions!$D:$D,0)),""))</f>
        <v/>
      </c>
    </row>
    <row r="5" customFormat="false" ht="15" hidden="false" customHeight="false" outlineLevel="0" collapsed="false">
      <c r="A5" s="21"/>
      <c r="B5" s="8" t="str">
        <f aca="false">IF($A5="","",IFERROR(INDEX(Transactions!$C:$C,MATCH($A5,Transactions!$D:$D,0)),""))</f>
        <v/>
      </c>
      <c r="C5" s="8" t="str">
        <f aca="false">IF($A5="","",IF(D5&gt;0,"Open","Closed"))</f>
        <v/>
      </c>
      <c r="D5" s="8" t="str">
        <f aca="false">IF($A5="","",-SUMIFS(Transactions!$E:$E,Transactions!$D:$D,$A5,Transactions!$B:$B,"Sell call")-SUMIFS(Transactions!$E:$E,Transactions!$D:$D,$A5,Transactions!$B:$B,"Buy to close")-SUMIFS(Transactions!$E:$E,Transactions!$D:$D,$A5,Transactions!$B:$B,"Expired")-SUMIFS(Transactions!$E:$E,Transactions!$D:$D,$A5,Transactions!$B:$B,"Assigned"))</f>
        <v/>
      </c>
      <c r="E5" s="27" t="str">
        <f aca="false">IF($A5="","",IFERROR(SUMIFS(Transactions!$F:$F,Transactions!$D:$D,$A5,Transactions!$B:$B,"Sell call")/COUNTIFS(Transactions!$D:$D,$A5,Transactions!$B:$B,"Sell call"),""))</f>
        <v/>
      </c>
      <c r="F5" s="10" t="str">
        <f aca="false">IF($A5="","",IFERROR(SUMIFS(Transactions!$G:$G,Transactions!$D:$D,$A5,Transactions!$B:$B,"Sell call")/COUNTIFS(Transactions!$D:$D,$A5,Transactions!$B:$B,"Sell call"),""))</f>
        <v/>
      </c>
      <c r="G5" s="8" t="str">
        <f aca="false">IF($A5="","",-SUMIFS(Transactions!$E:$E,Transactions!$D:$D,$A5,Transactions!$B:$B,"Sell call")*100+SUMIFS(Transactions!$E:$E,Transactions!$D:$D,$A5,Transactions!$B:$B,"Sell shares"))</f>
        <v/>
      </c>
      <c r="H5" s="14" t="str">
        <f aca="false">IF($A5="","",IF(SUMIFS(Transactions!$J:$J,Transactions!$D:$D,$A5,Transactions!$B:$B,"Buy shares")&lt;&gt;0,-SUMIFS(Transactions!$J:$J,Transactions!$D:$D,$A5,Transactions!$B:$B,"Buy shares"),IFERROR(INDEX(Lots!$E:$E,MATCH($W5,Lots!$A:$A,0))*-SUMIFS(Transactions!$E:$E,Transactions!$D:$D,$A5,Transactions!$B:$B,"Sell call")*100,0)))</f>
        <v/>
      </c>
      <c r="I5" s="14" t="str">
        <f aca="false">IF($A5="","",SUMIFS(Transactions!$J:$J,Transactions!$D:$D,$A5,Transactions!$B:$B,"Sell call"))</f>
        <v/>
      </c>
      <c r="J5" s="14" t="str">
        <f aca="false">IF($A5="","",-SUMIFS(Transactions!$J:$J,Transactions!$D:$D,$A5,Transactions!$B:$B,"Buy to close"))</f>
        <v/>
      </c>
      <c r="K5" s="23"/>
      <c r="L5" s="23"/>
      <c r="M5" s="23"/>
      <c r="N5" s="21"/>
      <c r="O5" s="28"/>
      <c r="P5" s="14" t="str">
        <f aca="false">IF(OR(C5&lt;&gt;"Open",L5=""),"",L5*100*D5)</f>
        <v/>
      </c>
      <c r="Q5" s="14" t="str">
        <f aca="false">IF(OR(C5&lt;&gt;"Open",P5=""),"",I5-J5-P5)</f>
        <v/>
      </c>
      <c r="R5" s="14" t="str">
        <f aca="false">IF(OR(C5&lt;&gt;"Open",K5=""),"",K5*G5)</f>
        <v/>
      </c>
      <c r="S5" s="14" t="str">
        <f aca="false">IF(OR(R5="",Q5=""),"",R5-H5+Q5)</f>
        <v/>
      </c>
      <c r="T5" s="13" t="str">
        <f aca="false">IF(OR(R5="",Q5="",N(H5)=0),"",(R5+Q5)/H5)</f>
        <v/>
      </c>
      <c r="U5" s="10" t="str">
        <f aca="false">IF(C5&lt;&gt;"Closed","",_xlfn.MAXIFS(Transactions!$A:$A,Transactions!$D:$D,$A5))</f>
        <v/>
      </c>
      <c r="V5" s="14" t="str">
        <f aca="false">IF(C5&lt;&gt;"Closed","",I5-J5)</f>
        <v/>
      </c>
      <c r="W5" s="8" t="str">
        <f aca="false">IF($A5="","",IFERROR(INDEX(Transactions!$O:$O,MATCH($A5,Transactions!$D:$D,0)),""))</f>
        <v/>
      </c>
    </row>
    <row r="6" customFormat="false" ht="15" hidden="false" customHeight="false" outlineLevel="0" collapsed="false">
      <c r="A6" s="21"/>
      <c r="B6" s="8" t="str">
        <f aca="false">IF($A6="","",IFERROR(INDEX(Transactions!$C:$C,MATCH($A6,Transactions!$D:$D,0)),""))</f>
        <v/>
      </c>
      <c r="C6" s="8" t="str">
        <f aca="false">IF($A6="","",IF(D6&gt;0,"Open","Closed"))</f>
        <v/>
      </c>
      <c r="D6" s="8" t="str">
        <f aca="false">IF($A6="","",-SUMIFS(Transactions!$E:$E,Transactions!$D:$D,$A6,Transactions!$B:$B,"Sell call")-SUMIFS(Transactions!$E:$E,Transactions!$D:$D,$A6,Transactions!$B:$B,"Buy to close")-SUMIFS(Transactions!$E:$E,Transactions!$D:$D,$A6,Transactions!$B:$B,"Expired")-SUMIFS(Transactions!$E:$E,Transactions!$D:$D,$A6,Transactions!$B:$B,"Assigned"))</f>
        <v/>
      </c>
      <c r="E6" s="27" t="str">
        <f aca="false">IF($A6="","",IFERROR(SUMIFS(Transactions!$F:$F,Transactions!$D:$D,$A6,Transactions!$B:$B,"Sell call")/COUNTIFS(Transactions!$D:$D,$A6,Transactions!$B:$B,"Sell call"),""))</f>
        <v/>
      </c>
      <c r="F6" s="10" t="str">
        <f aca="false">IF($A6="","",IFERROR(SUMIFS(Transactions!$G:$G,Transactions!$D:$D,$A6,Transactions!$B:$B,"Sell call")/COUNTIFS(Transactions!$D:$D,$A6,Transactions!$B:$B,"Sell call"),""))</f>
        <v/>
      </c>
      <c r="G6" s="8" t="str">
        <f aca="false">IF($A6="","",-SUMIFS(Transactions!$E:$E,Transactions!$D:$D,$A6,Transactions!$B:$B,"Sell call")*100+SUMIFS(Transactions!$E:$E,Transactions!$D:$D,$A6,Transactions!$B:$B,"Sell shares"))</f>
        <v/>
      </c>
      <c r="H6" s="14" t="str">
        <f aca="false">IF($A6="","",IF(SUMIFS(Transactions!$J:$J,Transactions!$D:$D,$A6,Transactions!$B:$B,"Buy shares")&lt;&gt;0,-SUMIFS(Transactions!$J:$J,Transactions!$D:$D,$A6,Transactions!$B:$B,"Buy shares"),IFERROR(INDEX(Lots!$E:$E,MATCH($W6,Lots!$A:$A,0))*-SUMIFS(Transactions!$E:$E,Transactions!$D:$D,$A6,Transactions!$B:$B,"Sell call")*100,0)))</f>
        <v/>
      </c>
      <c r="I6" s="14" t="str">
        <f aca="false">IF($A6="","",SUMIFS(Transactions!$J:$J,Transactions!$D:$D,$A6,Transactions!$B:$B,"Sell call"))</f>
        <v/>
      </c>
      <c r="J6" s="14" t="str">
        <f aca="false">IF($A6="","",-SUMIFS(Transactions!$J:$J,Transactions!$D:$D,$A6,Transactions!$B:$B,"Buy to close"))</f>
        <v/>
      </c>
      <c r="K6" s="23"/>
      <c r="L6" s="23"/>
      <c r="M6" s="23"/>
      <c r="N6" s="21"/>
      <c r="O6" s="28"/>
      <c r="P6" s="14" t="str">
        <f aca="false">IF(OR(C6&lt;&gt;"Open",L6=""),"",L6*100*D6)</f>
        <v/>
      </c>
      <c r="Q6" s="14" t="str">
        <f aca="false">IF(OR(C6&lt;&gt;"Open",P6=""),"",I6-J6-P6)</f>
        <v/>
      </c>
      <c r="R6" s="14" t="str">
        <f aca="false">IF(OR(C6&lt;&gt;"Open",K6=""),"",K6*G6)</f>
        <v/>
      </c>
      <c r="S6" s="14" t="str">
        <f aca="false">IF(OR(R6="",Q6=""),"",R6-H6+Q6)</f>
        <v/>
      </c>
      <c r="T6" s="13" t="str">
        <f aca="false">IF(OR(R6="",Q6="",N(H6)=0),"",(R6+Q6)/H6)</f>
        <v/>
      </c>
      <c r="U6" s="10" t="str">
        <f aca="false">IF(C6&lt;&gt;"Closed","",_xlfn.MAXIFS(Transactions!$A:$A,Transactions!$D:$D,$A6))</f>
        <v/>
      </c>
      <c r="V6" s="14" t="str">
        <f aca="false">IF(C6&lt;&gt;"Closed","",I6-J6)</f>
        <v/>
      </c>
      <c r="W6" s="8" t="str">
        <f aca="false">IF($A6="","",IFERROR(INDEX(Transactions!$O:$O,MATCH($A6,Transactions!$D:$D,0)),""))</f>
        <v/>
      </c>
    </row>
    <row r="7" customFormat="false" ht="15" hidden="false" customHeight="false" outlineLevel="0" collapsed="false">
      <c r="A7" s="21"/>
      <c r="B7" s="8" t="str">
        <f aca="false">IF($A7="","",IFERROR(INDEX(Transactions!$C:$C,MATCH($A7,Transactions!$D:$D,0)),""))</f>
        <v/>
      </c>
      <c r="C7" s="8" t="str">
        <f aca="false">IF($A7="","",IF(D7&gt;0,"Open","Closed"))</f>
        <v/>
      </c>
      <c r="D7" s="8" t="str">
        <f aca="false">IF($A7="","",-SUMIFS(Transactions!$E:$E,Transactions!$D:$D,$A7,Transactions!$B:$B,"Sell call")-SUMIFS(Transactions!$E:$E,Transactions!$D:$D,$A7,Transactions!$B:$B,"Buy to close")-SUMIFS(Transactions!$E:$E,Transactions!$D:$D,$A7,Transactions!$B:$B,"Expired")-SUMIFS(Transactions!$E:$E,Transactions!$D:$D,$A7,Transactions!$B:$B,"Assigned"))</f>
        <v/>
      </c>
      <c r="E7" s="27" t="str">
        <f aca="false">IF($A7="","",IFERROR(SUMIFS(Transactions!$F:$F,Transactions!$D:$D,$A7,Transactions!$B:$B,"Sell call")/COUNTIFS(Transactions!$D:$D,$A7,Transactions!$B:$B,"Sell call"),""))</f>
        <v/>
      </c>
      <c r="F7" s="10" t="str">
        <f aca="false">IF($A7="","",IFERROR(SUMIFS(Transactions!$G:$G,Transactions!$D:$D,$A7,Transactions!$B:$B,"Sell call")/COUNTIFS(Transactions!$D:$D,$A7,Transactions!$B:$B,"Sell call"),""))</f>
        <v/>
      </c>
      <c r="G7" s="8" t="str">
        <f aca="false">IF($A7="","",-SUMIFS(Transactions!$E:$E,Transactions!$D:$D,$A7,Transactions!$B:$B,"Sell call")*100+SUMIFS(Transactions!$E:$E,Transactions!$D:$D,$A7,Transactions!$B:$B,"Sell shares"))</f>
        <v/>
      </c>
      <c r="H7" s="14" t="str">
        <f aca="false">IF($A7="","",IF(SUMIFS(Transactions!$J:$J,Transactions!$D:$D,$A7,Transactions!$B:$B,"Buy shares")&lt;&gt;0,-SUMIFS(Transactions!$J:$J,Transactions!$D:$D,$A7,Transactions!$B:$B,"Buy shares"),IFERROR(INDEX(Lots!$E:$E,MATCH($W7,Lots!$A:$A,0))*-SUMIFS(Transactions!$E:$E,Transactions!$D:$D,$A7,Transactions!$B:$B,"Sell call")*100,0)))</f>
        <v/>
      </c>
      <c r="I7" s="14" t="str">
        <f aca="false">IF($A7="","",SUMIFS(Transactions!$J:$J,Transactions!$D:$D,$A7,Transactions!$B:$B,"Sell call"))</f>
        <v/>
      </c>
      <c r="J7" s="14" t="str">
        <f aca="false">IF($A7="","",-SUMIFS(Transactions!$J:$J,Transactions!$D:$D,$A7,Transactions!$B:$B,"Buy to close"))</f>
        <v/>
      </c>
      <c r="K7" s="23"/>
      <c r="L7" s="23"/>
      <c r="M7" s="23"/>
      <c r="N7" s="21"/>
      <c r="O7" s="28"/>
      <c r="P7" s="14" t="str">
        <f aca="false">IF(OR(C7&lt;&gt;"Open",L7=""),"",L7*100*D7)</f>
        <v/>
      </c>
      <c r="Q7" s="14" t="str">
        <f aca="false">IF(OR(C7&lt;&gt;"Open",P7=""),"",I7-J7-P7)</f>
        <v/>
      </c>
      <c r="R7" s="14" t="str">
        <f aca="false">IF(OR(C7&lt;&gt;"Open",K7=""),"",K7*G7)</f>
        <v/>
      </c>
      <c r="S7" s="14" t="str">
        <f aca="false">IF(OR(R7="",Q7=""),"",R7-H7+Q7)</f>
        <v/>
      </c>
      <c r="T7" s="13" t="str">
        <f aca="false">IF(OR(R7="",Q7="",N(H7)=0),"",(R7+Q7)/H7)</f>
        <v/>
      </c>
      <c r="U7" s="10" t="str">
        <f aca="false">IF(C7&lt;&gt;"Closed","",_xlfn.MAXIFS(Transactions!$A:$A,Transactions!$D:$D,$A7))</f>
        <v/>
      </c>
      <c r="V7" s="14" t="str">
        <f aca="false">IF(C7&lt;&gt;"Closed","",I7-J7)</f>
        <v/>
      </c>
      <c r="W7" s="8" t="str">
        <f aca="false">IF($A7="","",IFERROR(INDEX(Transactions!$O:$O,MATCH($A7,Transactions!$D:$D,0)),""))</f>
        <v/>
      </c>
    </row>
    <row r="8" customFormat="false" ht="15" hidden="false" customHeight="false" outlineLevel="0" collapsed="false">
      <c r="A8" s="21"/>
      <c r="B8" s="8" t="str">
        <f aca="false">IF($A8="","",IFERROR(INDEX(Transactions!$C:$C,MATCH($A8,Transactions!$D:$D,0)),""))</f>
        <v/>
      </c>
      <c r="C8" s="8" t="str">
        <f aca="false">IF($A8="","",IF(D8&gt;0,"Open","Closed"))</f>
        <v/>
      </c>
      <c r="D8" s="8" t="str">
        <f aca="false">IF($A8="","",-SUMIFS(Transactions!$E:$E,Transactions!$D:$D,$A8,Transactions!$B:$B,"Sell call")-SUMIFS(Transactions!$E:$E,Transactions!$D:$D,$A8,Transactions!$B:$B,"Buy to close")-SUMIFS(Transactions!$E:$E,Transactions!$D:$D,$A8,Transactions!$B:$B,"Expired")-SUMIFS(Transactions!$E:$E,Transactions!$D:$D,$A8,Transactions!$B:$B,"Assigned"))</f>
        <v/>
      </c>
      <c r="E8" s="27" t="str">
        <f aca="false">IF($A8="","",IFERROR(SUMIFS(Transactions!$F:$F,Transactions!$D:$D,$A8,Transactions!$B:$B,"Sell call")/COUNTIFS(Transactions!$D:$D,$A8,Transactions!$B:$B,"Sell call"),""))</f>
        <v/>
      </c>
      <c r="F8" s="10" t="str">
        <f aca="false">IF($A8="","",IFERROR(SUMIFS(Transactions!$G:$G,Transactions!$D:$D,$A8,Transactions!$B:$B,"Sell call")/COUNTIFS(Transactions!$D:$D,$A8,Transactions!$B:$B,"Sell call"),""))</f>
        <v/>
      </c>
      <c r="G8" s="8" t="str">
        <f aca="false">IF($A8="","",-SUMIFS(Transactions!$E:$E,Transactions!$D:$D,$A8,Transactions!$B:$B,"Sell call")*100+SUMIFS(Transactions!$E:$E,Transactions!$D:$D,$A8,Transactions!$B:$B,"Sell shares"))</f>
        <v/>
      </c>
      <c r="H8" s="14" t="str">
        <f aca="false">IF($A8="","",IF(SUMIFS(Transactions!$J:$J,Transactions!$D:$D,$A8,Transactions!$B:$B,"Buy shares")&lt;&gt;0,-SUMIFS(Transactions!$J:$J,Transactions!$D:$D,$A8,Transactions!$B:$B,"Buy shares"),IFERROR(INDEX(Lots!$E:$E,MATCH($W8,Lots!$A:$A,0))*-SUMIFS(Transactions!$E:$E,Transactions!$D:$D,$A8,Transactions!$B:$B,"Sell call")*100,0)))</f>
        <v/>
      </c>
      <c r="I8" s="14" t="str">
        <f aca="false">IF($A8="","",SUMIFS(Transactions!$J:$J,Transactions!$D:$D,$A8,Transactions!$B:$B,"Sell call"))</f>
        <v/>
      </c>
      <c r="J8" s="14" t="str">
        <f aca="false">IF($A8="","",-SUMIFS(Transactions!$J:$J,Transactions!$D:$D,$A8,Transactions!$B:$B,"Buy to close"))</f>
        <v/>
      </c>
      <c r="K8" s="23"/>
      <c r="L8" s="23"/>
      <c r="M8" s="23"/>
      <c r="N8" s="21"/>
      <c r="O8" s="28"/>
      <c r="P8" s="14" t="str">
        <f aca="false">IF(OR(C8&lt;&gt;"Open",L8=""),"",L8*100*D8)</f>
        <v/>
      </c>
      <c r="Q8" s="14" t="str">
        <f aca="false">IF(OR(C8&lt;&gt;"Open",P8=""),"",I8-J8-P8)</f>
        <v/>
      </c>
      <c r="R8" s="14" t="str">
        <f aca="false">IF(OR(C8&lt;&gt;"Open",K8=""),"",K8*G8)</f>
        <v/>
      </c>
      <c r="S8" s="14" t="str">
        <f aca="false">IF(OR(R8="",Q8=""),"",R8-H8+Q8)</f>
        <v/>
      </c>
      <c r="T8" s="13" t="str">
        <f aca="false">IF(OR(R8="",Q8="",N(H8)=0),"",(R8+Q8)/H8)</f>
        <v/>
      </c>
      <c r="U8" s="10" t="str">
        <f aca="false">IF(C8&lt;&gt;"Closed","",_xlfn.MAXIFS(Transactions!$A:$A,Transactions!$D:$D,$A8))</f>
        <v/>
      </c>
      <c r="V8" s="14" t="str">
        <f aca="false">IF(C8&lt;&gt;"Closed","",I8-J8)</f>
        <v/>
      </c>
      <c r="W8" s="8" t="str">
        <f aca="false">IF($A8="","",IFERROR(INDEX(Transactions!$O:$O,MATCH($A8,Transactions!$D:$D,0)),""))</f>
        <v/>
      </c>
    </row>
    <row r="9" customFormat="false" ht="15" hidden="false" customHeight="false" outlineLevel="0" collapsed="false">
      <c r="A9" s="21"/>
      <c r="B9" s="8" t="str">
        <f aca="false">IF($A9="","",IFERROR(INDEX(Transactions!$C:$C,MATCH($A9,Transactions!$D:$D,0)),""))</f>
        <v/>
      </c>
      <c r="C9" s="8" t="str">
        <f aca="false">IF($A9="","",IF(D9&gt;0,"Open","Closed"))</f>
        <v/>
      </c>
      <c r="D9" s="8" t="str">
        <f aca="false">IF($A9="","",-SUMIFS(Transactions!$E:$E,Transactions!$D:$D,$A9,Transactions!$B:$B,"Sell call")-SUMIFS(Transactions!$E:$E,Transactions!$D:$D,$A9,Transactions!$B:$B,"Buy to close")-SUMIFS(Transactions!$E:$E,Transactions!$D:$D,$A9,Transactions!$B:$B,"Expired")-SUMIFS(Transactions!$E:$E,Transactions!$D:$D,$A9,Transactions!$B:$B,"Assigned"))</f>
        <v/>
      </c>
      <c r="E9" s="27" t="str">
        <f aca="false">IF($A9="","",IFERROR(SUMIFS(Transactions!$F:$F,Transactions!$D:$D,$A9,Transactions!$B:$B,"Sell call")/COUNTIFS(Transactions!$D:$D,$A9,Transactions!$B:$B,"Sell call"),""))</f>
        <v/>
      </c>
      <c r="F9" s="10" t="str">
        <f aca="false">IF($A9="","",IFERROR(SUMIFS(Transactions!$G:$G,Transactions!$D:$D,$A9,Transactions!$B:$B,"Sell call")/COUNTIFS(Transactions!$D:$D,$A9,Transactions!$B:$B,"Sell call"),""))</f>
        <v/>
      </c>
      <c r="G9" s="8" t="str">
        <f aca="false">IF($A9="","",-SUMIFS(Transactions!$E:$E,Transactions!$D:$D,$A9,Transactions!$B:$B,"Sell call")*100+SUMIFS(Transactions!$E:$E,Transactions!$D:$D,$A9,Transactions!$B:$B,"Sell shares"))</f>
        <v/>
      </c>
      <c r="H9" s="14" t="str">
        <f aca="false">IF($A9="","",IF(SUMIFS(Transactions!$J:$J,Transactions!$D:$D,$A9,Transactions!$B:$B,"Buy shares")&lt;&gt;0,-SUMIFS(Transactions!$J:$J,Transactions!$D:$D,$A9,Transactions!$B:$B,"Buy shares"),IFERROR(INDEX(Lots!$E:$E,MATCH($W9,Lots!$A:$A,0))*-SUMIFS(Transactions!$E:$E,Transactions!$D:$D,$A9,Transactions!$B:$B,"Sell call")*100,0)))</f>
        <v/>
      </c>
      <c r="I9" s="14" t="str">
        <f aca="false">IF($A9="","",SUMIFS(Transactions!$J:$J,Transactions!$D:$D,$A9,Transactions!$B:$B,"Sell call"))</f>
        <v/>
      </c>
      <c r="J9" s="14" t="str">
        <f aca="false">IF($A9="","",-SUMIFS(Transactions!$J:$J,Transactions!$D:$D,$A9,Transactions!$B:$B,"Buy to close"))</f>
        <v/>
      </c>
      <c r="K9" s="23"/>
      <c r="L9" s="23"/>
      <c r="M9" s="23"/>
      <c r="N9" s="21"/>
      <c r="O9" s="28"/>
      <c r="P9" s="14" t="str">
        <f aca="false">IF(OR(C9&lt;&gt;"Open",L9=""),"",L9*100*D9)</f>
        <v/>
      </c>
      <c r="Q9" s="14" t="str">
        <f aca="false">IF(OR(C9&lt;&gt;"Open",P9=""),"",I9-J9-P9)</f>
        <v/>
      </c>
      <c r="R9" s="14" t="str">
        <f aca="false">IF(OR(C9&lt;&gt;"Open",K9=""),"",K9*G9)</f>
        <v/>
      </c>
      <c r="S9" s="14" t="str">
        <f aca="false">IF(OR(R9="",Q9=""),"",R9-H9+Q9)</f>
        <v/>
      </c>
      <c r="T9" s="13" t="str">
        <f aca="false">IF(OR(R9="",Q9="",N(H9)=0),"",(R9+Q9)/H9)</f>
        <v/>
      </c>
      <c r="U9" s="10" t="str">
        <f aca="false">IF(C9&lt;&gt;"Closed","",_xlfn.MAXIFS(Transactions!$A:$A,Transactions!$D:$D,$A9))</f>
        <v/>
      </c>
      <c r="V9" s="14" t="str">
        <f aca="false">IF(C9&lt;&gt;"Closed","",I9-J9)</f>
        <v/>
      </c>
      <c r="W9" s="8" t="str">
        <f aca="false">IF($A9="","",IFERROR(INDEX(Transactions!$O:$O,MATCH($A9,Transactions!$D:$D,0)),""))</f>
        <v/>
      </c>
    </row>
    <row r="10" customFormat="false" ht="15" hidden="false" customHeight="false" outlineLevel="0" collapsed="false">
      <c r="A10" s="21"/>
      <c r="B10" s="8" t="str">
        <f aca="false">IF($A10="","",IFERROR(INDEX(Transactions!$C:$C,MATCH($A10,Transactions!$D:$D,0)),""))</f>
        <v/>
      </c>
      <c r="C10" s="8" t="str">
        <f aca="false">IF($A10="","",IF(D10&gt;0,"Open","Closed"))</f>
        <v/>
      </c>
      <c r="D10" s="8" t="str">
        <f aca="false">IF($A10="","",-SUMIFS(Transactions!$E:$E,Transactions!$D:$D,$A10,Transactions!$B:$B,"Sell call")-SUMIFS(Transactions!$E:$E,Transactions!$D:$D,$A10,Transactions!$B:$B,"Buy to close")-SUMIFS(Transactions!$E:$E,Transactions!$D:$D,$A10,Transactions!$B:$B,"Expired")-SUMIFS(Transactions!$E:$E,Transactions!$D:$D,$A10,Transactions!$B:$B,"Assigned"))</f>
        <v/>
      </c>
      <c r="E10" s="27" t="str">
        <f aca="false">IF($A10="","",IFERROR(SUMIFS(Transactions!$F:$F,Transactions!$D:$D,$A10,Transactions!$B:$B,"Sell call")/COUNTIFS(Transactions!$D:$D,$A10,Transactions!$B:$B,"Sell call"),""))</f>
        <v/>
      </c>
      <c r="F10" s="10" t="str">
        <f aca="false">IF($A10="","",IFERROR(SUMIFS(Transactions!$G:$G,Transactions!$D:$D,$A10,Transactions!$B:$B,"Sell call")/COUNTIFS(Transactions!$D:$D,$A10,Transactions!$B:$B,"Sell call"),""))</f>
        <v/>
      </c>
      <c r="G10" s="8" t="str">
        <f aca="false">IF($A10="","",-SUMIFS(Transactions!$E:$E,Transactions!$D:$D,$A10,Transactions!$B:$B,"Sell call")*100+SUMIFS(Transactions!$E:$E,Transactions!$D:$D,$A10,Transactions!$B:$B,"Sell shares"))</f>
        <v/>
      </c>
      <c r="H10" s="14" t="str">
        <f aca="false">IF($A10="","",IF(SUMIFS(Transactions!$J:$J,Transactions!$D:$D,$A10,Transactions!$B:$B,"Buy shares")&lt;&gt;0,-SUMIFS(Transactions!$J:$J,Transactions!$D:$D,$A10,Transactions!$B:$B,"Buy shares"),IFERROR(INDEX(Lots!$E:$E,MATCH($W10,Lots!$A:$A,0))*-SUMIFS(Transactions!$E:$E,Transactions!$D:$D,$A10,Transactions!$B:$B,"Sell call")*100,0)))</f>
        <v/>
      </c>
      <c r="I10" s="14" t="str">
        <f aca="false">IF($A10="","",SUMIFS(Transactions!$J:$J,Transactions!$D:$D,$A10,Transactions!$B:$B,"Sell call"))</f>
        <v/>
      </c>
      <c r="J10" s="14" t="str">
        <f aca="false">IF($A10="","",-SUMIFS(Transactions!$J:$J,Transactions!$D:$D,$A10,Transactions!$B:$B,"Buy to close"))</f>
        <v/>
      </c>
      <c r="K10" s="23"/>
      <c r="L10" s="23"/>
      <c r="M10" s="23"/>
      <c r="N10" s="21"/>
      <c r="O10" s="28"/>
      <c r="P10" s="14" t="str">
        <f aca="false">IF(OR(C10&lt;&gt;"Open",L10=""),"",L10*100*D10)</f>
        <v/>
      </c>
      <c r="Q10" s="14" t="str">
        <f aca="false">IF(OR(C10&lt;&gt;"Open",P10=""),"",I10-J10-P10)</f>
        <v/>
      </c>
      <c r="R10" s="14" t="str">
        <f aca="false">IF(OR(C10&lt;&gt;"Open",K10=""),"",K10*G10)</f>
        <v/>
      </c>
      <c r="S10" s="14" t="str">
        <f aca="false">IF(OR(R10="",Q10=""),"",R10-H10+Q10)</f>
        <v/>
      </c>
      <c r="T10" s="13" t="str">
        <f aca="false">IF(OR(R10="",Q10="",N(H10)=0),"",(R10+Q10)/H10)</f>
        <v/>
      </c>
      <c r="U10" s="10" t="str">
        <f aca="false">IF(C10&lt;&gt;"Closed","",_xlfn.MAXIFS(Transactions!$A:$A,Transactions!$D:$D,$A10))</f>
        <v/>
      </c>
      <c r="V10" s="14" t="str">
        <f aca="false">IF(C10&lt;&gt;"Closed","",I10-J10)</f>
        <v/>
      </c>
      <c r="W10" s="8" t="str">
        <f aca="false">IF($A10="","",IFERROR(INDEX(Transactions!$O:$O,MATCH($A10,Transactions!$D:$D,0)),""))</f>
        <v/>
      </c>
    </row>
    <row r="11" customFormat="false" ht="15" hidden="false" customHeight="false" outlineLevel="0" collapsed="false">
      <c r="A11" s="21"/>
      <c r="B11" s="8" t="str">
        <f aca="false">IF($A11="","",IFERROR(INDEX(Transactions!$C:$C,MATCH($A11,Transactions!$D:$D,0)),""))</f>
        <v/>
      </c>
      <c r="C11" s="8" t="str">
        <f aca="false">IF($A11="","",IF(D11&gt;0,"Open","Closed"))</f>
        <v/>
      </c>
      <c r="D11" s="8" t="str">
        <f aca="false">IF($A11="","",-SUMIFS(Transactions!$E:$E,Transactions!$D:$D,$A11,Transactions!$B:$B,"Sell call")-SUMIFS(Transactions!$E:$E,Transactions!$D:$D,$A11,Transactions!$B:$B,"Buy to close")-SUMIFS(Transactions!$E:$E,Transactions!$D:$D,$A11,Transactions!$B:$B,"Expired")-SUMIFS(Transactions!$E:$E,Transactions!$D:$D,$A11,Transactions!$B:$B,"Assigned"))</f>
        <v/>
      </c>
      <c r="E11" s="27" t="str">
        <f aca="false">IF($A11="","",IFERROR(SUMIFS(Transactions!$F:$F,Transactions!$D:$D,$A11,Transactions!$B:$B,"Sell call")/COUNTIFS(Transactions!$D:$D,$A11,Transactions!$B:$B,"Sell call"),""))</f>
        <v/>
      </c>
      <c r="F11" s="10" t="str">
        <f aca="false">IF($A11="","",IFERROR(SUMIFS(Transactions!$G:$G,Transactions!$D:$D,$A11,Transactions!$B:$B,"Sell call")/COUNTIFS(Transactions!$D:$D,$A11,Transactions!$B:$B,"Sell call"),""))</f>
        <v/>
      </c>
      <c r="G11" s="8" t="str">
        <f aca="false">IF($A11="","",-SUMIFS(Transactions!$E:$E,Transactions!$D:$D,$A11,Transactions!$B:$B,"Sell call")*100+SUMIFS(Transactions!$E:$E,Transactions!$D:$D,$A11,Transactions!$B:$B,"Sell shares"))</f>
        <v/>
      </c>
      <c r="H11" s="14" t="str">
        <f aca="false">IF($A11="","",IF(SUMIFS(Transactions!$J:$J,Transactions!$D:$D,$A11,Transactions!$B:$B,"Buy shares")&lt;&gt;0,-SUMIFS(Transactions!$J:$J,Transactions!$D:$D,$A11,Transactions!$B:$B,"Buy shares"),IFERROR(INDEX(Lots!$E:$E,MATCH($W11,Lots!$A:$A,0))*-SUMIFS(Transactions!$E:$E,Transactions!$D:$D,$A11,Transactions!$B:$B,"Sell call")*100,0)))</f>
        <v/>
      </c>
      <c r="I11" s="14" t="str">
        <f aca="false">IF($A11="","",SUMIFS(Transactions!$J:$J,Transactions!$D:$D,$A11,Transactions!$B:$B,"Sell call"))</f>
        <v/>
      </c>
      <c r="J11" s="14" t="str">
        <f aca="false">IF($A11="","",-SUMIFS(Transactions!$J:$J,Transactions!$D:$D,$A11,Transactions!$B:$B,"Buy to close"))</f>
        <v/>
      </c>
      <c r="K11" s="23"/>
      <c r="L11" s="23"/>
      <c r="M11" s="23"/>
      <c r="N11" s="21"/>
      <c r="O11" s="28"/>
      <c r="P11" s="14" t="str">
        <f aca="false">IF(OR(C11&lt;&gt;"Open",L11=""),"",L11*100*D11)</f>
        <v/>
      </c>
      <c r="Q11" s="14" t="str">
        <f aca="false">IF(OR(C11&lt;&gt;"Open",P11=""),"",I11-J11-P11)</f>
        <v/>
      </c>
      <c r="R11" s="14" t="str">
        <f aca="false">IF(OR(C11&lt;&gt;"Open",K11=""),"",K11*G11)</f>
        <v/>
      </c>
      <c r="S11" s="14" t="str">
        <f aca="false">IF(OR(R11="",Q11=""),"",R11-H11+Q11)</f>
        <v/>
      </c>
      <c r="T11" s="13" t="str">
        <f aca="false">IF(OR(R11="",Q11="",N(H11)=0),"",(R11+Q11)/H11)</f>
        <v/>
      </c>
      <c r="U11" s="10" t="str">
        <f aca="false">IF(C11&lt;&gt;"Closed","",_xlfn.MAXIFS(Transactions!$A:$A,Transactions!$D:$D,$A11))</f>
        <v/>
      </c>
      <c r="V11" s="14" t="str">
        <f aca="false">IF(C11&lt;&gt;"Closed","",I11-J11)</f>
        <v/>
      </c>
      <c r="W11" s="8" t="str">
        <f aca="false">IF($A11="","",IFERROR(INDEX(Transactions!$O:$O,MATCH($A11,Transactions!$D:$D,0)),""))</f>
        <v/>
      </c>
    </row>
    <row r="12" customFormat="false" ht="15" hidden="false" customHeight="false" outlineLevel="0" collapsed="false">
      <c r="A12" s="21"/>
      <c r="B12" s="8" t="str">
        <f aca="false">IF($A12="","",IFERROR(INDEX(Transactions!$C:$C,MATCH($A12,Transactions!$D:$D,0)),""))</f>
        <v/>
      </c>
      <c r="C12" s="8" t="str">
        <f aca="false">IF($A12="","",IF(D12&gt;0,"Open","Closed"))</f>
        <v/>
      </c>
      <c r="D12" s="8" t="str">
        <f aca="false">IF($A12="","",-SUMIFS(Transactions!$E:$E,Transactions!$D:$D,$A12,Transactions!$B:$B,"Sell call")-SUMIFS(Transactions!$E:$E,Transactions!$D:$D,$A12,Transactions!$B:$B,"Buy to close")-SUMIFS(Transactions!$E:$E,Transactions!$D:$D,$A12,Transactions!$B:$B,"Expired")-SUMIFS(Transactions!$E:$E,Transactions!$D:$D,$A12,Transactions!$B:$B,"Assigned"))</f>
        <v/>
      </c>
      <c r="E12" s="27" t="str">
        <f aca="false">IF($A12="","",IFERROR(SUMIFS(Transactions!$F:$F,Transactions!$D:$D,$A12,Transactions!$B:$B,"Sell call")/COUNTIFS(Transactions!$D:$D,$A12,Transactions!$B:$B,"Sell call"),""))</f>
        <v/>
      </c>
      <c r="F12" s="10" t="str">
        <f aca="false">IF($A12="","",IFERROR(SUMIFS(Transactions!$G:$G,Transactions!$D:$D,$A12,Transactions!$B:$B,"Sell call")/COUNTIFS(Transactions!$D:$D,$A12,Transactions!$B:$B,"Sell call"),""))</f>
        <v/>
      </c>
      <c r="G12" s="8" t="str">
        <f aca="false">IF($A12="","",-SUMIFS(Transactions!$E:$E,Transactions!$D:$D,$A12,Transactions!$B:$B,"Sell call")*100+SUMIFS(Transactions!$E:$E,Transactions!$D:$D,$A12,Transactions!$B:$B,"Sell shares"))</f>
        <v/>
      </c>
      <c r="H12" s="14" t="str">
        <f aca="false">IF($A12="","",IF(SUMIFS(Transactions!$J:$J,Transactions!$D:$D,$A12,Transactions!$B:$B,"Buy shares")&lt;&gt;0,-SUMIFS(Transactions!$J:$J,Transactions!$D:$D,$A12,Transactions!$B:$B,"Buy shares"),IFERROR(INDEX(Lots!$E:$E,MATCH($W12,Lots!$A:$A,0))*-SUMIFS(Transactions!$E:$E,Transactions!$D:$D,$A12,Transactions!$B:$B,"Sell call")*100,0)))</f>
        <v/>
      </c>
      <c r="I12" s="14" t="str">
        <f aca="false">IF($A12="","",SUMIFS(Transactions!$J:$J,Transactions!$D:$D,$A12,Transactions!$B:$B,"Sell call"))</f>
        <v/>
      </c>
      <c r="J12" s="14" t="str">
        <f aca="false">IF($A12="","",-SUMIFS(Transactions!$J:$J,Transactions!$D:$D,$A12,Transactions!$B:$B,"Buy to close"))</f>
        <v/>
      </c>
      <c r="K12" s="23"/>
      <c r="L12" s="23"/>
      <c r="M12" s="23"/>
      <c r="N12" s="21"/>
      <c r="O12" s="28"/>
      <c r="P12" s="14" t="str">
        <f aca="false">IF(OR(C12&lt;&gt;"Open",L12=""),"",L12*100*D12)</f>
        <v/>
      </c>
      <c r="Q12" s="14" t="str">
        <f aca="false">IF(OR(C12&lt;&gt;"Open",P12=""),"",I12-J12-P12)</f>
        <v/>
      </c>
      <c r="R12" s="14" t="str">
        <f aca="false">IF(OR(C12&lt;&gt;"Open",K12=""),"",K12*G12)</f>
        <v/>
      </c>
      <c r="S12" s="14" t="str">
        <f aca="false">IF(OR(R12="",Q12=""),"",R12-H12+Q12)</f>
        <v/>
      </c>
      <c r="T12" s="13" t="str">
        <f aca="false">IF(OR(R12="",Q12="",N(H12)=0),"",(R12+Q12)/H12)</f>
        <v/>
      </c>
      <c r="U12" s="10" t="str">
        <f aca="false">IF(C12&lt;&gt;"Closed","",_xlfn.MAXIFS(Transactions!$A:$A,Transactions!$D:$D,$A12))</f>
        <v/>
      </c>
      <c r="V12" s="14" t="str">
        <f aca="false">IF(C12&lt;&gt;"Closed","",I12-J12)</f>
        <v/>
      </c>
      <c r="W12" s="8" t="str">
        <f aca="false">IF($A12="","",IFERROR(INDEX(Transactions!$O:$O,MATCH($A12,Transactions!$D:$D,0)),""))</f>
        <v/>
      </c>
    </row>
    <row r="13" customFormat="false" ht="15" hidden="false" customHeight="false" outlineLevel="0" collapsed="false">
      <c r="A13" s="21"/>
      <c r="B13" s="8" t="str">
        <f aca="false">IF($A13="","",IFERROR(INDEX(Transactions!$C:$C,MATCH($A13,Transactions!$D:$D,0)),""))</f>
        <v/>
      </c>
      <c r="C13" s="8" t="str">
        <f aca="false">IF($A13="","",IF(D13&gt;0,"Open","Closed"))</f>
        <v/>
      </c>
      <c r="D13" s="8" t="str">
        <f aca="false">IF($A13="","",-SUMIFS(Transactions!$E:$E,Transactions!$D:$D,$A13,Transactions!$B:$B,"Sell call")-SUMIFS(Transactions!$E:$E,Transactions!$D:$D,$A13,Transactions!$B:$B,"Buy to close")-SUMIFS(Transactions!$E:$E,Transactions!$D:$D,$A13,Transactions!$B:$B,"Expired")-SUMIFS(Transactions!$E:$E,Transactions!$D:$D,$A13,Transactions!$B:$B,"Assigned"))</f>
        <v/>
      </c>
      <c r="E13" s="27" t="str">
        <f aca="false">IF($A13="","",IFERROR(SUMIFS(Transactions!$F:$F,Transactions!$D:$D,$A13,Transactions!$B:$B,"Sell call")/COUNTIFS(Transactions!$D:$D,$A13,Transactions!$B:$B,"Sell call"),""))</f>
        <v/>
      </c>
      <c r="F13" s="10" t="str">
        <f aca="false">IF($A13="","",IFERROR(SUMIFS(Transactions!$G:$G,Transactions!$D:$D,$A13,Transactions!$B:$B,"Sell call")/COUNTIFS(Transactions!$D:$D,$A13,Transactions!$B:$B,"Sell call"),""))</f>
        <v/>
      </c>
      <c r="G13" s="8" t="str">
        <f aca="false">IF($A13="","",-SUMIFS(Transactions!$E:$E,Transactions!$D:$D,$A13,Transactions!$B:$B,"Sell call")*100+SUMIFS(Transactions!$E:$E,Transactions!$D:$D,$A13,Transactions!$B:$B,"Sell shares"))</f>
        <v/>
      </c>
      <c r="H13" s="14" t="str">
        <f aca="false">IF($A13="","",IF(SUMIFS(Transactions!$J:$J,Transactions!$D:$D,$A13,Transactions!$B:$B,"Buy shares")&lt;&gt;0,-SUMIFS(Transactions!$J:$J,Transactions!$D:$D,$A13,Transactions!$B:$B,"Buy shares"),IFERROR(INDEX(Lots!$E:$E,MATCH($W13,Lots!$A:$A,0))*-SUMIFS(Transactions!$E:$E,Transactions!$D:$D,$A13,Transactions!$B:$B,"Sell call")*100,0)))</f>
        <v/>
      </c>
      <c r="I13" s="14" t="str">
        <f aca="false">IF($A13="","",SUMIFS(Transactions!$J:$J,Transactions!$D:$D,$A13,Transactions!$B:$B,"Sell call"))</f>
        <v/>
      </c>
      <c r="J13" s="14" t="str">
        <f aca="false">IF($A13="","",-SUMIFS(Transactions!$J:$J,Transactions!$D:$D,$A13,Transactions!$B:$B,"Buy to close"))</f>
        <v/>
      </c>
      <c r="K13" s="23"/>
      <c r="L13" s="23"/>
      <c r="M13" s="23"/>
      <c r="N13" s="21"/>
      <c r="O13" s="28"/>
      <c r="P13" s="14" t="str">
        <f aca="false">IF(OR(C13&lt;&gt;"Open",L13=""),"",L13*100*D13)</f>
        <v/>
      </c>
      <c r="Q13" s="14" t="str">
        <f aca="false">IF(OR(C13&lt;&gt;"Open",P13=""),"",I13-J13-P13)</f>
        <v/>
      </c>
      <c r="R13" s="14" t="str">
        <f aca="false">IF(OR(C13&lt;&gt;"Open",K13=""),"",K13*G13)</f>
        <v/>
      </c>
      <c r="S13" s="14" t="str">
        <f aca="false">IF(OR(R13="",Q13=""),"",R13-H13+Q13)</f>
        <v/>
      </c>
      <c r="T13" s="13" t="str">
        <f aca="false">IF(OR(R13="",Q13="",N(H13)=0),"",(R13+Q13)/H13)</f>
        <v/>
      </c>
      <c r="U13" s="10" t="str">
        <f aca="false">IF(C13&lt;&gt;"Closed","",_xlfn.MAXIFS(Transactions!$A:$A,Transactions!$D:$D,$A13))</f>
        <v/>
      </c>
      <c r="V13" s="14" t="str">
        <f aca="false">IF(C13&lt;&gt;"Closed","",I13-J13)</f>
        <v/>
      </c>
      <c r="W13" s="8" t="str">
        <f aca="false">IF($A13="","",IFERROR(INDEX(Transactions!$O:$O,MATCH($A13,Transactions!$D:$D,0)),""))</f>
        <v/>
      </c>
    </row>
    <row r="14" customFormat="false" ht="15" hidden="false" customHeight="false" outlineLevel="0" collapsed="false">
      <c r="A14" s="21"/>
      <c r="B14" s="8" t="str">
        <f aca="false">IF($A14="","",IFERROR(INDEX(Transactions!$C:$C,MATCH($A14,Transactions!$D:$D,0)),""))</f>
        <v/>
      </c>
      <c r="C14" s="8" t="str">
        <f aca="false">IF($A14="","",IF(D14&gt;0,"Open","Closed"))</f>
        <v/>
      </c>
      <c r="D14" s="8" t="str">
        <f aca="false">IF($A14="","",-SUMIFS(Transactions!$E:$E,Transactions!$D:$D,$A14,Transactions!$B:$B,"Sell call")-SUMIFS(Transactions!$E:$E,Transactions!$D:$D,$A14,Transactions!$B:$B,"Buy to close")-SUMIFS(Transactions!$E:$E,Transactions!$D:$D,$A14,Transactions!$B:$B,"Expired")-SUMIFS(Transactions!$E:$E,Transactions!$D:$D,$A14,Transactions!$B:$B,"Assigned"))</f>
        <v/>
      </c>
      <c r="E14" s="27" t="str">
        <f aca="false">IF($A14="","",IFERROR(SUMIFS(Transactions!$F:$F,Transactions!$D:$D,$A14,Transactions!$B:$B,"Sell call")/COUNTIFS(Transactions!$D:$D,$A14,Transactions!$B:$B,"Sell call"),""))</f>
        <v/>
      </c>
      <c r="F14" s="10" t="str">
        <f aca="false">IF($A14="","",IFERROR(SUMIFS(Transactions!$G:$G,Transactions!$D:$D,$A14,Transactions!$B:$B,"Sell call")/COUNTIFS(Transactions!$D:$D,$A14,Transactions!$B:$B,"Sell call"),""))</f>
        <v/>
      </c>
      <c r="G14" s="8" t="str">
        <f aca="false">IF($A14="","",-SUMIFS(Transactions!$E:$E,Transactions!$D:$D,$A14,Transactions!$B:$B,"Sell call")*100+SUMIFS(Transactions!$E:$E,Transactions!$D:$D,$A14,Transactions!$B:$B,"Sell shares"))</f>
        <v/>
      </c>
      <c r="H14" s="14" t="str">
        <f aca="false">IF($A14="","",IF(SUMIFS(Transactions!$J:$J,Transactions!$D:$D,$A14,Transactions!$B:$B,"Buy shares")&lt;&gt;0,-SUMIFS(Transactions!$J:$J,Transactions!$D:$D,$A14,Transactions!$B:$B,"Buy shares"),IFERROR(INDEX(Lots!$E:$E,MATCH($W14,Lots!$A:$A,0))*-SUMIFS(Transactions!$E:$E,Transactions!$D:$D,$A14,Transactions!$B:$B,"Sell call")*100,0)))</f>
        <v/>
      </c>
      <c r="I14" s="14" t="str">
        <f aca="false">IF($A14="","",SUMIFS(Transactions!$J:$J,Transactions!$D:$D,$A14,Transactions!$B:$B,"Sell call"))</f>
        <v/>
      </c>
      <c r="J14" s="14" t="str">
        <f aca="false">IF($A14="","",-SUMIFS(Transactions!$J:$J,Transactions!$D:$D,$A14,Transactions!$B:$B,"Buy to close"))</f>
        <v/>
      </c>
      <c r="K14" s="23"/>
      <c r="L14" s="23"/>
      <c r="M14" s="23"/>
      <c r="N14" s="21"/>
      <c r="O14" s="28"/>
      <c r="P14" s="14" t="str">
        <f aca="false">IF(OR(C14&lt;&gt;"Open",L14=""),"",L14*100*D14)</f>
        <v/>
      </c>
      <c r="Q14" s="14" t="str">
        <f aca="false">IF(OR(C14&lt;&gt;"Open",P14=""),"",I14-J14-P14)</f>
        <v/>
      </c>
      <c r="R14" s="14" t="str">
        <f aca="false">IF(OR(C14&lt;&gt;"Open",K14=""),"",K14*G14)</f>
        <v/>
      </c>
      <c r="S14" s="14" t="str">
        <f aca="false">IF(OR(R14="",Q14=""),"",R14-H14+Q14)</f>
        <v/>
      </c>
      <c r="T14" s="13" t="str">
        <f aca="false">IF(OR(R14="",Q14="",N(H14)=0),"",(R14+Q14)/H14)</f>
        <v/>
      </c>
      <c r="U14" s="10" t="str">
        <f aca="false">IF(C14&lt;&gt;"Closed","",_xlfn.MAXIFS(Transactions!$A:$A,Transactions!$D:$D,$A14))</f>
        <v/>
      </c>
      <c r="V14" s="14" t="str">
        <f aca="false">IF(C14&lt;&gt;"Closed","",I14-J14)</f>
        <v/>
      </c>
      <c r="W14" s="8" t="str">
        <f aca="false">IF($A14="","",IFERROR(INDEX(Transactions!$O:$O,MATCH($A14,Transactions!$D:$D,0)),""))</f>
        <v/>
      </c>
    </row>
    <row r="15" customFormat="false" ht="15" hidden="false" customHeight="false" outlineLevel="0" collapsed="false">
      <c r="A15" s="21"/>
      <c r="B15" s="8" t="str">
        <f aca="false">IF($A15="","",IFERROR(INDEX(Transactions!$C:$C,MATCH($A15,Transactions!$D:$D,0)),""))</f>
        <v/>
      </c>
      <c r="C15" s="8" t="str">
        <f aca="false">IF($A15="","",IF(D15&gt;0,"Open","Closed"))</f>
        <v/>
      </c>
      <c r="D15" s="8" t="str">
        <f aca="false">IF($A15="","",-SUMIFS(Transactions!$E:$E,Transactions!$D:$D,$A15,Transactions!$B:$B,"Sell call")-SUMIFS(Transactions!$E:$E,Transactions!$D:$D,$A15,Transactions!$B:$B,"Buy to close")-SUMIFS(Transactions!$E:$E,Transactions!$D:$D,$A15,Transactions!$B:$B,"Expired")-SUMIFS(Transactions!$E:$E,Transactions!$D:$D,$A15,Transactions!$B:$B,"Assigned"))</f>
        <v/>
      </c>
      <c r="E15" s="27" t="str">
        <f aca="false">IF($A15="","",IFERROR(SUMIFS(Transactions!$F:$F,Transactions!$D:$D,$A15,Transactions!$B:$B,"Sell call")/COUNTIFS(Transactions!$D:$D,$A15,Transactions!$B:$B,"Sell call"),""))</f>
        <v/>
      </c>
      <c r="F15" s="10" t="str">
        <f aca="false">IF($A15="","",IFERROR(SUMIFS(Transactions!$G:$G,Transactions!$D:$D,$A15,Transactions!$B:$B,"Sell call")/COUNTIFS(Transactions!$D:$D,$A15,Transactions!$B:$B,"Sell call"),""))</f>
        <v/>
      </c>
      <c r="G15" s="8" t="str">
        <f aca="false">IF($A15="","",-SUMIFS(Transactions!$E:$E,Transactions!$D:$D,$A15,Transactions!$B:$B,"Sell call")*100+SUMIFS(Transactions!$E:$E,Transactions!$D:$D,$A15,Transactions!$B:$B,"Sell shares"))</f>
        <v/>
      </c>
      <c r="H15" s="14" t="str">
        <f aca="false">IF($A15="","",IF(SUMIFS(Transactions!$J:$J,Transactions!$D:$D,$A15,Transactions!$B:$B,"Buy shares")&lt;&gt;0,-SUMIFS(Transactions!$J:$J,Transactions!$D:$D,$A15,Transactions!$B:$B,"Buy shares"),IFERROR(INDEX(Lots!$E:$E,MATCH($W15,Lots!$A:$A,0))*-SUMIFS(Transactions!$E:$E,Transactions!$D:$D,$A15,Transactions!$B:$B,"Sell call")*100,0)))</f>
        <v/>
      </c>
      <c r="I15" s="14" t="str">
        <f aca="false">IF($A15="","",SUMIFS(Transactions!$J:$J,Transactions!$D:$D,$A15,Transactions!$B:$B,"Sell call"))</f>
        <v/>
      </c>
      <c r="J15" s="14" t="str">
        <f aca="false">IF($A15="","",-SUMIFS(Transactions!$J:$J,Transactions!$D:$D,$A15,Transactions!$B:$B,"Buy to close"))</f>
        <v/>
      </c>
      <c r="K15" s="23"/>
      <c r="L15" s="23"/>
      <c r="M15" s="23"/>
      <c r="N15" s="21"/>
      <c r="O15" s="28"/>
      <c r="P15" s="14" t="str">
        <f aca="false">IF(OR(C15&lt;&gt;"Open",L15=""),"",L15*100*D15)</f>
        <v/>
      </c>
      <c r="Q15" s="14" t="str">
        <f aca="false">IF(OR(C15&lt;&gt;"Open",P15=""),"",I15-J15-P15)</f>
        <v/>
      </c>
      <c r="R15" s="14" t="str">
        <f aca="false">IF(OR(C15&lt;&gt;"Open",K15=""),"",K15*G15)</f>
        <v/>
      </c>
      <c r="S15" s="14" t="str">
        <f aca="false">IF(OR(R15="",Q15=""),"",R15-H15+Q15)</f>
        <v/>
      </c>
      <c r="T15" s="13" t="str">
        <f aca="false">IF(OR(R15="",Q15="",N(H15)=0),"",(R15+Q15)/H15)</f>
        <v/>
      </c>
      <c r="U15" s="10" t="str">
        <f aca="false">IF(C15&lt;&gt;"Closed","",_xlfn.MAXIFS(Transactions!$A:$A,Transactions!$D:$D,$A15))</f>
        <v/>
      </c>
      <c r="V15" s="14" t="str">
        <f aca="false">IF(C15&lt;&gt;"Closed","",I15-J15)</f>
        <v/>
      </c>
      <c r="W15" s="8" t="str">
        <f aca="false">IF($A15="","",IFERROR(INDEX(Transactions!$O:$O,MATCH($A15,Transactions!$D:$D,0)),""))</f>
        <v/>
      </c>
    </row>
    <row r="16" customFormat="false" ht="15" hidden="false" customHeight="false" outlineLevel="0" collapsed="false">
      <c r="A16" s="21"/>
      <c r="B16" s="8" t="str">
        <f aca="false">IF($A16="","",IFERROR(INDEX(Transactions!$C:$C,MATCH($A16,Transactions!$D:$D,0)),""))</f>
        <v/>
      </c>
      <c r="C16" s="8" t="str">
        <f aca="false">IF($A16="","",IF(D16&gt;0,"Open","Closed"))</f>
        <v/>
      </c>
      <c r="D16" s="8" t="str">
        <f aca="false">IF($A16="","",-SUMIFS(Transactions!$E:$E,Transactions!$D:$D,$A16,Transactions!$B:$B,"Sell call")-SUMIFS(Transactions!$E:$E,Transactions!$D:$D,$A16,Transactions!$B:$B,"Buy to close")-SUMIFS(Transactions!$E:$E,Transactions!$D:$D,$A16,Transactions!$B:$B,"Expired")-SUMIFS(Transactions!$E:$E,Transactions!$D:$D,$A16,Transactions!$B:$B,"Assigned"))</f>
        <v/>
      </c>
      <c r="E16" s="27" t="str">
        <f aca="false">IF($A16="","",IFERROR(SUMIFS(Transactions!$F:$F,Transactions!$D:$D,$A16,Transactions!$B:$B,"Sell call")/COUNTIFS(Transactions!$D:$D,$A16,Transactions!$B:$B,"Sell call"),""))</f>
        <v/>
      </c>
      <c r="F16" s="10" t="str">
        <f aca="false">IF($A16="","",IFERROR(SUMIFS(Transactions!$G:$G,Transactions!$D:$D,$A16,Transactions!$B:$B,"Sell call")/COUNTIFS(Transactions!$D:$D,$A16,Transactions!$B:$B,"Sell call"),""))</f>
        <v/>
      </c>
      <c r="G16" s="8" t="str">
        <f aca="false">IF($A16="","",-SUMIFS(Transactions!$E:$E,Transactions!$D:$D,$A16,Transactions!$B:$B,"Sell call")*100+SUMIFS(Transactions!$E:$E,Transactions!$D:$D,$A16,Transactions!$B:$B,"Sell shares"))</f>
        <v/>
      </c>
      <c r="H16" s="14" t="str">
        <f aca="false">IF($A16="","",IF(SUMIFS(Transactions!$J:$J,Transactions!$D:$D,$A16,Transactions!$B:$B,"Buy shares")&lt;&gt;0,-SUMIFS(Transactions!$J:$J,Transactions!$D:$D,$A16,Transactions!$B:$B,"Buy shares"),IFERROR(INDEX(Lots!$E:$E,MATCH($W16,Lots!$A:$A,0))*-SUMIFS(Transactions!$E:$E,Transactions!$D:$D,$A16,Transactions!$B:$B,"Sell call")*100,0)))</f>
        <v/>
      </c>
      <c r="I16" s="14" t="str">
        <f aca="false">IF($A16="","",SUMIFS(Transactions!$J:$J,Transactions!$D:$D,$A16,Transactions!$B:$B,"Sell call"))</f>
        <v/>
      </c>
      <c r="J16" s="14" t="str">
        <f aca="false">IF($A16="","",-SUMIFS(Transactions!$J:$J,Transactions!$D:$D,$A16,Transactions!$B:$B,"Buy to close"))</f>
        <v/>
      </c>
      <c r="K16" s="23"/>
      <c r="L16" s="23"/>
      <c r="M16" s="23"/>
      <c r="N16" s="21"/>
      <c r="O16" s="28"/>
      <c r="P16" s="14" t="str">
        <f aca="false">IF(OR(C16&lt;&gt;"Open",L16=""),"",L16*100*D16)</f>
        <v/>
      </c>
      <c r="Q16" s="14" t="str">
        <f aca="false">IF(OR(C16&lt;&gt;"Open",P16=""),"",I16-J16-P16)</f>
        <v/>
      </c>
      <c r="R16" s="14" t="str">
        <f aca="false">IF(OR(C16&lt;&gt;"Open",K16=""),"",K16*G16)</f>
        <v/>
      </c>
      <c r="S16" s="14" t="str">
        <f aca="false">IF(OR(R16="",Q16=""),"",R16-H16+Q16)</f>
        <v/>
      </c>
      <c r="T16" s="13" t="str">
        <f aca="false">IF(OR(R16="",Q16="",N(H16)=0),"",(R16+Q16)/H16)</f>
        <v/>
      </c>
      <c r="U16" s="10" t="str">
        <f aca="false">IF(C16&lt;&gt;"Closed","",_xlfn.MAXIFS(Transactions!$A:$A,Transactions!$D:$D,$A16))</f>
        <v/>
      </c>
      <c r="V16" s="14" t="str">
        <f aca="false">IF(C16&lt;&gt;"Closed","",I16-J16)</f>
        <v/>
      </c>
      <c r="W16" s="8" t="str">
        <f aca="false">IF($A16="","",IFERROR(INDEX(Transactions!$O:$O,MATCH($A16,Transactions!$D:$D,0)),""))</f>
        <v/>
      </c>
    </row>
    <row r="17" customFormat="false" ht="15" hidden="false" customHeight="false" outlineLevel="0" collapsed="false">
      <c r="A17" s="21"/>
      <c r="B17" s="8" t="str">
        <f aca="false">IF($A17="","",IFERROR(INDEX(Transactions!$C:$C,MATCH($A17,Transactions!$D:$D,0)),""))</f>
        <v/>
      </c>
      <c r="C17" s="8" t="str">
        <f aca="false">IF($A17="","",IF(D17&gt;0,"Open","Closed"))</f>
        <v/>
      </c>
      <c r="D17" s="8" t="str">
        <f aca="false">IF($A17="","",-SUMIFS(Transactions!$E:$E,Transactions!$D:$D,$A17,Transactions!$B:$B,"Sell call")-SUMIFS(Transactions!$E:$E,Transactions!$D:$D,$A17,Transactions!$B:$B,"Buy to close")-SUMIFS(Transactions!$E:$E,Transactions!$D:$D,$A17,Transactions!$B:$B,"Expired")-SUMIFS(Transactions!$E:$E,Transactions!$D:$D,$A17,Transactions!$B:$B,"Assigned"))</f>
        <v/>
      </c>
      <c r="E17" s="27" t="str">
        <f aca="false">IF($A17="","",IFERROR(SUMIFS(Transactions!$F:$F,Transactions!$D:$D,$A17,Transactions!$B:$B,"Sell call")/COUNTIFS(Transactions!$D:$D,$A17,Transactions!$B:$B,"Sell call"),""))</f>
        <v/>
      </c>
      <c r="F17" s="10" t="str">
        <f aca="false">IF($A17="","",IFERROR(SUMIFS(Transactions!$G:$G,Transactions!$D:$D,$A17,Transactions!$B:$B,"Sell call")/COUNTIFS(Transactions!$D:$D,$A17,Transactions!$B:$B,"Sell call"),""))</f>
        <v/>
      </c>
      <c r="G17" s="8" t="str">
        <f aca="false">IF($A17="","",-SUMIFS(Transactions!$E:$E,Transactions!$D:$D,$A17,Transactions!$B:$B,"Sell call")*100+SUMIFS(Transactions!$E:$E,Transactions!$D:$D,$A17,Transactions!$B:$B,"Sell shares"))</f>
        <v/>
      </c>
      <c r="H17" s="14" t="str">
        <f aca="false">IF($A17="","",IF(SUMIFS(Transactions!$J:$J,Transactions!$D:$D,$A17,Transactions!$B:$B,"Buy shares")&lt;&gt;0,-SUMIFS(Transactions!$J:$J,Transactions!$D:$D,$A17,Transactions!$B:$B,"Buy shares"),IFERROR(INDEX(Lots!$E:$E,MATCH($W17,Lots!$A:$A,0))*-SUMIFS(Transactions!$E:$E,Transactions!$D:$D,$A17,Transactions!$B:$B,"Sell call")*100,0)))</f>
        <v/>
      </c>
      <c r="I17" s="14" t="str">
        <f aca="false">IF($A17="","",SUMIFS(Transactions!$J:$J,Transactions!$D:$D,$A17,Transactions!$B:$B,"Sell call"))</f>
        <v/>
      </c>
      <c r="J17" s="14" t="str">
        <f aca="false">IF($A17="","",-SUMIFS(Transactions!$J:$J,Transactions!$D:$D,$A17,Transactions!$B:$B,"Buy to close"))</f>
        <v/>
      </c>
      <c r="K17" s="23"/>
      <c r="L17" s="23"/>
      <c r="M17" s="23"/>
      <c r="N17" s="21"/>
      <c r="O17" s="28"/>
      <c r="P17" s="14" t="str">
        <f aca="false">IF(OR(C17&lt;&gt;"Open",L17=""),"",L17*100*D17)</f>
        <v/>
      </c>
      <c r="Q17" s="14" t="str">
        <f aca="false">IF(OR(C17&lt;&gt;"Open",P17=""),"",I17-J17-P17)</f>
        <v/>
      </c>
      <c r="R17" s="14" t="str">
        <f aca="false">IF(OR(C17&lt;&gt;"Open",K17=""),"",K17*G17)</f>
        <v/>
      </c>
      <c r="S17" s="14" t="str">
        <f aca="false">IF(OR(R17="",Q17=""),"",R17-H17+Q17)</f>
        <v/>
      </c>
      <c r="T17" s="13" t="str">
        <f aca="false">IF(OR(R17="",Q17="",N(H17)=0),"",(R17+Q17)/H17)</f>
        <v/>
      </c>
      <c r="U17" s="10" t="str">
        <f aca="false">IF(C17&lt;&gt;"Closed","",_xlfn.MAXIFS(Transactions!$A:$A,Transactions!$D:$D,$A17))</f>
        <v/>
      </c>
      <c r="V17" s="14" t="str">
        <f aca="false">IF(C17&lt;&gt;"Closed","",I17-J17)</f>
        <v/>
      </c>
      <c r="W17" s="8" t="str">
        <f aca="false">IF($A17="","",IFERROR(INDEX(Transactions!$O:$O,MATCH($A17,Transactions!$D:$D,0)),""))</f>
        <v/>
      </c>
    </row>
    <row r="18" customFormat="false" ht="15" hidden="false" customHeight="false" outlineLevel="0" collapsed="false">
      <c r="A18" s="21"/>
      <c r="B18" s="8" t="str">
        <f aca="false">IF($A18="","",IFERROR(INDEX(Transactions!$C:$C,MATCH($A18,Transactions!$D:$D,0)),""))</f>
        <v/>
      </c>
      <c r="C18" s="8" t="str">
        <f aca="false">IF($A18="","",IF(D18&gt;0,"Open","Closed"))</f>
        <v/>
      </c>
      <c r="D18" s="8" t="str">
        <f aca="false">IF($A18="","",-SUMIFS(Transactions!$E:$E,Transactions!$D:$D,$A18,Transactions!$B:$B,"Sell call")-SUMIFS(Transactions!$E:$E,Transactions!$D:$D,$A18,Transactions!$B:$B,"Buy to close")-SUMIFS(Transactions!$E:$E,Transactions!$D:$D,$A18,Transactions!$B:$B,"Expired")-SUMIFS(Transactions!$E:$E,Transactions!$D:$D,$A18,Transactions!$B:$B,"Assigned"))</f>
        <v/>
      </c>
      <c r="E18" s="27" t="str">
        <f aca="false">IF($A18="","",IFERROR(SUMIFS(Transactions!$F:$F,Transactions!$D:$D,$A18,Transactions!$B:$B,"Sell call")/COUNTIFS(Transactions!$D:$D,$A18,Transactions!$B:$B,"Sell call"),""))</f>
        <v/>
      </c>
      <c r="F18" s="10" t="str">
        <f aca="false">IF($A18="","",IFERROR(SUMIFS(Transactions!$G:$G,Transactions!$D:$D,$A18,Transactions!$B:$B,"Sell call")/COUNTIFS(Transactions!$D:$D,$A18,Transactions!$B:$B,"Sell call"),""))</f>
        <v/>
      </c>
      <c r="G18" s="8" t="str">
        <f aca="false">IF($A18="","",-SUMIFS(Transactions!$E:$E,Transactions!$D:$D,$A18,Transactions!$B:$B,"Sell call")*100+SUMIFS(Transactions!$E:$E,Transactions!$D:$D,$A18,Transactions!$B:$B,"Sell shares"))</f>
        <v/>
      </c>
      <c r="H18" s="14" t="str">
        <f aca="false">IF($A18="","",IF(SUMIFS(Transactions!$J:$J,Transactions!$D:$D,$A18,Transactions!$B:$B,"Buy shares")&lt;&gt;0,-SUMIFS(Transactions!$J:$J,Transactions!$D:$D,$A18,Transactions!$B:$B,"Buy shares"),IFERROR(INDEX(Lots!$E:$E,MATCH($W18,Lots!$A:$A,0))*-SUMIFS(Transactions!$E:$E,Transactions!$D:$D,$A18,Transactions!$B:$B,"Sell call")*100,0)))</f>
        <v/>
      </c>
      <c r="I18" s="14" t="str">
        <f aca="false">IF($A18="","",SUMIFS(Transactions!$J:$J,Transactions!$D:$D,$A18,Transactions!$B:$B,"Sell call"))</f>
        <v/>
      </c>
      <c r="J18" s="14" t="str">
        <f aca="false">IF($A18="","",-SUMIFS(Transactions!$J:$J,Transactions!$D:$D,$A18,Transactions!$B:$B,"Buy to close"))</f>
        <v/>
      </c>
      <c r="K18" s="23"/>
      <c r="L18" s="23"/>
      <c r="M18" s="23"/>
      <c r="N18" s="21"/>
      <c r="O18" s="28"/>
      <c r="P18" s="14" t="str">
        <f aca="false">IF(OR(C18&lt;&gt;"Open",L18=""),"",L18*100*D18)</f>
        <v/>
      </c>
      <c r="Q18" s="14" t="str">
        <f aca="false">IF(OR(C18&lt;&gt;"Open",P18=""),"",I18-J18-P18)</f>
        <v/>
      </c>
      <c r="R18" s="14" t="str">
        <f aca="false">IF(OR(C18&lt;&gt;"Open",K18=""),"",K18*G18)</f>
        <v/>
      </c>
      <c r="S18" s="14" t="str">
        <f aca="false">IF(OR(R18="",Q18=""),"",R18-H18+Q18)</f>
        <v/>
      </c>
      <c r="T18" s="13" t="str">
        <f aca="false">IF(OR(R18="",Q18="",N(H18)=0),"",(R18+Q18)/H18)</f>
        <v/>
      </c>
      <c r="U18" s="10" t="str">
        <f aca="false">IF(C18&lt;&gt;"Closed","",_xlfn.MAXIFS(Transactions!$A:$A,Transactions!$D:$D,$A18))</f>
        <v/>
      </c>
      <c r="V18" s="14" t="str">
        <f aca="false">IF(C18&lt;&gt;"Closed","",I18-J18)</f>
        <v/>
      </c>
      <c r="W18" s="8" t="str">
        <f aca="false">IF($A18="","",IFERROR(INDEX(Transactions!$O:$O,MATCH($A18,Transactions!$D:$D,0)),""))</f>
        <v/>
      </c>
    </row>
    <row r="19" customFormat="false" ht="15" hidden="false" customHeight="false" outlineLevel="0" collapsed="false">
      <c r="A19" s="21"/>
      <c r="B19" s="8" t="str">
        <f aca="false">IF($A19="","",IFERROR(INDEX(Transactions!$C:$C,MATCH($A19,Transactions!$D:$D,0)),""))</f>
        <v/>
      </c>
      <c r="C19" s="8" t="str">
        <f aca="false">IF($A19="","",IF(D19&gt;0,"Open","Closed"))</f>
        <v/>
      </c>
      <c r="D19" s="8" t="str">
        <f aca="false">IF($A19="","",-SUMIFS(Transactions!$E:$E,Transactions!$D:$D,$A19,Transactions!$B:$B,"Sell call")-SUMIFS(Transactions!$E:$E,Transactions!$D:$D,$A19,Transactions!$B:$B,"Buy to close")-SUMIFS(Transactions!$E:$E,Transactions!$D:$D,$A19,Transactions!$B:$B,"Expired")-SUMIFS(Transactions!$E:$E,Transactions!$D:$D,$A19,Transactions!$B:$B,"Assigned"))</f>
        <v/>
      </c>
      <c r="E19" s="27" t="str">
        <f aca="false">IF($A19="","",IFERROR(SUMIFS(Transactions!$F:$F,Transactions!$D:$D,$A19,Transactions!$B:$B,"Sell call")/COUNTIFS(Transactions!$D:$D,$A19,Transactions!$B:$B,"Sell call"),""))</f>
        <v/>
      </c>
      <c r="F19" s="10" t="str">
        <f aca="false">IF($A19="","",IFERROR(SUMIFS(Transactions!$G:$G,Transactions!$D:$D,$A19,Transactions!$B:$B,"Sell call")/COUNTIFS(Transactions!$D:$D,$A19,Transactions!$B:$B,"Sell call"),""))</f>
        <v/>
      </c>
      <c r="G19" s="8" t="str">
        <f aca="false">IF($A19="","",-SUMIFS(Transactions!$E:$E,Transactions!$D:$D,$A19,Transactions!$B:$B,"Sell call")*100+SUMIFS(Transactions!$E:$E,Transactions!$D:$D,$A19,Transactions!$B:$B,"Sell shares"))</f>
        <v/>
      </c>
      <c r="H19" s="14" t="str">
        <f aca="false">IF($A19="","",IF(SUMIFS(Transactions!$J:$J,Transactions!$D:$D,$A19,Transactions!$B:$B,"Buy shares")&lt;&gt;0,-SUMIFS(Transactions!$J:$J,Transactions!$D:$D,$A19,Transactions!$B:$B,"Buy shares"),IFERROR(INDEX(Lots!$E:$E,MATCH($W19,Lots!$A:$A,0))*-SUMIFS(Transactions!$E:$E,Transactions!$D:$D,$A19,Transactions!$B:$B,"Sell call")*100,0)))</f>
        <v/>
      </c>
      <c r="I19" s="14" t="str">
        <f aca="false">IF($A19="","",SUMIFS(Transactions!$J:$J,Transactions!$D:$D,$A19,Transactions!$B:$B,"Sell call"))</f>
        <v/>
      </c>
      <c r="J19" s="14" t="str">
        <f aca="false">IF($A19="","",-SUMIFS(Transactions!$J:$J,Transactions!$D:$D,$A19,Transactions!$B:$B,"Buy to close"))</f>
        <v/>
      </c>
      <c r="K19" s="23"/>
      <c r="L19" s="23"/>
      <c r="M19" s="23"/>
      <c r="N19" s="21"/>
      <c r="O19" s="28"/>
      <c r="P19" s="14" t="str">
        <f aca="false">IF(OR(C19&lt;&gt;"Open",L19=""),"",L19*100*D19)</f>
        <v/>
      </c>
      <c r="Q19" s="14" t="str">
        <f aca="false">IF(OR(C19&lt;&gt;"Open",P19=""),"",I19-J19-P19)</f>
        <v/>
      </c>
      <c r="R19" s="14" t="str">
        <f aca="false">IF(OR(C19&lt;&gt;"Open",K19=""),"",K19*G19)</f>
        <v/>
      </c>
      <c r="S19" s="14" t="str">
        <f aca="false">IF(OR(R19="",Q19=""),"",R19-H19+Q19)</f>
        <v/>
      </c>
      <c r="T19" s="13" t="str">
        <f aca="false">IF(OR(R19="",Q19="",N(H19)=0),"",(R19+Q19)/H19)</f>
        <v/>
      </c>
      <c r="U19" s="10" t="str">
        <f aca="false">IF(C19&lt;&gt;"Closed","",_xlfn.MAXIFS(Transactions!$A:$A,Transactions!$D:$D,$A19))</f>
        <v/>
      </c>
      <c r="V19" s="14" t="str">
        <f aca="false">IF(C19&lt;&gt;"Closed","",I19-J19)</f>
        <v/>
      </c>
      <c r="W19" s="8" t="str">
        <f aca="false">IF($A19="","",IFERROR(INDEX(Transactions!$O:$O,MATCH($A19,Transactions!$D:$D,0)),""))</f>
        <v/>
      </c>
    </row>
    <row r="20" customFormat="false" ht="15" hidden="false" customHeight="false" outlineLevel="0" collapsed="false">
      <c r="A20" s="21"/>
      <c r="B20" s="8" t="str">
        <f aca="false">IF($A20="","",IFERROR(INDEX(Transactions!$C:$C,MATCH($A20,Transactions!$D:$D,0)),""))</f>
        <v/>
      </c>
      <c r="C20" s="8" t="str">
        <f aca="false">IF($A20="","",IF(D20&gt;0,"Open","Closed"))</f>
        <v/>
      </c>
      <c r="D20" s="8" t="str">
        <f aca="false">IF($A20="","",-SUMIFS(Transactions!$E:$E,Transactions!$D:$D,$A20,Transactions!$B:$B,"Sell call")-SUMIFS(Transactions!$E:$E,Transactions!$D:$D,$A20,Transactions!$B:$B,"Buy to close")-SUMIFS(Transactions!$E:$E,Transactions!$D:$D,$A20,Transactions!$B:$B,"Expired")-SUMIFS(Transactions!$E:$E,Transactions!$D:$D,$A20,Transactions!$B:$B,"Assigned"))</f>
        <v/>
      </c>
      <c r="E20" s="27" t="str">
        <f aca="false">IF($A20="","",IFERROR(SUMIFS(Transactions!$F:$F,Transactions!$D:$D,$A20,Transactions!$B:$B,"Sell call")/COUNTIFS(Transactions!$D:$D,$A20,Transactions!$B:$B,"Sell call"),""))</f>
        <v/>
      </c>
      <c r="F20" s="10" t="str">
        <f aca="false">IF($A20="","",IFERROR(SUMIFS(Transactions!$G:$G,Transactions!$D:$D,$A20,Transactions!$B:$B,"Sell call")/COUNTIFS(Transactions!$D:$D,$A20,Transactions!$B:$B,"Sell call"),""))</f>
        <v/>
      </c>
      <c r="G20" s="8" t="str">
        <f aca="false">IF($A20="","",-SUMIFS(Transactions!$E:$E,Transactions!$D:$D,$A20,Transactions!$B:$B,"Sell call")*100+SUMIFS(Transactions!$E:$E,Transactions!$D:$D,$A20,Transactions!$B:$B,"Sell shares"))</f>
        <v/>
      </c>
      <c r="H20" s="14" t="str">
        <f aca="false">IF($A20="","",IF(SUMIFS(Transactions!$J:$J,Transactions!$D:$D,$A20,Transactions!$B:$B,"Buy shares")&lt;&gt;0,-SUMIFS(Transactions!$J:$J,Transactions!$D:$D,$A20,Transactions!$B:$B,"Buy shares"),IFERROR(INDEX(Lots!$E:$E,MATCH($W20,Lots!$A:$A,0))*-SUMIFS(Transactions!$E:$E,Transactions!$D:$D,$A20,Transactions!$B:$B,"Sell call")*100,0)))</f>
        <v/>
      </c>
      <c r="I20" s="14" t="str">
        <f aca="false">IF($A20="","",SUMIFS(Transactions!$J:$J,Transactions!$D:$D,$A20,Transactions!$B:$B,"Sell call"))</f>
        <v/>
      </c>
      <c r="J20" s="14" t="str">
        <f aca="false">IF($A20="","",-SUMIFS(Transactions!$J:$J,Transactions!$D:$D,$A20,Transactions!$B:$B,"Buy to close"))</f>
        <v/>
      </c>
      <c r="K20" s="23"/>
      <c r="L20" s="23"/>
      <c r="M20" s="23"/>
      <c r="N20" s="21"/>
      <c r="O20" s="28"/>
      <c r="P20" s="14" t="str">
        <f aca="false">IF(OR(C20&lt;&gt;"Open",L20=""),"",L20*100*D20)</f>
        <v/>
      </c>
      <c r="Q20" s="14" t="str">
        <f aca="false">IF(OR(C20&lt;&gt;"Open",P20=""),"",I20-J20-P20)</f>
        <v/>
      </c>
      <c r="R20" s="14" t="str">
        <f aca="false">IF(OR(C20&lt;&gt;"Open",K20=""),"",K20*G20)</f>
        <v/>
      </c>
      <c r="S20" s="14" t="str">
        <f aca="false">IF(OR(R20="",Q20=""),"",R20-H20+Q20)</f>
        <v/>
      </c>
      <c r="T20" s="13" t="str">
        <f aca="false">IF(OR(R20="",Q20="",N(H20)=0),"",(R20+Q20)/H20)</f>
        <v/>
      </c>
      <c r="U20" s="10" t="str">
        <f aca="false">IF(C20&lt;&gt;"Closed","",_xlfn.MAXIFS(Transactions!$A:$A,Transactions!$D:$D,$A20))</f>
        <v/>
      </c>
      <c r="V20" s="14" t="str">
        <f aca="false">IF(C20&lt;&gt;"Closed","",I20-J20)</f>
        <v/>
      </c>
      <c r="W20" s="8" t="str">
        <f aca="false">IF($A20="","",IFERROR(INDEX(Transactions!$O:$O,MATCH($A20,Transactions!$D:$D,0)),""))</f>
        <v/>
      </c>
    </row>
    <row r="21" customFormat="false" ht="15" hidden="false" customHeight="false" outlineLevel="0" collapsed="false">
      <c r="A21" s="21"/>
      <c r="B21" s="8" t="str">
        <f aca="false">IF($A21="","",IFERROR(INDEX(Transactions!$C:$C,MATCH($A21,Transactions!$D:$D,0)),""))</f>
        <v/>
      </c>
      <c r="C21" s="8" t="str">
        <f aca="false">IF($A21="","",IF(D21&gt;0,"Open","Closed"))</f>
        <v/>
      </c>
      <c r="D21" s="8" t="str">
        <f aca="false">IF($A21="","",-SUMIFS(Transactions!$E:$E,Transactions!$D:$D,$A21,Transactions!$B:$B,"Sell call")-SUMIFS(Transactions!$E:$E,Transactions!$D:$D,$A21,Transactions!$B:$B,"Buy to close")-SUMIFS(Transactions!$E:$E,Transactions!$D:$D,$A21,Transactions!$B:$B,"Expired")-SUMIFS(Transactions!$E:$E,Transactions!$D:$D,$A21,Transactions!$B:$B,"Assigned"))</f>
        <v/>
      </c>
      <c r="E21" s="27" t="str">
        <f aca="false">IF($A21="","",IFERROR(SUMIFS(Transactions!$F:$F,Transactions!$D:$D,$A21,Transactions!$B:$B,"Sell call")/COUNTIFS(Transactions!$D:$D,$A21,Transactions!$B:$B,"Sell call"),""))</f>
        <v/>
      </c>
      <c r="F21" s="10" t="str">
        <f aca="false">IF($A21="","",IFERROR(SUMIFS(Transactions!$G:$G,Transactions!$D:$D,$A21,Transactions!$B:$B,"Sell call")/COUNTIFS(Transactions!$D:$D,$A21,Transactions!$B:$B,"Sell call"),""))</f>
        <v/>
      </c>
      <c r="G21" s="8" t="str">
        <f aca="false">IF($A21="","",-SUMIFS(Transactions!$E:$E,Transactions!$D:$D,$A21,Transactions!$B:$B,"Sell call")*100+SUMIFS(Transactions!$E:$E,Transactions!$D:$D,$A21,Transactions!$B:$B,"Sell shares"))</f>
        <v/>
      </c>
      <c r="H21" s="14" t="str">
        <f aca="false">IF($A21="","",IF(SUMIFS(Transactions!$J:$J,Transactions!$D:$D,$A21,Transactions!$B:$B,"Buy shares")&lt;&gt;0,-SUMIFS(Transactions!$J:$J,Transactions!$D:$D,$A21,Transactions!$B:$B,"Buy shares"),IFERROR(INDEX(Lots!$E:$E,MATCH($W21,Lots!$A:$A,0))*-SUMIFS(Transactions!$E:$E,Transactions!$D:$D,$A21,Transactions!$B:$B,"Sell call")*100,0)))</f>
        <v/>
      </c>
      <c r="I21" s="14" t="str">
        <f aca="false">IF($A21="","",SUMIFS(Transactions!$J:$J,Transactions!$D:$D,$A21,Transactions!$B:$B,"Sell call"))</f>
        <v/>
      </c>
      <c r="J21" s="14" t="str">
        <f aca="false">IF($A21="","",-SUMIFS(Transactions!$J:$J,Transactions!$D:$D,$A21,Transactions!$B:$B,"Buy to close"))</f>
        <v/>
      </c>
      <c r="K21" s="23"/>
      <c r="L21" s="23"/>
      <c r="M21" s="23"/>
      <c r="N21" s="21"/>
      <c r="O21" s="28"/>
      <c r="P21" s="14" t="str">
        <f aca="false">IF(OR(C21&lt;&gt;"Open",L21=""),"",L21*100*D21)</f>
        <v/>
      </c>
      <c r="Q21" s="14" t="str">
        <f aca="false">IF(OR(C21&lt;&gt;"Open",P21=""),"",I21-J21-P21)</f>
        <v/>
      </c>
      <c r="R21" s="14" t="str">
        <f aca="false">IF(OR(C21&lt;&gt;"Open",K21=""),"",K21*G21)</f>
        <v/>
      </c>
      <c r="S21" s="14" t="str">
        <f aca="false">IF(OR(R21="",Q21=""),"",R21-H21+Q21)</f>
        <v/>
      </c>
      <c r="T21" s="13" t="str">
        <f aca="false">IF(OR(R21="",Q21="",N(H21)=0),"",(R21+Q21)/H21)</f>
        <v/>
      </c>
      <c r="U21" s="10" t="str">
        <f aca="false">IF(C21&lt;&gt;"Closed","",_xlfn.MAXIFS(Transactions!$A:$A,Transactions!$D:$D,$A21))</f>
        <v/>
      </c>
      <c r="V21" s="14" t="str">
        <f aca="false">IF(C21&lt;&gt;"Closed","",I21-J21)</f>
        <v/>
      </c>
      <c r="W21" s="8" t="str">
        <f aca="false">IF($A21="","",IFERROR(INDEX(Transactions!$O:$O,MATCH($A21,Transactions!$D:$D,0)),""))</f>
        <v/>
      </c>
    </row>
    <row r="22" customFormat="false" ht="15" hidden="false" customHeight="false" outlineLevel="0" collapsed="false">
      <c r="A22" s="21"/>
      <c r="B22" s="8" t="str">
        <f aca="false">IF($A22="","",IFERROR(INDEX(Transactions!$C:$C,MATCH($A22,Transactions!$D:$D,0)),""))</f>
        <v/>
      </c>
      <c r="C22" s="8" t="str">
        <f aca="false">IF($A22="","",IF(D22&gt;0,"Open","Closed"))</f>
        <v/>
      </c>
      <c r="D22" s="8" t="str">
        <f aca="false">IF($A22="","",-SUMIFS(Transactions!$E:$E,Transactions!$D:$D,$A22,Transactions!$B:$B,"Sell call")-SUMIFS(Transactions!$E:$E,Transactions!$D:$D,$A22,Transactions!$B:$B,"Buy to close")-SUMIFS(Transactions!$E:$E,Transactions!$D:$D,$A22,Transactions!$B:$B,"Expired")-SUMIFS(Transactions!$E:$E,Transactions!$D:$D,$A22,Transactions!$B:$B,"Assigned"))</f>
        <v/>
      </c>
      <c r="E22" s="27" t="str">
        <f aca="false">IF($A22="","",IFERROR(SUMIFS(Transactions!$F:$F,Transactions!$D:$D,$A22,Transactions!$B:$B,"Sell call")/COUNTIFS(Transactions!$D:$D,$A22,Transactions!$B:$B,"Sell call"),""))</f>
        <v/>
      </c>
      <c r="F22" s="10" t="str">
        <f aca="false">IF($A22="","",IFERROR(SUMIFS(Transactions!$G:$G,Transactions!$D:$D,$A22,Transactions!$B:$B,"Sell call")/COUNTIFS(Transactions!$D:$D,$A22,Transactions!$B:$B,"Sell call"),""))</f>
        <v/>
      </c>
      <c r="G22" s="8" t="str">
        <f aca="false">IF($A22="","",-SUMIFS(Transactions!$E:$E,Transactions!$D:$D,$A22,Transactions!$B:$B,"Sell call")*100+SUMIFS(Transactions!$E:$E,Transactions!$D:$D,$A22,Transactions!$B:$B,"Sell shares"))</f>
        <v/>
      </c>
      <c r="H22" s="14" t="str">
        <f aca="false">IF($A22="","",IF(SUMIFS(Transactions!$J:$J,Transactions!$D:$D,$A22,Transactions!$B:$B,"Buy shares")&lt;&gt;0,-SUMIFS(Transactions!$J:$J,Transactions!$D:$D,$A22,Transactions!$B:$B,"Buy shares"),IFERROR(INDEX(Lots!$E:$E,MATCH($W22,Lots!$A:$A,0))*-SUMIFS(Transactions!$E:$E,Transactions!$D:$D,$A22,Transactions!$B:$B,"Sell call")*100,0)))</f>
        <v/>
      </c>
      <c r="I22" s="14" t="str">
        <f aca="false">IF($A22="","",SUMIFS(Transactions!$J:$J,Transactions!$D:$D,$A22,Transactions!$B:$B,"Sell call"))</f>
        <v/>
      </c>
      <c r="J22" s="14" t="str">
        <f aca="false">IF($A22="","",-SUMIFS(Transactions!$J:$J,Transactions!$D:$D,$A22,Transactions!$B:$B,"Buy to close"))</f>
        <v/>
      </c>
      <c r="K22" s="23"/>
      <c r="L22" s="23"/>
      <c r="M22" s="23"/>
      <c r="N22" s="21"/>
      <c r="O22" s="28"/>
      <c r="P22" s="14" t="str">
        <f aca="false">IF(OR(C22&lt;&gt;"Open",L22=""),"",L22*100*D22)</f>
        <v/>
      </c>
      <c r="Q22" s="14" t="str">
        <f aca="false">IF(OR(C22&lt;&gt;"Open",P22=""),"",I22-J22-P22)</f>
        <v/>
      </c>
      <c r="R22" s="14" t="str">
        <f aca="false">IF(OR(C22&lt;&gt;"Open",K22=""),"",K22*G22)</f>
        <v/>
      </c>
      <c r="S22" s="14" t="str">
        <f aca="false">IF(OR(R22="",Q22=""),"",R22-H22+Q22)</f>
        <v/>
      </c>
      <c r="T22" s="13" t="str">
        <f aca="false">IF(OR(R22="",Q22="",N(H22)=0),"",(R22+Q22)/H22)</f>
        <v/>
      </c>
      <c r="U22" s="10" t="str">
        <f aca="false">IF(C22&lt;&gt;"Closed","",_xlfn.MAXIFS(Transactions!$A:$A,Transactions!$D:$D,$A22))</f>
        <v/>
      </c>
      <c r="V22" s="14" t="str">
        <f aca="false">IF(C22&lt;&gt;"Closed","",I22-J22)</f>
        <v/>
      </c>
      <c r="W22" s="8" t="str">
        <f aca="false">IF($A22="","",IFERROR(INDEX(Transactions!$O:$O,MATCH($A22,Transactions!$D:$D,0)),""))</f>
        <v/>
      </c>
    </row>
    <row r="23" customFormat="false" ht="15" hidden="false" customHeight="false" outlineLevel="0" collapsed="false">
      <c r="A23" s="21"/>
      <c r="B23" s="8" t="str">
        <f aca="false">IF($A23="","",IFERROR(INDEX(Transactions!$C:$C,MATCH($A23,Transactions!$D:$D,0)),""))</f>
        <v/>
      </c>
      <c r="C23" s="8" t="str">
        <f aca="false">IF($A23="","",IF(D23&gt;0,"Open","Closed"))</f>
        <v/>
      </c>
      <c r="D23" s="8" t="str">
        <f aca="false">IF($A23="","",-SUMIFS(Transactions!$E:$E,Transactions!$D:$D,$A23,Transactions!$B:$B,"Sell call")-SUMIFS(Transactions!$E:$E,Transactions!$D:$D,$A23,Transactions!$B:$B,"Buy to close")-SUMIFS(Transactions!$E:$E,Transactions!$D:$D,$A23,Transactions!$B:$B,"Expired")-SUMIFS(Transactions!$E:$E,Transactions!$D:$D,$A23,Transactions!$B:$B,"Assigned"))</f>
        <v/>
      </c>
      <c r="E23" s="27" t="str">
        <f aca="false">IF($A23="","",IFERROR(SUMIFS(Transactions!$F:$F,Transactions!$D:$D,$A23,Transactions!$B:$B,"Sell call")/COUNTIFS(Transactions!$D:$D,$A23,Transactions!$B:$B,"Sell call"),""))</f>
        <v/>
      </c>
      <c r="F23" s="10" t="str">
        <f aca="false">IF($A23="","",IFERROR(SUMIFS(Transactions!$G:$G,Transactions!$D:$D,$A23,Transactions!$B:$B,"Sell call")/COUNTIFS(Transactions!$D:$D,$A23,Transactions!$B:$B,"Sell call"),""))</f>
        <v/>
      </c>
      <c r="G23" s="8" t="str">
        <f aca="false">IF($A23="","",-SUMIFS(Transactions!$E:$E,Transactions!$D:$D,$A23,Transactions!$B:$B,"Sell call")*100+SUMIFS(Transactions!$E:$E,Transactions!$D:$D,$A23,Transactions!$B:$B,"Sell shares"))</f>
        <v/>
      </c>
      <c r="H23" s="14" t="str">
        <f aca="false">IF($A23="","",IF(SUMIFS(Transactions!$J:$J,Transactions!$D:$D,$A23,Transactions!$B:$B,"Buy shares")&lt;&gt;0,-SUMIFS(Transactions!$J:$J,Transactions!$D:$D,$A23,Transactions!$B:$B,"Buy shares"),IFERROR(INDEX(Lots!$E:$E,MATCH($W23,Lots!$A:$A,0))*-SUMIFS(Transactions!$E:$E,Transactions!$D:$D,$A23,Transactions!$B:$B,"Sell call")*100,0)))</f>
        <v/>
      </c>
      <c r="I23" s="14" t="str">
        <f aca="false">IF($A23="","",SUMIFS(Transactions!$J:$J,Transactions!$D:$D,$A23,Transactions!$B:$B,"Sell call"))</f>
        <v/>
      </c>
      <c r="J23" s="14" t="str">
        <f aca="false">IF($A23="","",-SUMIFS(Transactions!$J:$J,Transactions!$D:$D,$A23,Transactions!$B:$B,"Buy to close"))</f>
        <v/>
      </c>
      <c r="K23" s="23"/>
      <c r="L23" s="23"/>
      <c r="M23" s="23"/>
      <c r="N23" s="21"/>
      <c r="O23" s="28"/>
      <c r="P23" s="14" t="str">
        <f aca="false">IF(OR(C23&lt;&gt;"Open",L23=""),"",L23*100*D23)</f>
        <v/>
      </c>
      <c r="Q23" s="14" t="str">
        <f aca="false">IF(OR(C23&lt;&gt;"Open",P23=""),"",I23-J23-P23)</f>
        <v/>
      </c>
      <c r="R23" s="14" t="str">
        <f aca="false">IF(OR(C23&lt;&gt;"Open",K23=""),"",K23*G23)</f>
        <v/>
      </c>
      <c r="S23" s="14" t="str">
        <f aca="false">IF(OR(R23="",Q23=""),"",R23-H23+Q23)</f>
        <v/>
      </c>
      <c r="T23" s="13" t="str">
        <f aca="false">IF(OR(R23="",Q23="",N(H23)=0),"",(R23+Q23)/H23)</f>
        <v/>
      </c>
      <c r="U23" s="10" t="str">
        <f aca="false">IF(C23&lt;&gt;"Closed","",_xlfn.MAXIFS(Transactions!$A:$A,Transactions!$D:$D,$A23))</f>
        <v/>
      </c>
      <c r="V23" s="14" t="str">
        <f aca="false">IF(C23&lt;&gt;"Closed","",I23-J23)</f>
        <v/>
      </c>
      <c r="W23" s="8" t="str">
        <f aca="false">IF($A23="","",IFERROR(INDEX(Transactions!$O:$O,MATCH($A23,Transactions!$D:$D,0)),""))</f>
        <v/>
      </c>
    </row>
    <row r="24" customFormat="false" ht="15" hidden="false" customHeight="false" outlineLevel="0" collapsed="false">
      <c r="A24" s="21"/>
      <c r="B24" s="8" t="str">
        <f aca="false">IF($A24="","",IFERROR(INDEX(Transactions!$C:$C,MATCH($A24,Transactions!$D:$D,0)),""))</f>
        <v/>
      </c>
      <c r="C24" s="8" t="str">
        <f aca="false">IF($A24="","",IF(D24&gt;0,"Open","Closed"))</f>
        <v/>
      </c>
      <c r="D24" s="8" t="str">
        <f aca="false">IF($A24="","",-SUMIFS(Transactions!$E:$E,Transactions!$D:$D,$A24,Transactions!$B:$B,"Sell call")-SUMIFS(Transactions!$E:$E,Transactions!$D:$D,$A24,Transactions!$B:$B,"Buy to close")-SUMIFS(Transactions!$E:$E,Transactions!$D:$D,$A24,Transactions!$B:$B,"Expired")-SUMIFS(Transactions!$E:$E,Transactions!$D:$D,$A24,Transactions!$B:$B,"Assigned"))</f>
        <v/>
      </c>
      <c r="E24" s="27" t="str">
        <f aca="false">IF($A24="","",IFERROR(SUMIFS(Transactions!$F:$F,Transactions!$D:$D,$A24,Transactions!$B:$B,"Sell call")/COUNTIFS(Transactions!$D:$D,$A24,Transactions!$B:$B,"Sell call"),""))</f>
        <v/>
      </c>
      <c r="F24" s="10" t="str">
        <f aca="false">IF($A24="","",IFERROR(SUMIFS(Transactions!$G:$G,Transactions!$D:$D,$A24,Transactions!$B:$B,"Sell call")/COUNTIFS(Transactions!$D:$D,$A24,Transactions!$B:$B,"Sell call"),""))</f>
        <v/>
      </c>
      <c r="G24" s="8" t="str">
        <f aca="false">IF($A24="","",-SUMIFS(Transactions!$E:$E,Transactions!$D:$D,$A24,Transactions!$B:$B,"Sell call")*100+SUMIFS(Transactions!$E:$E,Transactions!$D:$D,$A24,Transactions!$B:$B,"Sell shares"))</f>
        <v/>
      </c>
      <c r="H24" s="14" t="str">
        <f aca="false">IF($A24="","",IF(SUMIFS(Transactions!$J:$J,Transactions!$D:$D,$A24,Transactions!$B:$B,"Buy shares")&lt;&gt;0,-SUMIFS(Transactions!$J:$J,Transactions!$D:$D,$A24,Transactions!$B:$B,"Buy shares"),IFERROR(INDEX(Lots!$E:$E,MATCH($W24,Lots!$A:$A,0))*-SUMIFS(Transactions!$E:$E,Transactions!$D:$D,$A24,Transactions!$B:$B,"Sell call")*100,0)))</f>
        <v/>
      </c>
      <c r="I24" s="14" t="str">
        <f aca="false">IF($A24="","",SUMIFS(Transactions!$J:$J,Transactions!$D:$D,$A24,Transactions!$B:$B,"Sell call"))</f>
        <v/>
      </c>
      <c r="J24" s="14" t="str">
        <f aca="false">IF($A24="","",-SUMIFS(Transactions!$J:$J,Transactions!$D:$D,$A24,Transactions!$B:$B,"Buy to close"))</f>
        <v/>
      </c>
      <c r="K24" s="23"/>
      <c r="L24" s="23"/>
      <c r="M24" s="23"/>
      <c r="N24" s="21"/>
      <c r="O24" s="28"/>
      <c r="P24" s="14" t="str">
        <f aca="false">IF(OR(C24&lt;&gt;"Open",L24=""),"",L24*100*D24)</f>
        <v/>
      </c>
      <c r="Q24" s="14" t="str">
        <f aca="false">IF(OR(C24&lt;&gt;"Open",P24=""),"",I24-J24-P24)</f>
        <v/>
      </c>
      <c r="R24" s="14" t="str">
        <f aca="false">IF(OR(C24&lt;&gt;"Open",K24=""),"",K24*G24)</f>
        <v/>
      </c>
      <c r="S24" s="14" t="str">
        <f aca="false">IF(OR(R24="",Q24=""),"",R24-H24+Q24)</f>
        <v/>
      </c>
      <c r="T24" s="13" t="str">
        <f aca="false">IF(OR(R24="",Q24="",N(H24)=0),"",(R24+Q24)/H24)</f>
        <v/>
      </c>
      <c r="U24" s="10" t="str">
        <f aca="false">IF(C24&lt;&gt;"Closed","",_xlfn.MAXIFS(Transactions!$A:$A,Transactions!$D:$D,$A24))</f>
        <v/>
      </c>
      <c r="V24" s="14" t="str">
        <f aca="false">IF(C24&lt;&gt;"Closed","",I24-J24)</f>
        <v/>
      </c>
      <c r="W24" s="8" t="str">
        <f aca="false">IF($A24="","",IFERROR(INDEX(Transactions!$O:$O,MATCH($A24,Transactions!$D:$D,0)),""))</f>
        <v/>
      </c>
    </row>
    <row r="25" customFormat="false" ht="15" hidden="false" customHeight="false" outlineLevel="0" collapsed="false">
      <c r="A25" s="21"/>
      <c r="B25" s="8" t="str">
        <f aca="false">IF($A25="","",IFERROR(INDEX(Transactions!$C:$C,MATCH($A25,Transactions!$D:$D,0)),""))</f>
        <v/>
      </c>
      <c r="C25" s="8" t="str">
        <f aca="false">IF($A25="","",IF(D25&gt;0,"Open","Closed"))</f>
        <v/>
      </c>
      <c r="D25" s="8" t="str">
        <f aca="false">IF($A25="","",-SUMIFS(Transactions!$E:$E,Transactions!$D:$D,$A25,Transactions!$B:$B,"Sell call")-SUMIFS(Transactions!$E:$E,Transactions!$D:$D,$A25,Transactions!$B:$B,"Buy to close")-SUMIFS(Transactions!$E:$E,Transactions!$D:$D,$A25,Transactions!$B:$B,"Expired")-SUMIFS(Transactions!$E:$E,Transactions!$D:$D,$A25,Transactions!$B:$B,"Assigned"))</f>
        <v/>
      </c>
      <c r="E25" s="27" t="str">
        <f aca="false">IF($A25="","",IFERROR(SUMIFS(Transactions!$F:$F,Transactions!$D:$D,$A25,Transactions!$B:$B,"Sell call")/COUNTIFS(Transactions!$D:$D,$A25,Transactions!$B:$B,"Sell call"),""))</f>
        <v/>
      </c>
      <c r="F25" s="10" t="str">
        <f aca="false">IF($A25="","",IFERROR(SUMIFS(Transactions!$G:$G,Transactions!$D:$D,$A25,Transactions!$B:$B,"Sell call")/COUNTIFS(Transactions!$D:$D,$A25,Transactions!$B:$B,"Sell call"),""))</f>
        <v/>
      </c>
      <c r="G25" s="8" t="str">
        <f aca="false">IF($A25="","",-SUMIFS(Transactions!$E:$E,Transactions!$D:$D,$A25,Transactions!$B:$B,"Sell call")*100+SUMIFS(Transactions!$E:$E,Transactions!$D:$D,$A25,Transactions!$B:$B,"Sell shares"))</f>
        <v/>
      </c>
      <c r="H25" s="14" t="str">
        <f aca="false">IF($A25="","",IF(SUMIFS(Transactions!$J:$J,Transactions!$D:$D,$A25,Transactions!$B:$B,"Buy shares")&lt;&gt;0,-SUMIFS(Transactions!$J:$J,Transactions!$D:$D,$A25,Transactions!$B:$B,"Buy shares"),IFERROR(INDEX(Lots!$E:$E,MATCH($W25,Lots!$A:$A,0))*-SUMIFS(Transactions!$E:$E,Transactions!$D:$D,$A25,Transactions!$B:$B,"Sell call")*100,0)))</f>
        <v/>
      </c>
      <c r="I25" s="14" t="str">
        <f aca="false">IF($A25="","",SUMIFS(Transactions!$J:$J,Transactions!$D:$D,$A25,Transactions!$B:$B,"Sell call"))</f>
        <v/>
      </c>
      <c r="J25" s="14" t="str">
        <f aca="false">IF($A25="","",-SUMIFS(Transactions!$J:$J,Transactions!$D:$D,$A25,Transactions!$B:$B,"Buy to close"))</f>
        <v/>
      </c>
      <c r="K25" s="23"/>
      <c r="L25" s="23"/>
      <c r="M25" s="23"/>
      <c r="N25" s="21"/>
      <c r="O25" s="28"/>
      <c r="P25" s="14" t="str">
        <f aca="false">IF(OR(C25&lt;&gt;"Open",L25=""),"",L25*100*D25)</f>
        <v/>
      </c>
      <c r="Q25" s="14" t="str">
        <f aca="false">IF(OR(C25&lt;&gt;"Open",P25=""),"",I25-J25-P25)</f>
        <v/>
      </c>
      <c r="R25" s="14" t="str">
        <f aca="false">IF(OR(C25&lt;&gt;"Open",K25=""),"",K25*G25)</f>
        <v/>
      </c>
      <c r="S25" s="14" t="str">
        <f aca="false">IF(OR(R25="",Q25=""),"",R25-H25+Q25)</f>
        <v/>
      </c>
      <c r="T25" s="13" t="str">
        <f aca="false">IF(OR(R25="",Q25="",N(H25)=0),"",(R25+Q25)/H25)</f>
        <v/>
      </c>
      <c r="U25" s="10" t="str">
        <f aca="false">IF(C25&lt;&gt;"Closed","",_xlfn.MAXIFS(Transactions!$A:$A,Transactions!$D:$D,$A25))</f>
        <v/>
      </c>
      <c r="V25" s="14" t="str">
        <f aca="false">IF(C25&lt;&gt;"Closed","",I25-J25)</f>
        <v/>
      </c>
      <c r="W25" s="8" t="str">
        <f aca="false">IF($A25="","",IFERROR(INDEX(Transactions!$O:$O,MATCH($A25,Transactions!$D:$D,0)),""))</f>
        <v/>
      </c>
    </row>
    <row r="26" customFormat="false" ht="15" hidden="false" customHeight="false" outlineLevel="0" collapsed="false">
      <c r="A26" s="21"/>
      <c r="B26" s="8" t="str">
        <f aca="false">IF($A26="","",IFERROR(INDEX(Transactions!$C:$C,MATCH($A26,Transactions!$D:$D,0)),""))</f>
        <v/>
      </c>
      <c r="C26" s="8" t="str">
        <f aca="false">IF($A26="","",IF(D26&gt;0,"Open","Closed"))</f>
        <v/>
      </c>
      <c r="D26" s="8" t="str">
        <f aca="false">IF($A26="","",-SUMIFS(Transactions!$E:$E,Transactions!$D:$D,$A26,Transactions!$B:$B,"Sell call")-SUMIFS(Transactions!$E:$E,Transactions!$D:$D,$A26,Transactions!$B:$B,"Buy to close")-SUMIFS(Transactions!$E:$E,Transactions!$D:$D,$A26,Transactions!$B:$B,"Expired")-SUMIFS(Transactions!$E:$E,Transactions!$D:$D,$A26,Transactions!$B:$B,"Assigned"))</f>
        <v/>
      </c>
      <c r="E26" s="27" t="str">
        <f aca="false">IF($A26="","",IFERROR(SUMIFS(Transactions!$F:$F,Transactions!$D:$D,$A26,Transactions!$B:$B,"Sell call")/COUNTIFS(Transactions!$D:$D,$A26,Transactions!$B:$B,"Sell call"),""))</f>
        <v/>
      </c>
      <c r="F26" s="10" t="str">
        <f aca="false">IF($A26="","",IFERROR(SUMIFS(Transactions!$G:$G,Transactions!$D:$D,$A26,Transactions!$B:$B,"Sell call")/COUNTIFS(Transactions!$D:$D,$A26,Transactions!$B:$B,"Sell call"),""))</f>
        <v/>
      </c>
      <c r="G26" s="8" t="str">
        <f aca="false">IF($A26="","",-SUMIFS(Transactions!$E:$E,Transactions!$D:$D,$A26,Transactions!$B:$B,"Sell call")*100+SUMIFS(Transactions!$E:$E,Transactions!$D:$D,$A26,Transactions!$B:$B,"Sell shares"))</f>
        <v/>
      </c>
      <c r="H26" s="14" t="str">
        <f aca="false">IF($A26="","",IF(SUMIFS(Transactions!$J:$J,Transactions!$D:$D,$A26,Transactions!$B:$B,"Buy shares")&lt;&gt;0,-SUMIFS(Transactions!$J:$J,Transactions!$D:$D,$A26,Transactions!$B:$B,"Buy shares"),IFERROR(INDEX(Lots!$E:$E,MATCH($W26,Lots!$A:$A,0))*-SUMIFS(Transactions!$E:$E,Transactions!$D:$D,$A26,Transactions!$B:$B,"Sell call")*100,0)))</f>
        <v/>
      </c>
      <c r="I26" s="14" t="str">
        <f aca="false">IF($A26="","",SUMIFS(Transactions!$J:$J,Transactions!$D:$D,$A26,Transactions!$B:$B,"Sell call"))</f>
        <v/>
      </c>
      <c r="J26" s="14" t="str">
        <f aca="false">IF($A26="","",-SUMIFS(Transactions!$J:$J,Transactions!$D:$D,$A26,Transactions!$B:$B,"Buy to close"))</f>
        <v/>
      </c>
      <c r="K26" s="23"/>
      <c r="L26" s="23"/>
      <c r="M26" s="23"/>
      <c r="N26" s="21"/>
      <c r="O26" s="28"/>
      <c r="P26" s="14" t="str">
        <f aca="false">IF(OR(C26&lt;&gt;"Open",L26=""),"",L26*100*D26)</f>
        <v/>
      </c>
      <c r="Q26" s="14" t="str">
        <f aca="false">IF(OR(C26&lt;&gt;"Open",P26=""),"",I26-J26-P26)</f>
        <v/>
      </c>
      <c r="R26" s="14" t="str">
        <f aca="false">IF(OR(C26&lt;&gt;"Open",K26=""),"",K26*G26)</f>
        <v/>
      </c>
      <c r="S26" s="14" t="str">
        <f aca="false">IF(OR(R26="",Q26=""),"",R26-H26+Q26)</f>
        <v/>
      </c>
      <c r="T26" s="13" t="str">
        <f aca="false">IF(OR(R26="",Q26="",N(H26)=0),"",(R26+Q26)/H26)</f>
        <v/>
      </c>
      <c r="U26" s="10" t="str">
        <f aca="false">IF(C26&lt;&gt;"Closed","",_xlfn.MAXIFS(Transactions!$A:$A,Transactions!$D:$D,$A26))</f>
        <v/>
      </c>
      <c r="V26" s="14" t="str">
        <f aca="false">IF(C26&lt;&gt;"Closed","",I26-J26)</f>
        <v/>
      </c>
      <c r="W26" s="8" t="str">
        <f aca="false">IF($A26="","",IFERROR(INDEX(Transactions!$O:$O,MATCH($A26,Transactions!$D:$D,0)),""))</f>
        <v/>
      </c>
    </row>
    <row r="27" customFormat="false" ht="15" hidden="false" customHeight="false" outlineLevel="0" collapsed="false">
      <c r="A27" s="21"/>
      <c r="B27" s="8" t="str">
        <f aca="false">IF($A27="","",IFERROR(INDEX(Transactions!$C:$C,MATCH($A27,Transactions!$D:$D,0)),""))</f>
        <v/>
      </c>
      <c r="C27" s="8" t="str">
        <f aca="false">IF($A27="","",IF(D27&gt;0,"Open","Closed"))</f>
        <v/>
      </c>
      <c r="D27" s="8" t="str">
        <f aca="false">IF($A27="","",-SUMIFS(Transactions!$E:$E,Transactions!$D:$D,$A27,Transactions!$B:$B,"Sell call")-SUMIFS(Transactions!$E:$E,Transactions!$D:$D,$A27,Transactions!$B:$B,"Buy to close")-SUMIFS(Transactions!$E:$E,Transactions!$D:$D,$A27,Transactions!$B:$B,"Expired")-SUMIFS(Transactions!$E:$E,Transactions!$D:$D,$A27,Transactions!$B:$B,"Assigned"))</f>
        <v/>
      </c>
      <c r="E27" s="27" t="str">
        <f aca="false">IF($A27="","",IFERROR(SUMIFS(Transactions!$F:$F,Transactions!$D:$D,$A27,Transactions!$B:$B,"Sell call")/COUNTIFS(Transactions!$D:$D,$A27,Transactions!$B:$B,"Sell call"),""))</f>
        <v/>
      </c>
      <c r="F27" s="10" t="str">
        <f aca="false">IF($A27="","",IFERROR(SUMIFS(Transactions!$G:$G,Transactions!$D:$D,$A27,Transactions!$B:$B,"Sell call")/COUNTIFS(Transactions!$D:$D,$A27,Transactions!$B:$B,"Sell call"),""))</f>
        <v/>
      </c>
      <c r="G27" s="8" t="str">
        <f aca="false">IF($A27="","",-SUMIFS(Transactions!$E:$E,Transactions!$D:$D,$A27,Transactions!$B:$B,"Sell call")*100+SUMIFS(Transactions!$E:$E,Transactions!$D:$D,$A27,Transactions!$B:$B,"Sell shares"))</f>
        <v/>
      </c>
      <c r="H27" s="14" t="str">
        <f aca="false">IF($A27="","",IF(SUMIFS(Transactions!$J:$J,Transactions!$D:$D,$A27,Transactions!$B:$B,"Buy shares")&lt;&gt;0,-SUMIFS(Transactions!$J:$J,Transactions!$D:$D,$A27,Transactions!$B:$B,"Buy shares"),IFERROR(INDEX(Lots!$E:$E,MATCH($W27,Lots!$A:$A,0))*-SUMIFS(Transactions!$E:$E,Transactions!$D:$D,$A27,Transactions!$B:$B,"Sell call")*100,0)))</f>
        <v/>
      </c>
      <c r="I27" s="14" t="str">
        <f aca="false">IF($A27="","",SUMIFS(Transactions!$J:$J,Transactions!$D:$D,$A27,Transactions!$B:$B,"Sell call"))</f>
        <v/>
      </c>
      <c r="J27" s="14" t="str">
        <f aca="false">IF($A27="","",-SUMIFS(Transactions!$J:$J,Transactions!$D:$D,$A27,Transactions!$B:$B,"Buy to close"))</f>
        <v/>
      </c>
      <c r="K27" s="23"/>
      <c r="L27" s="23"/>
      <c r="M27" s="23"/>
      <c r="N27" s="21"/>
      <c r="O27" s="28"/>
      <c r="P27" s="14" t="str">
        <f aca="false">IF(OR(C27&lt;&gt;"Open",L27=""),"",L27*100*D27)</f>
        <v/>
      </c>
      <c r="Q27" s="14" t="str">
        <f aca="false">IF(OR(C27&lt;&gt;"Open",P27=""),"",I27-J27-P27)</f>
        <v/>
      </c>
      <c r="R27" s="14" t="str">
        <f aca="false">IF(OR(C27&lt;&gt;"Open",K27=""),"",K27*G27)</f>
        <v/>
      </c>
      <c r="S27" s="14" t="str">
        <f aca="false">IF(OR(R27="",Q27=""),"",R27-H27+Q27)</f>
        <v/>
      </c>
      <c r="T27" s="13" t="str">
        <f aca="false">IF(OR(R27="",Q27="",N(H27)=0),"",(R27+Q27)/H27)</f>
        <v/>
      </c>
      <c r="U27" s="10" t="str">
        <f aca="false">IF(C27&lt;&gt;"Closed","",_xlfn.MAXIFS(Transactions!$A:$A,Transactions!$D:$D,$A27))</f>
        <v/>
      </c>
      <c r="V27" s="14" t="str">
        <f aca="false">IF(C27&lt;&gt;"Closed","",I27-J27)</f>
        <v/>
      </c>
      <c r="W27" s="8" t="str">
        <f aca="false">IF($A27="","",IFERROR(INDEX(Transactions!$O:$O,MATCH($A27,Transactions!$D:$D,0)),""))</f>
        <v/>
      </c>
    </row>
    <row r="28" customFormat="false" ht="15" hidden="false" customHeight="false" outlineLevel="0" collapsed="false">
      <c r="A28" s="21"/>
      <c r="B28" s="8" t="str">
        <f aca="false">IF($A28="","",IFERROR(INDEX(Transactions!$C:$C,MATCH($A28,Transactions!$D:$D,0)),""))</f>
        <v/>
      </c>
      <c r="C28" s="8" t="str">
        <f aca="false">IF($A28="","",IF(D28&gt;0,"Open","Closed"))</f>
        <v/>
      </c>
      <c r="D28" s="8" t="str">
        <f aca="false">IF($A28="","",-SUMIFS(Transactions!$E:$E,Transactions!$D:$D,$A28,Transactions!$B:$B,"Sell call")-SUMIFS(Transactions!$E:$E,Transactions!$D:$D,$A28,Transactions!$B:$B,"Buy to close")-SUMIFS(Transactions!$E:$E,Transactions!$D:$D,$A28,Transactions!$B:$B,"Expired")-SUMIFS(Transactions!$E:$E,Transactions!$D:$D,$A28,Transactions!$B:$B,"Assigned"))</f>
        <v/>
      </c>
      <c r="E28" s="27" t="str">
        <f aca="false">IF($A28="","",IFERROR(SUMIFS(Transactions!$F:$F,Transactions!$D:$D,$A28,Transactions!$B:$B,"Sell call")/COUNTIFS(Transactions!$D:$D,$A28,Transactions!$B:$B,"Sell call"),""))</f>
        <v/>
      </c>
      <c r="F28" s="10" t="str">
        <f aca="false">IF($A28="","",IFERROR(SUMIFS(Transactions!$G:$G,Transactions!$D:$D,$A28,Transactions!$B:$B,"Sell call")/COUNTIFS(Transactions!$D:$D,$A28,Transactions!$B:$B,"Sell call"),""))</f>
        <v/>
      </c>
      <c r="G28" s="8" t="str">
        <f aca="false">IF($A28="","",-SUMIFS(Transactions!$E:$E,Transactions!$D:$D,$A28,Transactions!$B:$B,"Sell call")*100+SUMIFS(Transactions!$E:$E,Transactions!$D:$D,$A28,Transactions!$B:$B,"Sell shares"))</f>
        <v/>
      </c>
      <c r="H28" s="14" t="str">
        <f aca="false">IF($A28="","",IF(SUMIFS(Transactions!$J:$J,Transactions!$D:$D,$A28,Transactions!$B:$B,"Buy shares")&lt;&gt;0,-SUMIFS(Transactions!$J:$J,Transactions!$D:$D,$A28,Transactions!$B:$B,"Buy shares"),IFERROR(INDEX(Lots!$E:$E,MATCH($W28,Lots!$A:$A,0))*-SUMIFS(Transactions!$E:$E,Transactions!$D:$D,$A28,Transactions!$B:$B,"Sell call")*100,0)))</f>
        <v/>
      </c>
      <c r="I28" s="14" t="str">
        <f aca="false">IF($A28="","",SUMIFS(Transactions!$J:$J,Transactions!$D:$D,$A28,Transactions!$B:$B,"Sell call"))</f>
        <v/>
      </c>
      <c r="J28" s="14" t="str">
        <f aca="false">IF($A28="","",-SUMIFS(Transactions!$J:$J,Transactions!$D:$D,$A28,Transactions!$B:$B,"Buy to close"))</f>
        <v/>
      </c>
      <c r="K28" s="23"/>
      <c r="L28" s="23"/>
      <c r="M28" s="23"/>
      <c r="N28" s="21"/>
      <c r="O28" s="28"/>
      <c r="P28" s="14" t="str">
        <f aca="false">IF(OR(C28&lt;&gt;"Open",L28=""),"",L28*100*D28)</f>
        <v/>
      </c>
      <c r="Q28" s="14" t="str">
        <f aca="false">IF(OR(C28&lt;&gt;"Open",P28=""),"",I28-J28-P28)</f>
        <v/>
      </c>
      <c r="R28" s="14" t="str">
        <f aca="false">IF(OR(C28&lt;&gt;"Open",K28=""),"",K28*G28)</f>
        <v/>
      </c>
      <c r="S28" s="14" t="str">
        <f aca="false">IF(OR(R28="",Q28=""),"",R28-H28+Q28)</f>
        <v/>
      </c>
      <c r="T28" s="13" t="str">
        <f aca="false">IF(OR(R28="",Q28="",N(H28)=0),"",(R28+Q28)/H28)</f>
        <v/>
      </c>
      <c r="U28" s="10" t="str">
        <f aca="false">IF(C28&lt;&gt;"Closed","",_xlfn.MAXIFS(Transactions!$A:$A,Transactions!$D:$D,$A28))</f>
        <v/>
      </c>
      <c r="V28" s="14" t="str">
        <f aca="false">IF(C28&lt;&gt;"Closed","",I28-J28)</f>
        <v/>
      </c>
      <c r="W28" s="8" t="str">
        <f aca="false">IF($A28="","",IFERROR(INDEX(Transactions!$O:$O,MATCH($A28,Transactions!$D:$D,0)),""))</f>
        <v/>
      </c>
    </row>
    <row r="29" customFormat="false" ht="15" hidden="false" customHeight="false" outlineLevel="0" collapsed="false">
      <c r="A29" s="21"/>
      <c r="B29" s="8" t="str">
        <f aca="false">IF($A29="","",IFERROR(INDEX(Transactions!$C:$C,MATCH($A29,Transactions!$D:$D,0)),""))</f>
        <v/>
      </c>
      <c r="C29" s="8" t="str">
        <f aca="false">IF($A29="","",IF(D29&gt;0,"Open","Closed"))</f>
        <v/>
      </c>
      <c r="D29" s="8" t="str">
        <f aca="false">IF($A29="","",-SUMIFS(Transactions!$E:$E,Transactions!$D:$D,$A29,Transactions!$B:$B,"Sell call")-SUMIFS(Transactions!$E:$E,Transactions!$D:$D,$A29,Transactions!$B:$B,"Buy to close")-SUMIFS(Transactions!$E:$E,Transactions!$D:$D,$A29,Transactions!$B:$B,"Expired")-SUMIFS(Transactions!$E:$E,Transactions!$D:$D,$A29,Transactions!$B:$B,"Assigned"))</f>
        <v/>
      </c>
      <c r="E29" s="27" t="str">
        <f aca="false">IF($A29="","",IFERROR(SUMIFS(Transactions!$F:$F,Transactions!$D:$D,$A29,Transactions!$B:$B,"Sell call")/COUNTIFS(Transactions!$D:$D,$A29,Transactions!$B:$B,"Sell call"),""))</f>
        <v/>
      </c>
      <c r="F29" s="10" t="str">
        <f aca="false">IF($A29="","",IFERROR(SUMIFS(Transactions!$G:$G,Transactions!$D:$D,$A29,Transactions!$B:$B,"Sell call")/COUNTIFS(Transactions!$D:$D,$A29,Transactions!$B:$B,"Sell call"),""))</f>
        <v/>
      </c>
      <c r="G29" s="8" t="str">
        <f aca="false">IF($A29="","",-SUMIFS(Transactions!$E:$E,Transactions!$D:$D,$A29,Transactions!$B:$B,"Sell call")*100+SUMIFS(Transactions!$E:$E,Transactions!$D:$D,$A29,Transactions!$B:$B,"Sell shares"))</f>
        <v/>
      </c>
      <c r="H29" s="14" t="str">
        <f aca="false">IF($A29="","",IF(SUMIFS(Transactions!$J:$J,Transactions!$D:$D,$A29,Transactions!$B:$B,"Buy shares")&lt;&gt;0,-SUMIFS(Transactions!$J:$J,Transactions!$D:$D,$A29,Transactions!$B:$B,"Buy shares"),IFERROR(INDEX(Lots!$E:$E,MATCH($W29,Lots!$A:$A,0))*-SUMIFS(Transactions!$E:$E,Transactions!$D:$D,$A29,Transactions!$B:$B,"Sell call")*100,0)))</f>
        <v/>
      </c>
      <c r="I29" s="14" t="str">
        <f aca="false">IF($A29="","",SUMIFS(Transactions!$J:$J,Transactions!$D:$D,$A29,Transactions!$B:$B,"Sell call"))</f>
        <v/>
      </c>
      <c r="J29" s="14" t="str">
        <f aca="false">IF($A29="","",-SUMIFS(Transactions!$J:$J,Transactions!$D:$D,$A29,Transactions!$B:$B,"Buy to close"))</f>
        <v/>
      </c>
      <c r="K29" s="23"/>
      <c r="L29" s="23"/>
      <c r="M29" s="23"/>
      <c r="N29" s="21"/>
      <c r="O29" s="28"/>
      <c r="P29" s="14" t="str">
        <f aca="false">IF(OR(C29&lt;&gt;"Open",L29=""),"",L29*100*D29)</f>
        <v/>
      </c>
      <c r="Q29" s="14" t="str">
        <f aca="false">IF(OR(C29&lt;&gt;"Open",P29=""),"",I29-J29-P29)</f>
        <v/>
      </c>
      <c r="R29" s="14" t="str">
        <f aca="false">IF(OR(C29&lt;&gt;"Open",K29=""),"",K29*G29)</f>
        <v/>
      </c>
      <c r="S29" s="14" t="str">
        <f aca="false">IF(OR(R29="",Q29=""),"",R29-H29+Q29)</f>
        <v/>
      </c>
      <c r="T29" s="13" t="str">
        <f aca="false">IF(OR(R29="",Q29="",N(H29)=0),"",(R29+Q29)/H29)</f>
        <v/>
      </c>
      <c r="U29" s="10" t="str">
        <f aca="false">IF(C29&lt;&gt;"Closed","",_xlfn.MAXIFS(Transactions!$A:$A,Transactions!$D:$D,$A29))</f>
        <v/>
      </c>
      <c r="V29" s="14" t="str">
        <f aca="false">IF(C29&lt;&gt;"Closed","",I29-J29)</f>
        <v/>
      </c>
      <c r="W29" s="8" t="str">
        <f aca="false">IF($A29="","",IFERROR(INDEX(Transactions!$O:$O,MATCH($A29,Transactions!$D:$D,0)),""))</f>
        <v/>
      </c>
    </row>
    <row r="30" customFormat="false" ht="15" hidden="false" customHeight="false" outlineLevel="0" collapsed="false">
      <c r="A30" s="21"/>
      <c r="B30" s="8" t="str">
        <f aca="false">IF($A30="","",IFERROR(INDEX(Transactions!$C:$C,MATCH($A30,Transactions!$D:$D,0)),""))</f>
        <v/>
      </c>
      <c r="C30" s="8" t="str">
        <f aca="false">IF($A30="","",IF(D30&gt;0,"Open","Closed"))</f>
        <v/>
      </c>
      <c r="D30" s="8" t="str">
        <f aca="false">IF($A30="","",-SUMIFS(Transactions!$E:$E,Transactions!$D:$D,$A30,Transactions!$B:$B,"Sell call")-SUMIFS(Transactions!$E:$E,Transactions!$D:$D,$A30,Transactions!$B:$B,"Buy to close")-SUMIFS(Transactions!$E:$E,Transactions!$D:$D,$A30,Transactions!$B:$B,"Expired")-SUMIFS(Transactions!$E:$E,Transactions!$D:$D,$A30,Transactions!$B:$B,"Assigned"))</f>
        <v/>
      </c>
      <c r="E30" s="27" t="str">
        <f aca="false">IF($A30="","",IFERROR(SUMIFS(Transactions!$F:$F,Transactions!$D:$D,$A30,Transactions!$B:$B,"Sell call")/COUNTIFS(Transactions!$D:$D,$A30,Transactions!$B:$B,"Sell call"),""))</f>
        <v/>
      </c>
      <c r="F30" s="10" t="str">
        <f aca="false">IF($A30="","",IFERROR(SUMIFS(Transactions!$G:$G,Transactions!$D:$D,$A30,Transactions!$B:$B,"Sell call")/COUNTIFS(Transactions!$D:$D,$A30,Transactions!$B:$B,"Sell call"),""))</f>
        <v/>
      </c>
      <c r="G30" s="8" t="str">
        <f aca="false">IF($A30="","",-SUMIFS(Transactions!$E:$E,Transactions!$D:$D,$A30,Transactions!$B:$B,"Sell call")*100+SUMIFS(Transactions!$E:$E,Transactions!$D:$D,$A30,Transactions!$B:$B,"Sell shares"))</f>
        <v/>
      </c>
      <c r="H30" s="14" t="str">
        <f aca="false">IF($A30="","",IF(SUMIFS(Transactions!$J:$J,Transactions!$D:$D,$A30,Transactions!$B:$B,"Buy shares")&lt;&gt;0,-SUMIFS(Transactions!$J:$J,Transactions!$D:$D,$A30,Transactions!$B:$B,"Buy shares"),IFERROR(INDEX(Lots!$E:$E,MATCH($W30,Lots!$A:$A,0))*-SUMIFS(Transactions!$E:$E,Transactions!$D:$D,$A30,Transactions!$B:$B,"Sell call")*100,0)))</f>
        <v/>
      </c>
      <c r="I30" s="14" t="str">
        <f aca="false">IF($A30="","",SUMIFS(Transactions!$J:$J,Transactions!$D:$D,$A30,Transactions!$B:$B,"Sell call"))</f>
        <v/>
      </c>
      <c r="J30" s="14" t="str">
        <f aca="false">IF($A30="","",-SUMIFS(Transactions!$J:$J,Transactions!$D:$D,$A30,Transactions!$B:$B,"Buy to close"))</f>
        <v/>
      </c>
      <c r="K30" s="23"/>
      <c r="L30" s="23"/>
      <c r="M30" s="23"/>
      <c r="N30" s="21"/>
      <c r="O30" s="28"/>
      <c r="P30" s="14" t="str">
        <f aca="false">IF(OR(C30&lt;&gt;"Open",L30=""),"",L30*100*D30)</f>
        <v/>
      </c>
      <c r="Q30" s="14" t="str">
        <f aca="false">IF(OR(C30&lt;&gt;"Open",P30=""),"",I30-J30-P30)</f>
        <v/>
      </c>
      <c r="R30" s="14" t="str">
        <f aca="false">IF(OR(C30&lt;&gt;"Open",K30=""),"",K30*G30)</f>
        <v/>
      </c>
      <c r="S30" s="14" t="str">
        <f aca="false">IF(OR(R30="",Q30=""),"",R30-H30+Q30)</f>
        <v/>
      </c>
      <c r="T30" s="13" t="str">
        <f aca="false">IF(OR(R30="",Q30="",N(H30)=0),"",(R30+Q30)/H30)</f>
        <v/>
      </c>
      <c r="U30" s="10" t="str">
        <f aca="false">IF(C30&lt;&gt;"Closed","",_xlfn.MAXIFS(Transactions!$A:$A,Transactions!$D:$D,$A30))</f>
        <v/>
      </c>
      <c r="V30" s="14" t="str">
        <f aca="false">IF(C30&lt;&gt;"Closed","",I30-J30)</f>
        <v/>
      </c>
      <c r="W30" s="8" t="str">
        <f aca="false">IF($A30="","",IFERROR(INDEX(Transactions!$O:$O,MATCH($A30,Transactions!$D:$D,0)),""))</f>
        <v/>
      </c>
    </row>
    <row r="31" customFormat="false" ht="15" hidden="false" customHeight="false" outlineLevel="0" collapsed="false">
      <c r="A31" s="21"/>
      <c r="B31" s="8" t="str">
        <f aca="false">IF($A31="","",IFERROR(INDEX(Transactions!$C:$C,MATCH($A31,Transactions!$D:$D,0)),""))</f>
        <v/>
      </c>
      <c r="C31" s="8" t="str">
        <f aca="false">IF($A31="","",IF(D31&gt;0,"Open","Closed"))</f>
        <v/>
      </c>
      <c r="D31" s="8" t="str">
        <f aca="false">IF($A31="","",-SUMIFS(Transactions!$E:$E,Transactions!$D:$D,$A31,Transactions!$B:$B,"Sell call")-SUMIFS(Transactions!$E:$E,Transactions!$D:$D,$A31,Transactions!$B:$B,"Buy to close")-SUMIFS(Transactions!$E:$E,Transactions!$D:$D,$A31,Transactions!$B:$B,"Expired")-SUMIFS(Transactions!$E:$E,Transactions!$D:$D,$A31,Transactions!$B:$B,"Assigned"))</f>
        <v/>
      </c>
      <c r="E31" s="27" t="str">
        <f aca="false">IF($A31="","",IFERROR(SUMIFS(Transactions!$F:$F,Transactions!$D:$D,$A31,Transactions!$B:$B,"Sell call")/COUNTIFS(Transactions!$D:$D,$A31,Transactions!$B:$B,"Sell call"),""))</f>
        <v/>
      </c>
      <c r="F31" s="10" t="str">
        <f aca="false">IF($A31="","",IFERROR(SUMIFS(Transactions!$G:$G,Transactions!$D:$D,$A31,Transactions!$B:$B,"Sell call")/COUNTIFS(Transactions!$D:$D,$A31,Transactions!$B:$B,"Sell call"),""))</f>
        <v/>
      </c>
      <c r="G31" s="8" t="str">
        <f aca="false">IF($A31="","",-SUMIFS(Transactions!$E:$E,Transactions!$D:$D,$A31,Transactions!$B:$B,"Sell call")*100+SUMIFS(Transactions!$E:$E,Transactions!$D:$D,$A31,Transactions!$B:$B,"Sell shares"))</f>
        <v/>
      </c>
      <c r="H31" s="14" t="str">
        <f aca="false">IF($A31="","",IF(SUMIFS(Transactions!$J:$J,Transactions!$D:$D,$A31,Transactions!$B:$B,"Buy shares")&lt;&gt;0,-SUMIFS(Transactions!$J:$J,Transactions!$D:$D,$A31,Transactions!$B:$B,"Buy shares"),IFERROR(INDEX(Lots!$E:$E,MATCH($W31,Lots!$A:$A,0))*-SUMIFS(Transactions!$E:$E,Transactions!$D:$D,$A31,Transactions!$B:$B,"Sell call")*100,0)))</f>
        <v/>
      </c>
      <c r="I31" s="14" t="str">
        <f aca="false">IF($A31="","",SUMIFS(Transactions!$J:$J,Transactions!$D:$D,$A31,Transactions!$B:$B,"Sell call"))</f>
        <v/>
      </c>
      <c r="J31" s="14" t="str">
        <f aca="false">IF($A31="","",-SUMIFS(Transactions!$J:$J,Transactions!$D:$D,$A31,Transactions!$B:$B,"Buy to close"))</f>
        <v/>
      </c>
      <c r="K31" s="23"/>
      <c r="L31" s="23"/>
      <c r="M31" s="23"/>
      <c r="N31" s="21"/>
      <c r="O31" s="28"/>
      <c r="P31" s="14" t="str">
        <f aca="false">IF(OR(C31&lt;&gt;"Open",L31=""),"",L31*100*D31)</f>
        <v/>
      </c>
      <c r="Q31" s="14" t="str">
        <f aca="false">IF(OR(C31&lt;&gt;"Open",P31=""),"",I31-J31-P31)</f>
        <v/>
      </c>
      <c r="R31" s="14" t="str">
        <f aca="false">IF(OR(C31&lt;&gt;"Open",K31=""),"",K31*G31)</f>
        <v/>
      </c>
      <c r="S31" s="14" t="str">
        <f aca="false">IF(OR(R31="",Q31=""),"",R31-H31+Q31)</f>
        <v/>
      </c>
      <c r="T31" s="13" t="str">
        <f aca="false">IF(OR(R31="",Q31="",N(H31)=0),"",(R31+Q31)/H31)</f>
        <v/>
      </c>
      <c r="U31" s="10" t="str">
        <f aca="false">IF(C31&lt;&gt;"Closed","",_xlfn.MAXIFS(Transactions!$A:$A,Transactions!$D:$D,$A31))</f>
        <v/>
      </c>
      <c r="V31" s="14" t="str">
        <f aca="false">IF(C31&lt;&gt;"Closed","",I31-J31)</f>
        <v/>
      </c>
      <c r="W31" s="8" t="str">
        <f aca="false">IF($A31="","",IFERROR(INDEX(Transactions!$O:$O,MATCH($A31,Transactions!$D:$D,0)),""))</f>
        <v/>
      </c>
    </row>
    <row r="32" customFormat="false" ht="15" hidden="false" customHeight="false" outlineLevel="0" collapsed="false">
      <c r="A32" s="21"/>
      <c r="B32" s="8" t="str">
        <f aca="false">IF($A32="","",IFERROR(INDEX(Transactions!$C:$C,MATCH($A32,Transactions!$D:$D,0)),""))</f>
        <v/>
      </c>
      <c r="C32" s="8" t="str">
        <f aca="false">IF($A32="","",IF(D32&gt;0,"Open","Closed"))</f>
        <v/>
      </c>
      <c r="D32" s="8" t="str">
        <f aca="false">IF($A32="","",-SUMIFS(Transactions!$E:$E,Transactions!$D:$D,$A32,Transactions!$B:$B,"Sell call")-SUMIFS(Transactions!$E:$E,Transactions!$D:$D,$A32,Transactions!$B:$B,"Buy to close")-SUMIFS(Transactions!$E:$E,Transactions!$D:$D,$A32,Transactions!$B:$B,"Expired")-SUMIFS(Transactions!$E:$E,Transactions!$D:$D,$A32,Transactions!$B:$B,"Assigned"))</f>
        <v/>
      </c>
      <c r="E32" s="27" t="str">
        <f aca="false">IF($A32="","",IFERROR(SUMIFS(Transactions!$F:$F,Transactions!$D:$D,$A32,Transactions!$B:$B,"Sell call")/COUNTIFS(Transactions!$D:$D,$A32,Transactions!$B:$B,"Sell call"),""))</f>
        <v/>
      </c>
      <c r="F32" s="10" t="str">
        <f aca="false">IF($A32="","",IFERROR(SUMIFS(Transactions!$G:$G,Transactions!$D:$D,$A32,Transactions!$B:$B,"Sell call")/COUNTIFS(Transactions!$D:$D,$A32,Transactions!$B:$B,"Sell call"),""))</f>
        <v/>
      </c>
      <c r="G32" s="8" t="str">
        <f aca="false">IF($A32="","",-SUMIFS(Transactions!$E:$E,Transactions!$D:$D,$A32,Transactions!$B:$B,"Sell call")*100+SUMIFS(Transactions!$E:$E,Transactions!$D:$D,$A32,Transactions!$B:$B,"Sell shares"))</f>
        <v/>
      </c>
      <c r="H32" s="14" t="str">
        <f aca="false">IF($A32="","",IF(SUMIFS(Transactions!$J:$J,Transactions!$D:$D,$A32,Transactions!$B:$B,"Buy shares")&lt;&gt;0,-SUMIFS(Transactions!$J:$J,Transactions!$D:$D,$A32,Transactions!$B:$B,"Buy shares"),IFERROR(INDEX(Lots!$E:$E,MATCH($W32,Lots!$A:$A,0))*-SUMIFS(Transactions!$E:$E,Transactions!$D:$D,$A32,Transactions!$B:$B,"Sell call")*100,0)))</f>
        <v/>
      </c>
      <c r="I32" s="14" t="str">
        <f aca="false">IF($A32="","",SUMIFS(Transactions!$J:$J,Transactions!$D:$D,$A32,Transactions!$B:$B,"Sell call"))</f>
        <v/>
      </c>
      <c r="J32" s="14" t="str">
        <f aca="false">IF($A32="","",-SUMIFS(Transactions!$J:$J,Transactions!$D:$D,$A32,Transactions!$B:$B,"Buy to close"))</f>
        <v/>
      </c>
      <c r="K32" s="23"/>
      <c r="L32" s="23"/>
      <c r="M32" s="23"/>
      <c r="N32" s="21"/>
      <c r="O32" s="28"/>
      <c r="P32" s="14" t="str">
        <f aca="false">IF(OR(C32&lt;&gt;"Open",L32=""),"",L32*100*D32)</f>
        <v/>
      </c>
      <c r="Q32" s="14" t="str">
        <f aca="false">IF(OR(C32&lt;&gt;"Open",P32=""),"",I32-J32-P32)</f>
        <v/>
      </c>
      <c r="R32" s="14" t="str">
        <f aca="false">IF(OR(C32&lt;&gt;"Open",K32=""),"",K32*G32)</f>
        <v/>
      </c>
      <c r="S32" s="14" t="str">
        <f aca="false">IF(OR(R32="",Q32=""),"",R32-H32+Q32)</f>
        <v/>
      </c>
      <c r="T32" s="13" t="str">
        <f aca="false">IF(OR(R32="",Q32="",N(H32)=0),"",(R32+Q32)/H32)</f>
        <v/>
      </c>
      <c r="U32" s="10" t="str">
        <f aca="false">IF(C32&lt;&gt;"Closed","",_xlfn.MAXIFS(Transactions!$A:$A,Transactions!$D:$D,$A32))</f>
        <v/>
      </c>
      <c r="V32" s="14" t="str">
        <f aca="false">IF(C32&lt;&gt;"Closed","",I32-J32)</f>
        <v/>
      </c>
      <c r="W32" s="8" t="str">
        <f aca="false">IF($A32="","",IFERROR(INDEX(Transactions!$O:$O,MATCH($A32,Transactions!$D:$D,0)),""))</f>
        <v/>
      </c>
    </row>
    <row r="33" customFormat="false" ht="15" hidden="false" customHeight="false" outlineLevel="0" collapsed="false">
      <c r="A33" s="21"/>
      <c r="B33" s="8" t="str">
        <f aca="false">IF($A33="","",IFERROR(INDEX(Transactions!$C:$C,MATCH($A33,Transactions!$D:$D,0)),""))</f>
        <v/>
      </c>
      <c r="C33" s="8" t="str">
        <f aca="false">IF($A33="","",IF(D33&gt;0,"Open","Closed"))</f>
        <v/>
      </c>
      <c r="D33" s="8" t="str">
        <f aca="false">IF($A33="","",-SUMIFS(Transactions!$E:$E,Transactions!$D:$D,$A33,Transactions!$B:$B,"Sell call")-SUMIFS(Transactions!$E:$E,Transactions!$D:$D,$A33,Transactions!$B:$B,"Buy to close")-SUMIFS(Transactions!$E:$E,Transactions!$D:$D,$A33,Transactions!$B:$B,"Expired")-SUMIFS(Transactions!$E:$E,Transactions!$D:$D,$A33,Transactions!$B:$B,"Assigned"))</f>
        <v/>
      </c>
      <c r="E33" s="27" t="str">
        <f aca="false">IF($A33="","",IFERROR(SUMIFS(Transactions!$F:$F,Transactions!$D:$D,$A33,Transactions!$B:$B,"Sell call")/COUNTIFS(Transactions!$D:$D,$A33,Transactions!$B:$B,"Sell call"),""))</f>
        <v/>
      </c>
      <c r="F33" s="10" t="str">
        <f aca="false">IF($A33="","",IFERROR(SUMIFS(Transactions!$G:$G,Transactions!$D:$D,$A33,Transactions!$B:$B,"Sell call")/COUNTIFS(Transactions!$D:$D,$A33,Transactions!$B:$B,"Sell call"),""))</f>
        <v/>
      </c>
      <c r="G33" s="8" t="str">
        <f aca="false">IF($A33="","",-SUMIFS(Transactions!$E:$E,Transactions!$D:$D,$A33,Transactions!$B:$B,"Sell call")*100+SUMIFS(Transactions!$E:$E,Transactions!$D:$D,$A33,Transactions!$B:$B,"Sell shares"))</f>
        <v/>
      </c>
      <c r="H33" s="14" t="str">
        <f aca="false">IF($A33="","",IF(SUMIFS(Transactions!$J:$J,Transactions!$D:$D,$A33,Transactions!$B:$B,"Buy shares")&lt;&gt;0,-SUMIFS(Transactions!$J:$J,Transactions!$D:$D,$A33,Transactions!$B:$B,"Buy shares"),IFERROR(INDEX(Lots!$E:$E,MATCH($W33,Lots!$A:$A,0))*-SUMIFS(Transactions!$E:$E,Transactions!$D:$D,$A33,Transactions!$B:$B,"Sell call")*100,0)))</f>
        <v/>
      </c>
      <c r="I33" s="14" t="str">
        <f aca="false">IF($A33="","",SUMIFS(Transactions!$J:$J,Transactions!$D:$D,$A33,Transactions!$B:$B,"Sell call"))</f>
        <v/>
      </c>
      <c r="J33" s="14" t="str">
        <f aca="false">IF($A33="","",-SUMIFS(Transactions!$J:$J,Transactions!$D:$D,$A33,Transactions!$B:$B,"Buy to close"))</f>
        <v/>
      </c>
      <c r="K33" s="23"/>
      <c r="L33" s="23"/>
      <c r="M33" s="23"/>
      <c r="N33" s="21"/>
      <c r="O33" s="28"/>
      <c r="P33" s="14" t="str">
        <f aca="false">IF(OR(C33&lt;&gt;"Open",L33=""),"",L33*100*D33)</f>
        <v/>
      </c>
      <c r="Q33" s="14" t="str">
        <f aca="false">IF(OR(C33&lt;&gt;"Open",P33=""),"",I33-J33-P33)</f>
        <v/>
      </c>
      <c r="R33" s="14" t="str">
        <f aca="false">IF(OR(C33&lt;&gt;"Open",K33=""),"",K33*G33)</f>
        <v/>
      </c>
      <c r="S33" s="14" t="str">
        <f aca="false">IF(OR(R33="",Q33=""),"",R33-H33+Q33)</f>
        <v/>
      </c>
      <c r="T33" s="13" t="str">
        <f aca="false">IF(OR(R33="",Q33="",N(H33)=0),"",(R33+Q33)/H33)</f>
        <v/>
      </c>
      <c r="U33" s="10" t="str">
        <f aca="false">IF(C33&lt;&gt;"Closed","",_xlfn.MAXIFS(Transactions!$A:$A,Transactions!$D:$D,$A33))</f>
        <v/>
      </c>
      <c r="V33" s="14" t="str">
        <f aca="false">IF(C33&lt;&gt;"Closed","",I33-J33)</f>
        <v/>
      </c>
      <c r="W33" s="8" t="str">
        <f aca="false">IF($A33="","",IFERROR(INDEX(Transactions!$O:$O,MATCH($A33,Transactions!$D:$D,0)),""))</f>
        <v/>
      </c>
    </row>
    <row r="34" customFormat="false" ht="15" hidden="false" customHeight="false" outlineLevel="0" collapsed="false">
      <c r="A34" s="21"/>
      <c r="B34" s="8" t="str">
        <f aca="false">IF($A34="","",IFERROR(INDEX(Transactions!$C:$C,MATCH($A34,Transactions!$D:$D,0)),""))</f>
        <v/>
      </c>
      <c r="C34" s="8" t="str">
        <f aca="false">IF($A34="","",IF(D34&gt;0,"Open","Closed"))</f>
        <v/>
      </c>
      <c r="D34" s="8" t="str">
        <f aca="false">IF($A34="","",-SUMIFS(Transactions!$E:$E,Transactions!$D:$D,$A34,Transactions!$B:$B,"Sell call")-SUMIFS(Transactions!$E:$E,Transactions!$D:$D,$A34,Transactions!$B:$B,"Buy to close")-SUMIFS(Transactions!$E:$E,Transactions!$D:$D,$A34,Transactions!$B:$B,"Expired")-SUMIFS(Transactions!$E:$E,Transactions!$D:$D,$A34,Transactions!$B:$B,"Assigned"))</f>
        <v/>
      </c>
      <c r="E34" s="27" t="str">
        <f aca="false">IF($A34="","",IFERROR(SUMIFS(Transactions!$F:$F,Transactions!$D:$D,$A34,Transactions!$B:$B,"Sell call")/COUNTIFS(Transactions!$D:$D,$A34,Transactions!$B:$B,"Sell call"),""))</f>
        <v/>
      </c>
      <c r="F34" s="10" t="str">
        <f aca="false">IF($A34="","",IFERROR(SUMIFS(Transactions!$G:$G,Transactions!$D:$D,$A34,Transactions!$B:$B,"Sell call")/COUNTIFS(Transactions!$D:$D,$A34,Transactions!$B:$B,"Sell call"),""))</f>
        <v/>
      </c>
      <c r="G34" s="8" t="str">
        <f aca="false">IF($A34="","",-SUMIFS(Transactions!$E:$E,Transactions!$D:$D,$A34,Transactions!$B:$B,"Sell call")*100+SUMIFS(Transactions!$E:$E,Transactions!$D:$D,$A34,Transactions!$B:$B,"Sell shares"))</f>
        <v/>
      </c>
      <c r="H34" s="14" t="str">
        <f aca="false">IF($A34="","",IF(SUMIFS(Transactions!$J:$J,Transactions!$D:$D,$A34,Transactions!$B:$B,"Buy shares")&lt;&gt;0,-SUMIFS(Transactions!$J:$J,Transactions!$D:$D,$A34,Transactions!$B:$B,"Buy shares"),IFERROR(INDEX(Lots!$E:$E,MATCH($W34,Lots!$A:$A,0))*-SUMIFS(Transactions!$E:$E,Transactions!$D:$D,$A34,Transactions!$B:$B,"Sell call")*100,0)))</f>
        <v/>
      </c>
      <c r="I34" s="14" t="str">
        <f aca="false">IF($A34="","",SUMIFS(Transactions!$J:$J,Transactions!$D:$D,$A34,Transactions!$B:$B,"Sell call"))</f>
        <v/>
      </c>
      <c r="J34" s="14" t="str">
        <f aca="false">IF($A34="","",-SUMIFS(Transactions!$J:$J,Transactions!$D:$D,$A34,Transactions!$B:$B,"Buy to close"))</f>
        <v/>
      </c>
      <c r="K34" s="23"/>
      <c r="L34" s="23"/>
      <c r="M34" s="23"/>
      <c r="N34" s="21"/>
      <c r="O34" s="28"/>
      <c r="P34" s="14" t="str">
        <f aca="false">IF(OR(C34&lt;&gt;"Open",L34=""),"",L34*100*D34)</f>
        <v/>
      </c>
      <c r="Q34" s="14" t="str">
        <f aca="false">IF(OR(C34&lt;&gt;"Open",P34=""),"",I34-J34-P34)</f>
        <v/>
      </c>
      <c r="R34" s="14" t="str">
        <f aca="false">IF(OR(C34&lt;&gt;"Open",K34=""),"",K34*G34)</f>
        <v/>
      </c>
      <c r="S34" s="14" t="str">
        <f aca="false">IF(OR(R34="",Q34=""),"",R34-H34+Q34)</f>
        <v/>
      </c>
      <c r="T34" s="13" t="str">
        <f aca="false">IF(OR(R34="",Q34="",N(H34)=0),"",(R34+Q34)/H34)</f>
        <v/>
      </c>
      <c r="U34" s="10" t="str">
        <f aca="false">IF(C34&lt;&gt;"Closed","",_xlfn.MAXIFS(Transactions!$A:$A,Transactions!$D:$D,$A34))</f>
        <v/>
      </c>
      <c r="V34" s="14" t="str">
        <f aca="false">IF(C34&lt;&gt;"Closed","",I34-J34)</f>
        <v/>
      </c>
      <c r="W34" s="8" t="str">
        <f aca="false">IF($A34="","",IFERROR(INDEX(Transactions!$O:$O,MATCH($A34,Transactions!$D:$D,0)),""))</f>
        <v/>
      </c>
    </row>
    <row r="35" customFormat="false" ht="15" hidden="false" customHeight="false" outlineLevel="0" collapsed="false">
      <c r="A35" s="21"/>
      <c r="B35" s="8" t="str">
        <f aca="false">IF($A35="","",IFERROR(INDEX(Transactions!$C:$C,MATCH($A35,Transactions!$D:$D,0)),""))</f>
        <v/>
      </c>
      <c r="C35" s="8" t="str">
        <f aca="false">IF($A35="","",IF(D35&gt;0,"Open","Closed"))</f>
        <v/>
      </c>
      <c r="D35" s="8" t="str">
        <f aca="false">IF($A35="","",-SUMIFS(Transactions!$E:$E,Transactions!$D:$D,$A35,Transactions!$B:$B,"Sell call")-SUMIFS(Transactions!$E:$E,Transactions!$D:$D,$A35,Transactions!$B:$B,"Buy to close")-SUMIFS(Transactions!$E:$E,Transactions!$D:$D,$A35,Transactions!$B:$B,"Expired")-SUMIFS(Transactions!$E:$E,Transactions!$D:$D,$A35,Transactions!$B:$B,"Assigned"))</f>
        <v/>
      </c>
      <c r="E35" s="27" t="str">
        <f aca="false">IF($A35="","",IFERROR(SUMIFS(Transactions!$F:$F,Transactions!$D:$D,$A35,Transactions!$B:$B,"Sell call")/COUNTIFS(Transactions!$D:$D,$A35,Transactions!$B:$B,"Sell call"),""))</f>
        <v/>
      </c>
      <c r="F35" s="10" t="str">
        <f aca="false">IF($A35="","",IFERROR(SUMIFS(Transactions!$G:$G,Transactions!$D:$D,$A35,Transactions!$B:$B,"Sell call")/COUNTIFS(Transactions!$D:$D,$A35,Transactions!$B:$B,"Sell call"),""))</f>
        <v/>
      </c>
      <c r="G35" s="8" t="str">
        <f aca="false">IF($A35="","",-SUMIFS(Transactions!$E:$E,Transactions!$D:$D,$A35,Transactions!$B:$B,"Sell call")*100+SUMIFS(Transactions!$E:$E,Transactions!$D:$D,$A35,Transactions!$B:$B,"Sell shares"))</f>
        <v/>
      </c>
      <c r="H35" s="14" t="str">
        <f aca="false">IF($A35="","",IF(SUMIFS(Transactions!$J:$J,Transactions!$D:$D,$A35,Transactions!$B:$B,"Buy shares")&lt;&gt;0,-SUMIFS(Transactions!$J:$J,Transactions!$D:$D,$A35,Transactions!$B:$B,"Buy shares"),IFERROR(INDEX(Lots!$E:$E,MATCH($W35,Lots!$A:$A,0))*-SUMIFS(Transactions!$E:$E,Transactions!$D:$D,$A35,Transactions!$B:$B,"Sell call")*100,0)))</f>
        <v/>
      </c>
      <c r="I35" s="14" t="str">
        <f aca="false">IF($A35="","",SUMIFS(Transactions!$J:$J,Transactions!$D:$D,$A35,Transactions!$B:$B,"Sell call"))</f>
        <v/>
      </c>
      <c r="J35" s="14" t="str">
        <f aca="false">IF($A35="","",-SUMIFS(Transactions!$J:$J,Transactions!$D:$D,$A35,Transactions!$B:$B,"Buy to close"))</f>
        <v/>
      </c>
      <c r="K35" s="23"/>
      <c r="L35" s="23"/>
      <c r="M35" s="23"/>
      <c r="N35" s="21"/>
      <c r="O35" s="28"/>
      <c r="P35" s="14" t="str">
        <f aca="false">IF(OR(C35&lt;&gt;"Open",L35=""),"",L35*100*D35)</f>
        <v/>
      </c>
      <c r="Q35" s="14" t="str">
        <f aca="false">IF(OR(C35&lt;&gt;"Open",P35=""),"",I35-J35-P35)</f>
        <v/>
      </c>
      <c r="R35" s="14" t="str">
        <f aca="false">IF(OR(C35&lt;&gt;"Open",K35=""),"",K35*G35)</f>
        <v/>
      </c>
      <c r="S35" s="14" t="str">
        <f aca="false">IF(OR(R35="",Q35=""),"",R35-H35+Q35)</f>
        <v/>
      </c>
      <c r="T35" s="13" t="str">
        <f aca="false">IF(OR(R35="",Q35="",N(H35)=0),"",(R35+Q35)/H35)</f>
        <v/>
      </c>
      <c r="U35" s="10" t="str">
        <f aca="false">IF(C35&lt;&gt;"Closed","",_xlfn.MAXIFS(Transactions!$A:$A,Transactions!$D:$D,$A35))</f>
        <v/>
      </c>
      <c r="V35" s="14" t="str">
        <f aca="false">IF(C35&lt;&gt;"Closed","",I35-J35)</f>
        <v/>
      </c>
      <c r="W35" s="8" t="str">
        <f aca="false">IF($A35="","",IFERROR(INDEX(Transactions!$O:$O,MATCH($A35,Transactions!$D:$D,0)),""))</f>
        <v/>
      </c>
    </row>
    <row r="36" customFormat="false" ht="15" hidden="false" customHeight="false" outlineLevel="0" collapsed="false">
      <c r="A36" s="21"/>
      <c r="B36" s="8" t="str">
        <f aca="false">IF($A36="","",IFERROR(INDEX(Transactions!$C:$C,MATCH($A36,Transactions!$D:$D,0)),""))</f>
        <v/>
      </c>
      <c r="C36" s="8" t="str">
        <f aca="false">IF($A36="","",IF(D36&gt;0,"Open","Closed"))</f>
        <v/>
      </c>
      <c r="D36" s="8" t="str">
        <f aca="false">IF($A36="","",-SUMIFS(Transactions!$E:$E,Transactions!$D:$D,$A36,Transactions!$B:$B,"Sell call")-SUMIFS(Transactions!$E:$E,Transactions!$D:$D,$A36,Transactions!$B:$B,"Buy to close")-SUMIFS(Transactions!$E:$E,Transactions!$D:$D,$A36,Transactions!$B:$B,"Expired")-SUMIFS(Transactions!$E:$E,Transactions!$D:$D,$A36,Transactions!$B:$B,"Assigned"))</f>
        <v/>
      </c>
      <c r="E36" s="27" t="str">
        <f aca="false">IF($A36="","",IFERROR(SUMIFS(Transactions!$F:$F,Transactions!$D:$D,$A36,Transactions!$B:$B,"Sell call")/COUNTIFS(Transactions!$D:$D,$A36,Transactions!$B:$B,"Sell call"),""))</f>
        <v/>
      </c>
      <c r="F36" s="10" t="str">
        <f aca="false">IF($A36="","",IFERROR(SUMIFS(Transactions!$G:$G,Transactions!$D:$D,$A36,Transactions!$B:$B,"Sell call")/COUNTIFS(Transactions!$D:$D,$A36,Transactions!$B:$B,"Sell call"),""))</f>
        <v/>
      </c>
      <c r="G36" s="8" t="str">
        <f aca="false">IF($A36="","",-SUMIFS(Transactions!$E:$E,Transactions!$D:$D,$A36,Transactions!$B:$B,"Sell call")*100+SUMIFS(Transactions!$E:$E,Transactions!$D:$D,$A36,Transactions!$B:$B,"Sell shares"))</f>
        <v/>
      </c>
      <c r="H36" s="14" t="str">
        <f aca="false">IF($A36="","",IF(SUMIFS(Transactions!$J:$J,Transactions!$D:$D,$A36,Transactions!$B:$B,"Buy shares")&lt;&gt;0,-SUMIFS(Transactions!$J:$J,Transactions!$D:$D,$A36,Transactions!$B:$B,"Buy shares"),IFERROR(INDEX(Lots!$E:$E,MATCH($W36,Lots!$A:$A,0))*-SUMIFS(Transactions!$E:$E,Transactions!$D:$D,$A36,Transactions!$B:$B,"Sell call")*100,0)))</f>
        <v/>
      </c>
      <c r="I36" s="14" t="str">
        <f aca="false">IF($A36="","",SUMIFS(Transactions!$J:$J,Transactions!$D:$D,$A36,Transactions!$B:$B,"Sell call"))</f>
        <v/>
      </c>
      <c r="J36" s="14" t="str">
        <f aca="false">IF($A36="","",-SUMIFS(Transactions!$J:$J,Transactions!$D:$D,$A36,Transactions!$B:$B,"Buy to close"))</f>
        <v/>
      </c>
      <c r="K36" s="23"/>
      <c r="L36" s="23"/>
      <c r="M36" s="23"/>
      <c r="N36" s="21"/>
      <c r="O36" s="28"/>
      <c r="P36" s="14" t="str">
        <f aca="false">IF(OR(C36&lt;&gt;"Open",L36=""),"",L36*100*D36)</f>
        <v/>
      </c>
      <c r="Q36" s="14" t="str">
        <f aca="false">IF(OR(C36&lt;&gt;"Open",P36=""),"",I36-J36-P36)</f>
        <v/>
      </c>
      <c r="R36" s="14" t="str">
        <f aca="false">IF(OR(C36&lt;&gt;"Open",K36=""),"",K36*G36)</f>
        <v/>
      </c>
      <c r="S36" s="14" t="str">
        <f aca="false">IF(OR(R36="",Q36=""),"",R36-H36+Q36)</f>
        <v/>
      </c>
      <c r="T36" s="13" t="str">
        <f aca="false">IF(OR(R36="",Q36="",N(H36)=0),"",(R36+Q36)/H36)</f>
        <v/>
      </c>
      <c r="U36" s="10" t="str">
        <f aca="false">IF(C36&lt;&gt;"Closed","",_xlfn.MAXIFS(Transactions!$A:$A,Transactions!$D:$D,$A36))</f>
        <v/>
      </c>
      <c r="V36" s="14" t="str">
        <f aca="false">IF(C36&lt;&gt;"Closed","",I36-J36)</f>
        <v/>
      </c>
      <c r="W36" s="8" t="str">
        <f aca="false">IF($A36="","",IFERROR(INDEX(Transactions!$O:$O,MATCH($A36,Transactions!$D:$D,0)),""))</f>
        <v/>
      </c>
    </row>
    <row r="37" customFormat="false" ht="15" hidden="false" customHeight="false" outlineLevel="0" collapsed="false">
      <c r="A37" s="21"/>
      <c r="B37" s="8" t="str">
        <f aca="false">IF($A37="","",IFERROR(INDEX(Transactions!$C:$C,MATCH($A37,Transactions!$D:$D,0)),""))</f>
        <v/>
      </c>
      <c r="C37" s="8" t="str">
        <f aca="false">IF($A37="","",IF(D37&gt;0,"Open","Closed"))</f>
        <v/>
      </c>
      <c r="D37" s="8" t="str">
        <f aca="false">IF($A37="","",-SUMIFS(Transactions!$E:$E,Transactions!$D:$D,$A37,Transactions!$B:$B,"Sell call")-SUMIFS(Transactions!$E:$E,Transactions!$D:$D,$A37,Transactions!$B:$B,"Buy to close")-SUMIFS(Transactions!$E:$E,Transactions!$D:$D,$A37,Transactions!$B:$B,"Expired")-SUMIFS(Transactions!$E:$E,Transactions!$D:$D,$A37,Transactions!$B:$B,"Assigned"))</f>
        <v/>
      </c>
      <c r="E37" s="27" t="str">
        <f aca="false">IF($A37="","",IFERROR(SUMIFS(Transactions!$F:$F,Transactions!$D:$D,$A37,Transactions!$B:$B,"Sell call")/COUNTIFS(Transactions!$D:$D,$A37,Transactions!$B:$B,"Sell call"),""))</f>
        <v/>
      </c>
      <c r="F37" s="10" t="str">
        <f aca="false">IF($A37="","",IFERROR(SUMIFS(Transactions!$G:$G,Transactions!$D:$D,$A37,Transactions!$B:$B,"Sell call")/COUNTIFS(Transactions!$D:$D,$A37,Transactions!$B:$B,"Sell call"),""))</f>
        <v/>
      </c>
      <c r="G37" s="8" t="str">
        <f aca="false">IF($A37="","",-SUMIFS(Transactions!$E:$E,Transactions!$D:$D,$A37,Transactions!$B:$B,"Sell call")*100+SUMIFS(Transactions!$E:$E,Transactions!$D:$D,$A37,Transactions!$B:$B,"Sell shares"))</f>
        <v/>
      </c>
      <c r="H37" s="14" t="str">
        <f aca="false">IF($A37="","",IF(SUMIFS(Transactions!$J:$J,Transactions!$D:$D,$A37,Transactions!$B:$B,"Buy shares")&lt;&gt;0,-SUMIFS(Transactions!$J:$J,Transactions!$D:$D,$A37,Transactions!$B:$B,"Buy shares"),IFERROR(INDEX(Lots!$E:$E,MATCH($W37,Lots!$A:$A,0))*-SUMIFS(Transactions!$E:$E,Transactions!$D:$D,$A37,Transactions!$B:$B,"Sell call")*100,0)))</f>
        <v/>
      </c>
      <c r="I37" s="14" t="str">
        <f aca="false">IF($A37="","",SUMIFS(Transactions!$J:$J,Transactions!$D:$D,$A37,Transactions!$B:$B,"Sell call"))</f>
        <v/>
      </c>
      <c r="J37" s="14" t="str">
        <f aca="false">IF($A37="","",-SUMIFS(Transactions!$J:$J,Transactions!$D:$D,$A37,Transactions!$B:$B,"Buy to close"))</f>
        <v/>
      </c>
      <c r="K37" s="23"/>
      <c r="L37" s="23"/>
      <c r="M37" s="23"/>
      <c r="N37" s="21"/>
      <c r="O37" s="28"/>
      <c r="P37" s="14" t="str">
        <f aca="false">IF(OR(C37&lt;&gt;"Open",L37=""),"",L37*100*D37)</f>
        <v/>
      </c>
      <c r="Q37" s="14" t="str">
        <f aca="false">IF(OR(C37&lt;&gt;"Open",P37=""),"",I37-J37-P37)</f>
        <v/>
      </c>
      <c r="R37" s="14" t="str">
        <f aca="false">IF(OR(C37&lt;&gt;"Open",K37=""),"",K37*G37)</f>
        <v/>
      </c>
      <c r="S37" s="14" t="str">
        <f aca="false">IF(OR(R37="",Q37=""),"",R37-H37+Q37)</f>
        <v/>
      </c>
      <c r="T37" s="13" t="str">
        <f aca="false">IF(OR(R37="",Q37="",N(H37)=0),"",(R37+Q37)/H37)</f>
        <v/>
      </c>
      <c r="U37" s="10" t="str">
        <f aca="false">IF(C37&lt;&gt;"Closed","",_xlfn.MAXIFS(Transactions!$A:$A,Transactions!$D:$D,$A37))</f>
        <v/>
      </c>
      <c r="V37" s="14" t="str">
        <f aca="false">IF(C37&lt;&gt;"Closed","",I37-J37)</f>
        <v/>
      </c>
      <c r="W37" s="8" t="str">
        <f aca="false">IF($A37="","",IFERROR(INDEX(Transactions!$O:$O,MATCH($A37,Transactions!$D:$D,0)),""))</f>
        <v/>
      </c>
    </row>
    <row r="38" customFormat="false" ht="15" hidden="false" customHeight="false" outlineLevel="0" collapsed="false">
      <c r="A38" s="21"/>
      <c r="B38" s="8" t="str">
        <f aca="false">IF($A38="","",IFERROR(INDEX(Transactions!$C:$C,MATCH($A38,Transactions!$D:$D,0)),""))</f>
        <v/>
      </c>
      <c r="C38" s="8" t="str">
        <f aca="false">IF($A38="","",IF(D38&gt;0,"Open","Closed"))</f>
        <v/>
      </c>
      <c r="D38" s="8" t="str">
        <f aca="false">IF($A38="","",-SUMIFS(Transactions!$E:$E,Transactions!$D:$D,$A38,Transactions!$B:$B,"Sell call")-SUMIFS(Transactions!$E:$E,Transactions!$D:$D,$A38,Transactions!$B:$B,"Buy to close")-SUMIFS(Transactions!$E:$E,Transactions!$D:$D,$A38,Transactions!$B:$B,"Expired")-SUMIFS(Transactions!$E:$E,Transactions!$D:$D,$A38,Transactions!$B:$B,"Assigned"))</f>
        <v/>
      </c>
      <c r="E38" s="27" t="str">
        <f aca="false">IF($A38="","",IFERROR(SUMIFS(Transactions!$F:$F,Transactions!$D:$D,$A38,Transactions!$B:$B,"Sell call")/COUNTIFS(Transactions!$D:$D,$A38,Transactions!$B:$B,"Sell call"),""))</f>
        <v/>
      </c>
      <c r="F38" s="10" t="str">
        <f aca="false">IF($A38="","",IFERROR(SUMIFS(Transactions!$G:$G,Transactions!$D:$D,$A38,Transactions!$B:$B,"Sell call")/COUNTIFS(Transactions!$D:$D,$A38,Transactions!$B:$B,"Sell call"),""))</f>
        <v/>
      </c>
      <c r="G38" s="8" t="str">
        <f aca="false">IF($A38="","",-SUMIFS(Transactions!$E:$E,Transactions!$D:$D,$A38,Transactions!$B:$B,"Sell call")*100+SUMIFS(Transactions!$E:$E,Transactions!$D:$D,$A38,Transactions!$B:$B,"Sell shares"))</f>
        <v/>
      </c>
      <c r="H38" s="14" t="str">
        <f aca="false">IF($A38="","",IF(SUMIFS(Transactions!$J:$J,Transactions!$D:$D,$A38,Transactions!$B:$B,"Buy shares")&lt;&gt;0,-SUMIFS(Transactions!$J:$J,Transactions!$D:$D,$A38,Transactions!$B:$B,"Buy shares"),IFERROR(INDEX(Lots!$E:$E,MATCH($W38,Lots!$A:$A,0))*-SUMIFS(Transactions!$E:$E,Transactions!$D:$D,$A38,Transactions!$B:$B,"Sell call")*100,0)))</f>
        <v/>
      </c>
      <c r="I38" s="14" t="str">
        <f aca="false">IF($A38="","",SUMIFS(Transactions!$J:$J,Transactions!$D:$D,$A38,Transactions!$B:$B,"Sell call"))</f>
        <v/>
      </c>
      <c r="J38" s="14" t="str">
        <f aca="false">IF($A38="","",-SUMIFS(Transactions!$J:$J,Transactions!$D:$D,$A38,Transactions!$B:$B,"Buy to close"))</f>
        <v/>
      </c>
      <c r="K38" s="23"/>
      <c r="L38" s="23"/>
      <c r="M38" s="23"/>
      <c r="N38" s="21"/>
      <c r="O38" s="28"/>
      <c r="P38" s="14" t="str">
        <f aca="false">IF(OR(C38&lt;&gt;"Open",L38=""),"",L38*100*D38)</f>
        <v/>
      </c>
      <c r="Q38" s="14" t="str">
        <f aca="false">IF(OR(C38&lt;&gt;"Open",P38=""),"",I38-J38-P38)</f>
        <v/>
      </c>
      <c r="R38" s="14" t="str">
        <f aca="false">IF(OR(C38&lt;&gt;"Open",K38=""),"",K38*G38)</f>
        <v/>
      </c>
      <c r="S38" s="14" t="str">
        <f aca="false">IF(OR(R38="",Q38=""),"",R38-H38+Q38)</f>
        <v/>
      </c>
      <c r="T38" s="13" t="str">
        <f aca="false">IF(OR(R38="",Q38="",N(H38)=0),"",(R38+Q38)/H38)</f>
        <v/>
      </c>
      <c r="U38" s="10" t="str">
        <f aca="false">IF(C38&lt;&gt;"Closed","",_xlfn.MAXIFS(Transactions!$A:$A,Transactions!$D:$D,$A38))</f>
        <v/>
      </c>
      <c r="V38" s="14" t="str">
        <f aca="false">IF(C38&lt;&gt;"Closed","",I38-J38)</f>
        <v/>
      </c>
      <c r="W38" s="8" t="str">
        <f aca="false">IF($A38="","",IFERROR(INDEX(Transactions!$O:$O,MATCH($A38,Transactions!$D:$D,0)),""))</f>
        <v/>
      </c>
    </row>
    <row r="39" customFormat="false" ht="15" hidden="false" customHeight="false" outlineLevel="0" collapsed="false">
      <c r="A39" s="21"/>
      <c r="B39" s="8" t="str">
        <f aca="false">IF($A39="","",IFERROR(INDEX(Transactions!$C:$C,MATCH($A39,Transactions!$D:$D,0)),""))</f>
        <v/>
      </c>
      <c r="C39" s="8" t="str">
        <f aca="false">IF($A39="","",IF(D39&gt;0,"Open","Closed"))</f>
        <v/>
      </c>
      <c r="D39" s="8" t="str">
        <f aca="false">IF($A39="","",-SUMIFS(Transactions!$E:$E,Transactions!$D:$D,$A39,Transactions!$B:$B,"Sell call")-SUMIFS(Transactions!$E:$E,Transactions!$D:$D,$A39,Transactions!$B:$B,"Buy to close")-SUMIFS(Transactions!$E:$E,Transactions!$D:$D,$A39,Transactions!$B:$B,"Expired")-SUMIFS(Transactions!$E:$E,Transactions!$D:$D,$A39,Transactions!$B:$B,"Assigned"))</f>
        <v/>
      </c>
      <c r="E39" s="27" t="str">
        <f aca="false">IF($A39="","",IFERROR(SUMIFS(Transactions!$F:$F,Transactions!$D:$D,$A39,Transactions!$B:$B,"Sell call")/COUNTIFS(Transactions!$D:$D,$A39,Transactions!$B:$B,"Sell call"),""))</f>
        <v/>
      </c>
      <c r="F39" s="10" t="str">
        <f aca="false">IF($A39="","",IFERROR(SUMIFS(Transactions!$G:$G,Transactions!$D:$D,$A39,Transactions!$B:$B,"Sell call")/COUNTIFS(Transactions!$D:$D,$A39,Transactions!$B:$B,"Sell call"),""))</f>
        <v/>
      </c>
      <c r="G39" s="8" t="str">
        <f aca="false">IF($A39="","",-SUMIFS(Transactions!$E:$E,Transactions!$D:$D,$A39,Transactions!$B:$B,"Sell call")*100+SUMIFS(Transactions!$E:$E,Transactions!$D:$D,$A39,Transactions!$B:$B,"Sell shares"))</f>
        <v/>
      </c>
      <c r="H39" s="14" t="str">
        <f aca="false">IF($A39="","",IF(SUMIFS(Transactions!$J:$J,Transactions!$D:$D,$A39,Transactions!$B:$B,"Buy shares")&lt;&gt;0,-SUMIFS(Transactions!$J:$J,Transactions!$D:$D,$A39,Transactions!$B:$B,"Buy shares"),IFERROR(INDEX(Lots!$E:$E,MATCH($W39,Lots!$A:$A,0))*-SUMIFS(Transactions!$E:$E,Transactions!$D:$D,$A39,Transactions!$B:$B,"Sell call")*100,0)))</f>
        <v/>
      </c>
      <c r="I39" s="14" t="str">
        <f aca="false">IF($A39="","",SUMIFS(Transactions!$J:$J,Transactions!$D:$D,$A39,Transactions!$B:$B,"Sell call"))</f>
        <v/>
      </c>
      <c r="J39" s="14" t="str">
        <f aca="false">IF($A39="","",-SUMIFS(Transactions!$J:$J,Transactions!$D:$D,$A39,Transactions!$B:$B,"Buy to close"))</f>
        <v/>
      </c>
      <c r="K39" s="23"/>
      <c r="L39" s="23"/>
      <c r="M39" s="23"/>
      <c r="N39" s="21"/>
      <c r="O39" s="28"/>
      <c r="P39" s="14" t="str">
        <f aca="false">IF(OR(C39&lt;&gt;"Open",L39=""),"",L39*100*D39)</f>
        <v/>
      </c>
      <c r="Q39" s="14" t="str">
        <f aca="false">IF(OR(C39&lt;&gt;"Open",P39=""),"",I39-J39-P39)</f>
        <v/>
      </c>
      <c r="R39" s="14" t="str">
        <f aca="false">IF(OR(C39&lt;&gt;"Open",K39=""),"",K39*G39)</f>
        <v/>
      </c>
      <c r="S39" s="14" t="str">
        <f aca="false">IF(OR(R39="",Q39=""),"",R39-H39+Q39)</f>
        <v/>
      </c>
      <c r="T39" s="13" t="str">
        <f aca="false">IF(OR(R39="",Q39="",N(H39)=0),"",(R39+Q39)/H39)</f>
        <v/>
      </c>
      <c r="U39" s="10" t="str">
        <f aca="false">IF(C39&lt;&gt;"Closed","",_xlfn.MAXIFS(Transactions!$A:$A,Transactions!$D:$D,$A39))</f>
        <v/>
      </c>
      <c r="V39" s="14" t="str">
        <f aca="false">IF(C39&lt;&gt;"Closed","",I39-J39)</f>
        <v/>
      </c>
      <c r="W39" s="8" t="str">
        <f aca="false">IF($A39="","",IFERROR(INDEX(Transactions!$O:$O,MATCH($A39,Transactions!$D:$D,0)),""))</f>
        <v/>
      </c>
    </row>
    <row r="40" customFormat="false" ht="15" hidden="false" customHeight="false" outlineLevel="0" collapsed="false">
      <c r="A40" s="21"/>
      <c r="B40" s="8" t="str">
        <f aca="false">IF($A40="","",IFERROR(INDEX(Transactions!$C:$C,MATCH($A40,Transactions!$D:$D,0)),""))</f>
        <v/>
      </c>
      <c r="C40" s="8" t="str">
        <f aca="false">IF($A40="","",IF(D40&gt;0,"Open","Closed"))</f>
        <v/>
      </c>
      <c r="D40" s="8" t="str">
        <f aca="false">IF($A40="","",-SUMIFS(Transactions!$E:$E,Transactions!$D:$D,$A40,Transactions!$B:$B,"Sell call")-SUMIFS(Transactions!$E:$E,Transactions!$D:$D,$A40,Transactions!$B:$B,"Buy to close")-SUMIFS(Transactions!$E:$E,Transactions!$D:$D,$A40,Transactions!$B:$B,"Expired")-SUMIFS(Transactions!$E:$E,Transactions!$D:$D,$A40,Transactions!$B:$B,"Assigned"))</f>
        <v/>
      </c>
      <c r="E40" s="27" t="str">
        <f aca="false">IF($A40="","",IFERROR(SUMIFS(Transactions!$F:$F,Transactions!$D:$D,$A40,Transactions!$B:$B,"Sell call")/COUNTIFS(Transactions!$D:$D,$A40,Transactions!$B:$B,"Sell call"),""))</f>
        <v/>
      </c>
      <c r="F40" s="10" t="str">
        <f aca="false">IF($A40="","",IFERROR(SUMIFS(Transactions!$G:$G,Transactions!$D:$D,$A40,Transactions!$B:$B,"Sell call")/COUNTIFS(Transactions!$D:$D,$A40,Transactions!$B:$B,"Sell call"),""))</f>
        <v/>
      </c>
      <c r="G40" s="8" t="str">
        <f aca="false">IF($A40="","",-SUMIFS(Transactions!$E:$E,Transactions!$D:$D,$A40,Transactions!$B:$B,"Sell call")*100+SUMIFS(Transactions!$E:$E,Transactions!$D:$D,$A40,Transactions!$B:$B,"Sell shares"))</f>
        <v/>
      </c>
      <c r="H40" s="14" t="str">
        <f aca="false">IF($A40="","",IF(SUMIFS(Transactions!$J:$J,Transactions!$D:$D,$A40,Transactions!$B:$B,"Buy shares")&lt;&gt;0,-SUMIFS(Transactions!$J:$J,Transactions!$D:$D,$A40,Transactions!$B:$B,"Buy shares"),IFERROR(INDEX(Lots!$E:$E,MATCH($W40,Lots!$A:$A,0))*-SUMIFS(Transactions!$E:$E,Transactions!$D:$D,$A40,Transactions!$B:$B,"Sell call")*100,0)))</f>
        <v/>
      </c>
      <c r="I40" s="14" t="str">
        <f aca="false">IF($A40="","",SUMIFS(Transactions!$J:$J,Transactions!$D:$D,$A40,Transactions!$B:$B,"Sell call"))</f>
        <v/>
      </c>
      <c r="J40" s="14" t="str">
        <f aca="false">IF($A40="","",-SUMIFS(Transactions!$J:$J,Transactions!$D:$D,$A40,Transactions!$B:$B,"Buy to close"))</f>
        <v/>
      </c>
      <c r="K40" s="23"/>
      <c r="L40" s="23"/>
      <c r="M40" s="23"/>
      <c r="N40" s="21"/>
      <c r="O40" s="28"/>
      <c r="P40" s="14" t="str">
        <f aca="false">IF(OR(C40&lt;&gt;"Open",L40=""),"",L40*100*D40)</f>
        <v/>
      </c>
      <c r="Q40" s="14" t="str">
        <f aca="false">IF(OR(C40&lt;&gt;"Open",P40=""),"",I40-J40-P40)</f>
        <v/>
      </c>
      <c r="R40" s="14" t="str">
        <f aca="false">IF(OR(C40&lt;&gt;"Open",K40=""),"",K40*G40)</f>
        <v/>
      </c>
      <c r="S40" s="14" t="str">
        <f aca="false">IF(OR(R40="",Q40=""),"",R40-H40+Q40)</f>
        <v/>
      </c>
      <c r="T40" s="13" t="str">
        <f aca="false">IF(OR(R40="",Q40="",N(H40)=0),"",(R40+Q40)/H40)</f>
        <v/>
      </c>
      <c r="U40" s="10" t="str">
        <f aca="false">IF(C40&lt;&gt;"Closed","",_xlfn.MAXIFS(Transactions!$A:$A,Transactions!$D:$D,$A40))</f>
        <v/>
      </c>
      <c r="V40" s="14" t="str">
        <f aca="false">IF(C40&lt;&gt;"Closed","",I40-J40)</f>
        <v/>
      </c>
      <c r="W40" s="8" t="str">
        <f aca="false">IF($A40="","",IFERROR(INDEX(Transactions!$O:$O,MATCH($A40,Transactions!$D:$D,0)),""))</f>
        <v/>
      </c>
    </row>
    <row r="41" customFormat="false" ht="15" hidden="false" customHeight="false" outlineLevel="0" collapsed="false">
      <c r="A41" s="21"/>
      <c r="B41" s="8" t="str">
        <f aca="false">IF($A41="","",IFERROR(INDEX(Transactions!$C:$C,MATCH($A41,Transactions!$D:$D,0)),""))</f>
        <v/>
      </c>
      <c r="C41" s="8" t="str">
        <f aca="false">IF($A41="","",IF(D41&gt;0,"Open","Closed"))</f>
        <v/>
      </c>
      <c r="D41" s="8" t="str">
        <f aca="false">IF($A41="","",-SUMIFS(Transactions!$E:$E,Transactions!$D:$D,$A41,Transactions!$B:$B,"Sell call")-SUMIFS(Transactions!$E:$E,Transactions!$D:$D,$A41,Transactions!$B:$B,"Buy to close")-SUMIFS(Transactions!$E:$E,Transactions!$D:$D,$A41,Transactions!$B:$B,"Expired")-SUMIFS(Transactions!$E:$E,Transactions!$D:$D,$A41,Transactions!$B:$B,"Assigned"))</f>
        <v/>
      </c>
      <c r="E41" s="27" t="str">
        <f aca="false">IF($A41="","",IFERROR(SUMIFS(Transactions!$F:$F,Transactions!$D:$D,$A41,Transactions!$B:$B,"Sell call")/COUNTIFS(Transactions!$D:$D,$A41,Transactions!$B:$B,"Sell call"),""))</f>
        <v/>
      </c>
      <c r="F41" s="10" t="str">
        <f aca="false">IF($A41="","",IFERROR(SUMIFS(Transactions!$G:$G,Transactions!$D:$D,$A41,Transactions!$B:$B,"Sell call")/COUNTIFS(Transactions!$D:$D,$A41,Transactions!$B:$B,"Sell call"),""))</f>
        <v/>
      </c>
      <c r="G41" s="8" t="str">
        <f aca="false">IF($A41="","",-SUMIFS(Transactions!$E:$E,Transactions!$D:$D,$A41,Transactions!$B:$B,"Sell call")*100+SUMIFS(Transactions!$E:$E,Transactions!$D:$D,$A41,Transactions!$B:$B,"Sell shares"))</f>
        <v/>
      </c>
      <c r="H41" s="14" t="str">
        <f aca="false">IF($A41="","",IF(SUMIFS(Transactions!$J:$J,Transactions!$D:$D,$A41,Transactions!$B:$B,"Buy shares")&lt;&gt;0,-SUMIFS(Transactions!$J:$J,Transactions!$D:$D,$A41,Transactions!$B:$B,"Buy shares"),IFERROR(INDEX(Lots!$E:$E,MATCH($W41,Lots!$A:$A,0))*-SUMIFS(Transactions!$E:$E,Transactions!$D:$D,$A41,Transactions!$B:$B,"Sell call")*100,0)))</f>
        <v/>
      </c>
      <c r="I41" s="14" t="str">
        <f aca="false">IF($A41="","",SUMIFS(Transactions!$J:$J,Transactions!$D:$D,$A41,Transactions!$B:$B,"Sell call"))</f>
        <v/>
      </c>
      <c r="J41" s="14" t="str">
        <f aca="false">IF($A41="","",-SUMIFS(Transactions!$J:$J,Transactions!$D:$D,$A41,Transactions!$B:$B,"Buy to close"))</f>
        <v/>
      </c>
      <c r="K41" s="23"/>
      <c r="L41" s="23"/>
      <c r="M41" s="23"/>
      <c r="N41" s="21"/>
      <c r="O41" s="28"/>
      <c r="P41" s="14" t="str">
        <f aca="false">IF(OR(C41&lt;&gt;"Open",L41=""),"",L41*100*D41)</f>
        <v/>
      </c>
      <c r="Q41" s="14" t="str">
        <f aca="false">IF(OR(C41&lt;&gt;"Open",P41=""),"",I41-J41-P41)</f>
        <v/>
      </c>
      <c r="R41" s="14" t="str">
        <f aca="false">IF(OR(C41&lt;&gt;"Open",K41=""),"",K41*G41)</f>
        <v/>
      </c>
      <c r="S41" s="14" t="str">
        <f aca="false">IF(OR(R41="",Q41=""),"",R41-H41+Q41)</f>
        <v/>
      </c>
      <c r="T41" s="13" t="str">
        <f aca="false">IF(OR(R41="",Q41="",N(H41)=0),"",(R41+Q41)/H41)</f>
        <v/>
      </c>
      <c r="U41" s="10" t="str">
        <f aca="false">IF(C41&lt;&gt;"Closed","",_xlfn.MAXIFS(Transactions!$A:$A,Transactions!$D:$D,$A41))</f>
        <v/>
      </c>
      <c r="V41" s="14" t="str">
        <f aca="false">IF(C41&lt;&gt;"Closed","",I41-J41)</f>
        <v/>
      </c>
      <c r="W41" s="8" t="str">
        <f aca="false">IF($A41="","",IFERROR(INDEX(Transactions!$O:$O,MATCH($A41,Transactions!$D:$D,0)),""))</f>
        <v/>
      </c>
    </row>
    <row r="42" customFormat="false" ht="15" hidden="false" customHeight="false" outlineLevel="0" collapsed="false">
      <c r="A42" s="21"/>
      <c r="B42" s="8" t="str">
        <f aca="false">IF($A42="","",IFERROR(INDEX(Transactions!$C:$C,MATCH($A42,Transactions!$D:$D,0)),""))</f>
        <v/>
      </c>
      <c r="C42" s="8" t="str">
        <f aca="false">IF($A42="","",IF(D42&gt;0,"Open","Closed"))</f>
        <v/>
      </c>
      <c r="D42" s="8" t="str">
        <f aca="false">IF($A42="","",-SUMIFS(Transactions!$E:$E,Transactions!$D:$D,$A42,Transactions!$B:$B,"Sell call")-SUMIFS(Transactions!$E:$E,Transactions!$D:$D,$A42,Transactions!$B:$B,"Buy to close")-SUMIFS(Transactions!$E:$E,Transactions!$D:$D,$A42,Transactions!$B:$B,"Expired")-SUMIFS(Transactions!$E:$E,Transactions!$D:$D,$A42,Transactions!$B:$B,"Assigned"))</f>
        <v/>
      </c>
      <c r="E42" s="27" t="str">
        <f aca="false">IF($A42="","",IFERROR(SUMIFS(Transactions!$F:$F,Transactions!$D:$D,$A42,Transactions!$B:$B,"Sell call")/COUNTIFS(Transactions!$D:$D,$A42,Transactions!$B:$B,"Sell call"),""))</f>
        <v/>
      </c>
      <c r="F42" s="10" t="str">
        <f aca="false">IF($A42="","",IFERROR(SUMIFS(Transactions!$G:$G,Transactions!$D:$D,$A42,Transactions!$B:$B,"Sell call")/COUNTIFS(Transactions!$D:$D,$A42,Transactions!$B:$B,"Sell call"),""))</f>
        <v/>
      </c>
      <c r="G42" s="8" t="str">
        <f aca="false">IF($A42="","",-SUMIFS(Transactions!$E:$E,Transactions!$D:$D,$A42,Transactions!$B:$B,"Sell call")*100+SUMIFS(Transactions!$E:$E,Transactions!$D:$D,$A42,Transactions!$B:$B,"Sell shares"))</f>
        <v/>
      </c>
      <c r="H42" s="14" t="str">
        <f aca="false">IF($A42="","",IF(SUMIFS(Transactions!$J:$J,Transactions!$D:$D,$A42,Transactions!$B:$B,"Buy shares")&lt;&gt;0,-SUMIFS(Transactions!$J:$J,Transactions!$D:$D,$A42,Transactions!$B:$B,"Buy shares"),IFERROR(INDEX(Lots!$E:$E,MATCH($W42,Lots!$A:$A,0))*-SUMIFS(Transactions!$E:$E,Transactions!$D:$D,$A42,Transactions!$B:$B,"Sell call")*100,0)))</f>
        <v/>
      </c>
      <c r="I42" s="14" t="str">
        <f aca="false">IF($A42="","",SUMIFS(Transactions!$J:$J,Transactions!$D:$D,$A42,Transactions!$B:$B,"Sell call"))</f>
        <v/>
      </c>
      <c r="J42" s="14" t="str">
        <f aca="false">IF($A42="","",-SUMIFS(Transactions!$J:$J,Transactions!$D:$D,$A42,Transactions!$B:$B,"Buy to close"))</f>
        <v/>
      </c>
      <c r="K42" s="23"/>
      <c r="L42" s="23"/>
      <c r="M42" s="23"/>
      <c r="N42" s="21"/>
      <c r="O42" s="28"/>
      <c r="P42" s="14" t="str">
        <f aca="false">IF(OR(C42&lt;&gt;"Open",L42=""),"",L42*100*D42)</f>
        <v/>
      </c>
      <c r="Q42" s="14" t="str">
        <f aca="false">IF(OR(C42&lt;&gt;"Open",P42=""),"",I42-J42-P42)</f>
        <v/>
      </c>
      <c r="R42" s="14" t="str">
        <f aca="false">IF(OR(C42&lt;&gt;"Open",K42=""),"",K42*G42)</f>
        <v/>
      </c>
      <c r="S42" s="14" t="str">
        <f aca="false">IF(OR(R42="",Q42=""),"",R42-H42+Q42)</f>
        <v/>
      </c>
      <c r="T42" s="13" t="str">
        <f aca="false">IF(OR(R42="",Q42="",N(H42)=0),"",(R42+Q42)/H42)</f>
        <v/>
      </c>
      <c r="U42" s="10" t="str">
        <f aca="false">IF(C42&lt;&gt;"Closed","",_xlfn.MAXIFS(Transactions!$A:$A,Transactions!$D:$D,$A42))</f>
        <v/>
      </c>
      <c r="V42" s="14" t="str">
        <f aca="false">IF(C42&lt;&gt;"Closed","",I42-J42)</f>
        <v/>
      </c>
      <c r="W42" s="8" t="str">
        <f aca="false">IF($A42="","",IFERROR(INDEX(Transactions!$O:$O,MATCH($A42,Transactions!$D:$D,0)),""))</f>
        <v/>
      </c>
    </row>
    <row r="43" customFormat="false" ht="15" hidden="false" customHeight="false" outlineLevel="0" collapsed="false">
      <c r="A43" s="21"/>
      <c r="B43" s="8" t="str">
        <f aca="false">IF($A43="","",IFERROR(INDEX(Transactions!$C:$C,MATCH($A43,Transactions!$D:$D,0)),""))</f>
        <v/>
      </c>
      <c r="C43" s="8" t="str">
        <f aca="false">IF($A43="","",IF(D43&gt;0,"Open","Closed"))</f>
        <v/>
      </c>
      <c r="D43" s="8" t="str">
        <f aca="false">IF($A43="","",-SUMIFS(Transactions!$E:$E,Transactions!$D:$D,$A43,Transactions!$B:$B,"Sell call")-SUMIFS(Transactions!$E:$E,Transactions!$D:$D,$A43,Transactions!$B:$B,"Buy to close")-SUMIFS(Transactions!$E:$E,Transactions!$D:$D,$A43,Transactions!$B:$B,"Expired")-SUMIFS(Transactions!$E:$E,Transactions!$D:$D,$A43,Transactions!$B:$B,"Assigned"))</f>
        <v/>
      </c>
      <c r="E43" s="27" t="str">
        <f aca="false">IF($A43="","",IFERROR(SUMIFS(Transactions!$F:$F,Transactions!$D:$D,$A43,Transactions!$B:$B,"Sell call")/COUNTIFS(Transactions!$D:$D,$A43,Transactions!$B:$B,"Sell call"),""))</f>
        <v/>
      </c>
      <c r="F43" s="10" t="str">
        <f aca="false">IF($A43="","",IFERROR(SUMIFS(Transactions!$G:$G,Transactions!$D:$D,$A43,Transactions!$B:$B,"Sell call")/COUNTIFS(Transactions!$D:$D,$A43,Transactions!$B:$B,"Sell call"),""))</f>
        <v/>
      </c>
      <c r="G43" s="8" t="str">
        <f aca="false">IF($A43="","",-SUMIFS(Transactions!$E:$E,Transactions!$D:$D,$A43,Transactions!$B:$B,"Sell call")*100+SUMIFS(Transactions!$E:$E,Transactions!$D:$D,$A43,Transactions!$B:$B,"Sell shares"))</f>
        <v/>
      </c>
      <c r="H43" s="14" t="str">
        <f aca="false">IF($A43="","",IF(SUMIFS(Transactions!$J:$J,Transactions!$D:$D,$A43,Transactions!$B:$B,"Buy shares")&lt;&gt;0,-SUMIFS(Transactions!$J:$J,Transactions!$D:$D,$A43,Transactions!$B:$B,"Buy shares"),IFERROR(INDEX(Lots!$E:$E,MATCH($W43,Lots!$A:$A,0))*-SUMIFS(Transactions!$E:$E,Transactions!$D:$D,$A43,Transactions!$B:$B,"Sell call")*100,0)))</f>
        <v/>
      </c>
      <c r="I43" s="14" t="str">
        <f aca="false">IF($A43="","",SUMIFS(Transactions!$J:$J,Transactions!$D:$D,$A43,Transactions!$B:$B,"Sell call"))</f>
        <v/>
      </c>
      <c r="J43" s="14" t="str">
        <f aca="false">IF($A43="","",-SUMIFS(Transactions!$J:$J,Transactions!$D:$D,$A43,Transactions!$B:$B,"Buy to close"))</f>
        <v/>
      </c>
      <c r="K43" s="23"/>
      <c r="L43" s="23"/>
      <c r="M43" s="23"/>
      <c r="N43" s="21"/>
      <c r="O43" s="28"/>
      <c r="P43" s="14" t="str">
        <f aca="false">IF(OR(C43&lt;&gt;"Open",L43=""),"",L43*100*D43)</f>
        <v/>
      </c>
      <c r="Q43" s="14" t="str">
        <f aca="false">IF(OR(C43&lt;&gt;"Open",P43=""),"",I43-J43-P43)</f>
        <v/>
      </c>
      <c r="R43" s="14" t="str">
        <f aca="false">IF(OR(C43&lt;&gt;"Open",K43=""),"",K43*G43)</f>
        <v/>
      </c>
      <c r="S43" s="14" t="str">
        <f aca="false">IF(OR(R43="",Q43=""),"",R43-H43+Q43)</f>
        <v/>
      </c>
      <c r="T43" s="13" t="str">
        <f aca="false">IF(OR(R43="",Q43="",N(H43)=0),"",(R43+Q43)/H43)</f>
        <v/>
      </c>
      <c r="U43" s="10" t="str">
        <f aca="false">IF(C43&lt;&gt;"Closed","",_xlfn.MAXIFS(Transactions!$A:$A,Transactions!$D:$D,$A43))</f>
        <v/>
      </c>
      <c r="V43" s="14" t="str">
        <f aca="false">IF(C43&lt;&gt;"Closed","",I43-J43)</f>
        <v/>
      </c>
      <c r="W43" s="8" t="str">
        <f aca="false">IF($A43="","",IFERROR(INDEX(Transactions!$O:$O,MATCH($A43,Transactions!$D:$D,0)),""))</f>
        <v/>
      </c>
    </row>
    <row r="44" customFormat="false" ht="15" hidden="false" customHeight="false" outlineLevel="0" collapsed="false">
      <c r="A44" s="21"/>
      <c r="B44" s="8" t="str">
        <f aca="false">IF($A44="","",IFERROR(INDEX(Transactions!$C:$C,MATCH($A44,Transactions!$D:$D,0)),""))</f>
        <v/>
      </c>
      <c r="C44" s="8" t="str">
        <f aca="false">IF($A44="","",IF(D44&gt;0,"Open","Closed"))</f>
        <v/>
      </c>
      <c r="D44" s="8" t="str">
        <f aca="false">IF($A44="","",-SUMIFS(Transactions!$E:$E,Transactions!$D:$D,$A44,Transactions!$B:$B,"Sell call")-SUMIFS(Transactions!$E:$E,Transactions!$D:$D,$A44,Transactions!$B:$B,"Buy to close")-SUMIFS(Transactions!$E:$E,Transactions!$D:$D,$A44,Transactions!$B:$B,"Expired")-SUMIFS(Transactions!$E:$E,Transactions!$D:$D,$A44,Transactions!$B:$B,"Assigned"))</f>
        <v/>
      </c>
      <c r="E44" s="27" t="str">
        <f aca="false">IF($A44="","",IFERROR(SUMIFS(Transactions!$F:$F,Transactions!$D:$D,$A44,Transactions!$B:$B,"Sell call")/COUNTIFS(Transactions!$D:$D,$A44,Transactions!$B:$B,"Sell call"),""))</f>
        <v/>
      </c>
      <c r="F44" s="10" t="str">
        <f aca="false">IF($A44="","",IFERROR(SUMIFS(Transactions!$G:$G,Transactions!$D:$D,$A44,Transactions!$B:$B,"Sell call")/COUNTIFS(Transactions!$D:$D,$A44,Transactions!$B:$B,"Sell call"),""))</f>
        <v/>
      </c>
      <c r="G44" s="8" t="str">
        <f aca="false">IF($A44="","",-SUMIFS(Transactions!$E:$E,Transactions!$D:$D,$A44,Transactions!$B:$B,"Sell call")*100+SUMIFS(Transactions!$E:$E,Transactions!$D:$D,$A44,Transactions!$B:$B,"Sell shares"))</f>
        <v/>
      </c>
      <c r="H44" s="14" t="str">
        <f aca="false">IF($A44="","",IF(SUMIFS(Transactions!$J:$J,Transactions!$D:$D,$A44,Transactions!$B:$B,"Buy shares")&lt;&gt;0,-SUMIFS(Transactions!$J:$J,Transactions!$D:$D,$A44,Transactions!$B:$B,"Buy shares"),IFERROR(INDEX(Lots!$E:$E,MATCH($W44,Lots!$A:$A,0))*-SUMIFS(Transactions!$E:$E,Transactions!$D:$D,$A44,Transactions!$B:$B,"Sell call")*100,0)))</f>
        <v/>
      </c>
      <c r="I44" s="14" t="str">
        <f aca="false">IF($A44="","",SUMIFS(Transactions!$J:$J,Transactions!$D:$D,$A44,Transactions!$B:$B,"Sell call"))</f>
        <v/>
      </c>
      <c r="J44" s="14" t="str">
        <f aca="false">IF($A44="","",-SUMIFS(Transactions!$J:$J,Transactions!$D:$D,$A44,Transactions!$B:$B,"Buy to close"))</f>
        <v/>
      </c>
      <c r="K44" s="23"/>
      <c r="L44" s="23"/>
      <c r="M44" s="23"/>
      <c r="N44" s="21"/>
      <c r="O44" s="28"/>
      <c r="P44" s="14" t="str">
        <f aca="false">IF(OR(C44&lt;&gt;"Open",L44=""),"",L44*100*D44)</f>
        <v/>
      </c>
      <c r="Q44" s="14" t="str">
        <f aca="false">IF(OR(C44&lt;&gt;"Open",P44=""),"",I44-J44-P44)</f>
        <v/>
      </c>
      <c r="R44" s="14" t="str">
        <f aca="false">IF(OR(C44&lt;&gt;"Open",K44=""),"",K44*G44)</f>
        <v/>
      </c>
      <c r="S44" s="14" t="str">
        <f aca="false">IF(OR(R44="",Q44=""),"",R44-H44+Q44)</f>
        <v/>
      </c>
      <c r="T44" s="13" t="str">
        <f aca="false">IF(OR(R44="",Q44="",N(H44)=0),"",(R44+Q44)/H44)</f>
        <v/>
      </c>
      <c r="U44" s="10" t="str">
        <f aca="false">IF(C44&lt;&gt;"Closed","",_xlfn.MAXIFS(Transactions!$A:$A,Transactions!$D:$D,$A44))</f>
        <v/>
      </c>
      <c r="V44" s="14" t="str">
        <f aca="false">IF(C44&lt;&gt;"Closed","",I44-J44)</f>
        <v/>
      </c>
      <c r="W44" s="8" t="str">
        <f aca="false">IF($A44="","",IFERROR(INDEX(Transactions!$O:$O,MATCH($A44,Transactions!$D:$D,0)),""))</f>
        <v/>
      </c>
    </row>
    <row r="45" customFormat="false" ht="15" hidden="false" customHeight="false" outlineLevel="0" collapsed="false">
      <c r="A45" s="21"/>
      <c r="B45" s="8" t="str">
        <f aca="false">IF($A45="","",IFERROR(INDEX(Transactions!$C:$C,MATCH($A45,Transactions!$D:$D,0)),""))</f>
        <v/>
      </c>
      <c r="C45" s="8" t="str">
        <f aca="false">IF($A45="","",IF(D45&gt;0,"Open","Closed"))</f>
        <v/>
      </c>
      <c r="D45" s="8" t="str">
        <f aca="false">IF($A45="","",-SUMIFS(Transactions!$E:$E,Transactions!$D:$D,$A45,Transactions!$B:$B,"Sell call")-SUMIFS(Transactions!$E:$E,Transactions!$D:$D,$A45,Transactions!$B:$B,"Buy to close")-SUMIFS(Transactions!$E:$E,Transactions!$D:$D,$A45,Transactions!$B:$B,"Expired")-SUMIFS(Transactions!$E:$E,Transactions!$D:$D,$A45,Transactions!$B:$B,"Assigned"))</f>
        <v/>
      </c>
      <c r="E45" s="27" t="str">
        <f aca="false">IF($A45="","",IFERROR(SUMIFS(Transactions!$F:$F,Transactions!$D:$D,$A45,Transactions!$B:$B,"Sell call")/COUNTIFS(Transactions!$D:$D,$A45,Transactions!$B:$B,"Sell call"),""))</f>
        <v/>
      </c>
      <c r="F45" s="10" t="str">
        <f aca="false">IF($A45="","",IFERROR(SUMIFS(Transactions!$G:$G,Transactions!$D:$D,$A45,Transactions!$B:$B,"Sell call")/COUNTIFS(Transactions!$D:$D,$A45,Transactions!$B:$B,"Sell call"),""))</f>
        <v/>
      </c>
      <c r="G45" s="8" t="str">
        <f aca="false">IF($A45="","",-SUMIFS(Transactions!$E:$E,Transactions!$D:$D,$A45,Transactions!$B:$B,"Sell call")*100+SUMIFS(Transactions!$E:$E,Transactions!$D:$D,$A45,Transactions!$B:$B,"Sell shares"))</f>
        <v/>
      </c>
      <c r="H45" s="14" t="str">
        <f aca="false">IF($A45="","",IF(SUMIFS(Transactions!$J:$J,Transactions!$D:$D,$A45,Transactions!$B:$B,"Buy shares")&lt;&gt;0,-SUMIFS(Transactions!$J:$J,Transactions!$D:$D,$A45,Transactions!$B:$B,"Buy shares"),IFERROR(INDEX(Lots!$E:$E,MATCH($W45,Lots!$A:$A,0))*-SUMIFS(Transactions!$E:$E,Transactions!$D:$D,$A45,Transactions!$B:$B,"Sell call")*100,0)))</f>
        <v/>
      </c>
      <c r="I45" s="14" t="str">
        <f aca="false">IF($A45="","",SUMIFS(Transactions!$J:$J,Transactions!$D:$D,$A45,Transactions!$B:$B,"Sell call"))</f>
        <v/>
      </c>
      <c r="J45" s="14" t="str">
        <f aca="false">IF($A45="","",-SUMIFS(Transactions!$J:$J,Transactions!$D:$D,$A45,Transactions!$B:$B,"Buy to close"))</f>
        <v/>
      </c>
      <c r="K45" s="23"/>
      <c r="L45" s="23"/>
      <c r="M45" s="23"/>
      <c r="N45" s="21"/>
      <c r="O45" s="28"/>
      <c r="P45" s="14" t="str">
        <f aca="false">IF(OR(C45&lt;&gt;"Open",L45=""),"",L45*100*D45)</f>
        <v/>
      </c>
      <c r="Q45" s="14" t="str">
        <f aca="false">IF(OR(C45&lt;&gt;"Open",P45=""),"",I45-J45-P45)</f>
        <v/>
      </c>
      <c r="R45" s="14" t="str">
        <f aca="false">IF(OR(C45&lt;&gt;"Open",K45=""),"",K45*G45)</f>
        <v/>
      </c>
      <c r="S45" s="14" t="str">
        <f aca="false">IF(OR(R45="",Q45=""),"",R45-H45+Q45)</f>
        <v/>
      </c>
      <c r="T45" s="13" t="str">
        <f aca="false">IF(OR(R45="",Q45="",N(H45)=0),"",(R45+Q45)/H45)</f>
        <v/>
      </c>
      <c r="U45" s="10" t="str">
        <f aca="false">IF(C45&lt;&gt;"Closed","",_xlfn.MAXIFS(Transactions!$A:$A,Transactions!$D:$D,$A45))</f>
        <v/>
      </c>
      <c r="V45" s="14" t="str">
        <f aca="false">IF(C45&lt;&gt;"Closed","",I45-J45)</f>
        <v/>
      </c>
      <c r="W45" s="8" t="str">
        <f aca="false">IF($A45="","",IFERROR(INDEX(Transactions!$O:$O,MATCH($A45,Transactions!$D:$D,0)),""))</f>
        <v/>
      </c>
    </row>
    <row r="46" customFormat="false" ht="15" hidden="false" customHeight="false" outlineLevel="0" collapsed="false">
      <c r="A46" s="21"/>
      <c r="B46" s="8" t="str">
        <f aca="false">IF($A46="","",IFERROR(INDEX(Transactions!$C:$C,MATCH($A46,Transactions!$D:$D,0)),""))</f>
        <v/>
      </c>
      <c r="C46" s="8" t="str">
        <f aca="false">IF($A46="","",IF(D46&gt;0,"Open","Closed"))</f>
        <v/>
      </c>
      <c r="D46" s="8" t="str">
        <f aca="false">IF($A46="","",-SUMIFS(Transactions!$E:$E,Transactions!$D:$D,$A46,Transactions!$B:$B,"Sell call")-SUMIFS(Transactions!$E:$E,Transactions!$D:$D,$A46,Transactions!$B:$B,"Buy to close")-SUMIFS(Transactions!$E:$E,Transactions!$D:$D,$A46,Transactions!$B:$B,"Expired")-SUMIFS(Transactions!$E:$E,Transactions!$D:$D,$A46,Transactions!$B:$B,"Assigned"))</f>
        <v/>
      </c>
      <c r="E46" s="27" t="str">
        <f aca="false">IF($A46="","",IFERROR(SUMIFS(Transactions!$F:$F,Transactions!$D:$D,$A46,Transactions!$B:$B,"Sell call")/COUNTIFS(Transactions!$D:$D,$A46,Transactions!$B:$B,"Sell call"),""))</f>
        <v/>
      </c>
      <c r="F46" s="10" t="str">
        <f aca="false">IF($A46="","",IFERROR(SUMIFS(Transactions!$G:$G,Transactions!$D:$D,$A46,Transactions!$B:$B,"Sell call")/COUNTIFS(Transactions!$D:$D,$A46,Transactions!$B:$B,"Sell call"),""))</f>
        <v/>
      </c>
      <c r="G46" s="8" t="str">
        <f aca="false">IF($A46="","",-SUMIFS(Transactions!$E:$E,Transactions!$D:$D,$A46,Transactions!$B:$B,"Sell call")*100+SUMIFS(Transactions!$E:$E,Transactions!$D:$D,$A46,Transactions!$B:$B,"Sell shares"))</f>
        <v/>
      </c>
      <c r="H46" s="14" t="str">
        <f aca="false">IF($A46="","",IF(SUMIFS(Transactions!$J:$J,Transactions!$D:$D,$A46,Transactions!$B:$B,"Buy shares")&lt;&gt;0,-SUMIFS(Transactions!$J:$J,Transactions!$D:$D,$A46,Transactions!$B:$B,"Buy shares"),IFERROR(INDEX(Lots!$E:$E,MATCH($W46,Lots!$A:$A,0))*-SUMIFS(Transactions!$E:$E,Transactions!$D:$D,$A46,Transactions!$B:$B,"Sell call")*100,0)))</f>
        <v/>
      </c>
      <c r="I46" s="14" t="str">
        <f aca="false">IF($A46="","",SUMIFS(Transactions!$J:$J,Transactions!$D:$D,$A46,Transactions!$B:$B,"Sell call"))</f>
        <v/>
      </c>
      <c r="J46" s="14" t="str">
        <f aca="false">IF($A46="","",-SUMIFS(Transactions!$J:$J,Transactions!$D:$D,$A46,Transactions!$B:$B,"Buy to close"))</f>
        <v/>
      </c>
      <c r="K46" s="23"/>
      <c r="L46" s="23"/>
      <c r="M46" s="23"/>
      <c r="N46" s="21"/>
      <c r="O46" s="28"/>
      <c r="P46" s="14" t="str">
        <f aca="false">IF(OR(C46&lt;&gt;"Open",L46=""),"",L46*100*D46)</f>
        <v/>
      </c>
      <c r="Q46" s="14" t="str">
        <f aca="false">IF(OR(C46&lt;&gt;"Open",P46=""),"",I46-J46-P46)</f>
        <v/>
      </c>
      <c r="R46" s="14" t="str">
        <f aca="false">IF(OR(C46&lt;&gt;"Open",K46=""),"",K46*G46)</f>
        <v/>
      </c>
      <c r="S46" s="14" t="str">
        <f aca="false">IF(OR(R46="",Q46=""),"",R46-H46+Q46)</f>
        <v/>
      </c>
      <c r="T46" s="13" t="str">
        <f aca="false">IF(OR(R46="",Q46="",N(H46)=0),"",(R46+Q46)/H46)</f>
        <v/>
      </c>
      <c r="U46" s="10" t="str">
        <f aca="false">IF(C46&lt;&gt;"Closed","",_xlfn.MAXIFS(Transactions!$A:$A,Transactions!$D:$D,$A46))</f>
        <v/>
      </c>
      <c r="V46" s="14" t="str">
        <f aca="false">IF(C46&lt;&gt;"Closed","",I46-J46)</f>
        <v/>
      </c>
      <c r="W46" s="8" t="str">
        <f aca="false">IF($A46="","",IFERROR(INDEX(Transactions!$O:$O,MATCH($A46,Transactions!$D:$D,0)),""))</f>
        <v/>
      </c>
    </row>
    <row r="47" customFormat="false" ht="15" hidden="false" customHeight="false" outlineLevel="0" collapsed="false">
      <c r="A47" s="21"/>
      <c r="B47" s="8" t="str">
        <f aca="false">IF($A47="","",IFERROR(INDEX(Transactions!$C:$C,MATCH($A47,Transactions!$D:$D,0)),""))</f>
        <v/>
      </c>
      <c r="C47" s="8" t="str">
        <f aca="false">IF($A47="","",IF(D47&gt;0,"Open","Closed"))</f>
        <v/>
      </c>
      <c r="D47" s="8" t="str">
        <f aca="false">IF($A47="","",-SUMIFS(Transactions!$E:$E,Transactions!$D:$D,$A47,Transactions!$B:$B,"Sell call")-SUMIFS(Transactions!$E:$E,Transactions!$D:$D,$A47,Transactions!$B:$B,"Buy to close")-SUMIFS(Transactions!$E:$E,Transactions!$D:$D,$A47,Transactions!$B:$B,"Expired")-SUMIFS(Transactions!$E:$E,Transactions!$D:$D,$A47,Transactions!$B:$B,"Assigned"))</f>
        <v/>
      </c>
      <c r="E47" s="27" t="str">
        <f aca="false">IF($A47="","",IFERROR(SUMIFS(Transactions!$F:$F,Transactions!$D:$D,$A47,Transactions!$B:$B,"Sell call")/COUNTIFS(Transactions!$D:$D,$A47,Transactions!$B:$B,"Sell call"),""))</f>
        <v/>
      </c>
      <c r="F47" s="10" t="str">
        <f aca="false">IF($A47="","",IFERROR(SUMIFS(Transactions!$G:$G,Transactions!$D:$D,$A47,Transactions!$B:$B,"Sell call")/COUNTIFS(Transactions!$D:$D,$A47,Transactions!$B:$B,"Sell call"),""))</f>
        <v/>
      </c>
      <c r="G47" s="8" t="str">
        <f aca="false">IF($A47="","",-SUMIFS(Transactions!$E:$E,Transactions!$D:$D,$A47,Transactions!$B:$B,"Sell call")*100+SUMIFS(Transactions!$E:$E,Transactions!$D:$D,$A47,Transactions!$B:$B,"Sell shares"))</f>
        <v/>
      </c>
      <c r="H47" s="14" t="str">
        <f aca="false">IF($A47="","",IF(SUMIFS(Transactions!$J:$J,Transactions!$D:$D,$A47,Transactions!$B:$B,"Buy shares")&lt;&gt;0,-SUMIFS(Transactions!$J:$J,Transactions!$D:$D,$A47,Transactions!$B:$B,"Buy shares"),IFERROR(INDEX(Lots!$E:$E,MATCH($W47,Lots!$A:$A,0))*-SUMIFS(Transactions!$E:$E,Transactions!$D:$D,$A47,Transactions!$B:$B,"Sell call")*100,0)))</f>
        <v/>
      </c>
      <c r="I47" s="14" t="str">
        <f aca="false">IF($A47="","",SUMIFS(Transactions!$J:$J,Transactions!$D:$D,$A47,Transactions!$B:$B,"Sell call"))</f>
        <v/>
      </c>
      <c r="J47" s="14" t="str">
        <f aca="false">IF($A47="","",-SUMIFS(Transactions!$J:$J,Transactions!$D:$D,$A47,Transactions!$B:$B,"Buy to close"))</f>
        <v/>
      </c>
      <c r="K47" s="23"/>
      <c r="L47" s="23"/>
      <c r="M47" s="23"/>
      <c r="N47" s="21"/>
      <c r="O47" s="28"/>
      <c r="P47" s="14" t="str">
        <f aca="false">IF(OR(C47&lt;&gt;"Open",L47=""),"",L47*100*D47)</f>
        <v/>
      </c>
      <c r="Q47" s="14" t="str">
        <f aca="false">IF(OR(C47&lt;&gt;"Open",P47=""),"",I47-J47-P47)</f>
        <v/>
      </c>
      <c r="R47" s="14" t="str">
        <f aca="false">IF(OR(C47&lt;&gt;"Open",K47=""),"",K47*G47)</f>
        <v/>
      </c>
      <c r="S47" s="14" t="str">
        <f aca="false">IF(OR(R47="",Q47=""),"",R47-H47+Q47)</f>
        <v/>
      </c>
      <c r="T47" s="13" t="str">
        <f aca="false">IF(OR(R47="",Q47="",N(H47)=0),"",(R47+Q47)/H47)</f>
        <v/>
      </c>
      <c r="U47" s="10" t="str">
        <f aca="false">IF(C47&lt;&gt;"Closed","",_xlfn.MAXIFS(Transactions!$A:$A,Transactions!$D:$D,$A47))</f>
        <v/>
      </c>
      <c r="V47" s="14" t="str">
        <f aca="false">IF(C47&lt;&gt;"Closed","",I47-J47)</f>
        <v/>
      </c>
      <c r="W47" s="8" t="str">
        <f aca="false">IF($A47="","",IFERROR(INDEX(Transactions!$O:$O,MATCH($A47,Transactions!$D:$D,0)),""))</f>
        <v/>
      </c>
    </row>
    <row r="48" customFormat="false" ht="15" hidden="false" customHeight="false" outlineLevel="0" collapsed="false">
      <c r="A48" s="21"/>
      <c r="B48" s="8" t="str">
        <f aca="false">IF($A48="","",IFERROR(INDEX(Transactions!$C:$C,MATCH($A48,Transactions!$D:$D,0)),""))</f>
        <v/>
      </c>
      <c r="C48" s="8" t="str">
        <f aca="false">IF($A48="","",IF(D48&gt;0,"Open","Closed"))</f>
        <v/>
      </c>
      <c r="D48" s="8" t="str">
        <f aca="false">IF($A48="","",-SUMIFS(Transactions!$E:$E,Transactions!$D:$D,$A48,Transactions!$B:$B,"Sell call")-SUMIFS(Transactions!$E:$E,Transactions!$D:$D,$A48,Transactions!$B:$B,"Buy to close")-SUMIFS(Transactions!$E:$E,Transactions!$D:$D,$A48,Transactions!$B:$B,"Expired")-SUMIFS(Transactions!$E:$E,Transactions!$D:$D,$A48,Transactions!$B:$B,"Assigned"))</f>
        <v/>
      </c>
      <c r="E48" s="27" t="str">
        <f aca="false">IF($A48="","",IFERROR(SUMIFS(Transactions!$F:$F,Transactions!$D:$D,$A48,Transactions!$B:$B,"Sell call")/COUNTIFS(Transactions!$D:$D,$A48,Transactions!$B:$B,"Sell call"),""))</f>
        <v/>
      </c>
      <c r="F48" s="10" t="str">
        <f aca="false">IF($A48="","",IFERROR(SUMIFS(Transactions!$G:$G,Transactions!$D:$D,$A48,Transactions!$B:$B,"Sell call")/COUNTIFS(Transactions!$D:$D,$A48,Transactions!$B:$B,"Sell call"),""))</f>
        <v/>
      </c>
      <c r="G48" s="8" t="str">
        <f aca="false">IF($A48="","",-SUMIFS(Transactions!$E:$E,Transactions!$D:$D,$A48,Transactions!$B:$B,"Sell call")*100+SUMIFS(Transactions!$E:$E,Transactions!$D:$D,$A48,Transactions!$B:$B,"Sell shares"))</f>
        <v/>
      </c>
      <c r="H48" s="14" t="str">
        <f aca="false">IF($A48="","",IF(SUMIFS(Transactions!$J:$J,Transactions!$D:$D,$A48,Transactions!$B:$B,"Buy shares")&lt;&gt;0,-SUMIFS(Transactions!$J:$J,Transactions!$D:$D,$A48,Transactions!$B:$B,"Buy shares"),IFERROR(INDEX(Lots!$E:$E,MATCH($W48,Lots!$A:$A,0))*-SUMIFS(Transactions!$E:$E,Transactions!$D:$D,$A48,Transactions!$B:$B,"Sell call")*100,0)))</f>
        <v/>
      </c>
      <c r="I48" s="14" t="str">
        <f aca="false">IF($A48="","",SUMIFS(Transactions!$J:$J,Transactions!$D:$D,$A48,Transactions!$B:$B,"Sell call"))</f>
        <v/>
      </c>
      <c r="J48" s="14" t="str">
        <f aca="false">IF($A48="","",-SUMIFS(Transactions!$J:$J,Transactions!$D:$D,$A48,Transactions!$B:$B,"Buy to close"))</f>
        <v/>
      </c>
      <c r="K48" s="23"/>
      <c r="L48" s="23"/>
      <c r="M48" s="23"/>
      <c r="N48" s="21"/>
      <c r="O48" s="28"/>
      <c r="P48" s="14" t="str">
        <f aca="false">IF(OR(C48&lt;&gt;"Open",L48=""),"",L48*100*D48)</f>
        <v/>
      </c>
      <c r="Q48" s="14" t="str">
        <f aca="false">IF(OR(C48&lt;&gt;"Open",P48=""),"",I48-J48-P48)</f>
        <v/>
      </c>
      <c r="R48" s="14" t="str">
        <f aca="false">IF(OR(C48&lt;&gt;"Open",K48=""),"",K48*G48)</f>
        <v/>
      </c>
      <c r="S48" s="14" t="str">
        <f aca="false">IF(OR(R48="",Q48=""),"",R48-H48+Q48)</f>
        <v/>
      </c>
      <c r="T48" s="13" t="str">
        <f aca="false">IF(OR(R48="",Q48="",N(H48)=0),"",(R48+Q48)/H48)</f>
        <v/>
      </c>
      <c r="U48" s="10" t="str">
        <f aca="false">IF(C48&lt;&gt;"Closed","",_xlfn.MAXIFS(Transactions!$A:$A,Transactions!$D:$D,$A48))</f>
        <v/>
      </c>
      <c r="V48" s="14" t="str">
        <f aca="false">IF(C48&lt;&gt;"Closed","",I48-J48)</f>
        <v/>
      </c>
      <c r="W48" s="8" t="str">
        <f aca="false">IF($A48="","",IFERROR(INDEX(Transactions!$O:$O,MATCH($A48,Transactions!$D:$D,0)),""))</f>
        <v/>
      </c>
    </row>
    <row r="49" customFormat="false" ht="15" hidden="false" customHeight="false" outlineLevel="0" collapsed="false">
      <c r="A49" s="21"/>
      <c r="B49" s="8" t="str">
        <f aca="false">IF($A49="","",IFERROR(INDEX(Transactions!$C:$C,MATCH($A49,Transactions!$D:$D,0)),""))</f>
        <v/>
      </c>
      <c r="C49" s="8" t="str">
        <f aca="false">IF($A49="","",IF(D49&gt;0,"Open","Closed"))</f>
        <v/>
      </c>
      <c r="D49" s="8" t="str">
        <f aca="false">IF($A49="","",-SUMIFS(Transactions!$E:$E,Transactions!$D:$D,$A49,Transactions!$B:$B,"Sell call")-SUMIFS(Transactions!$E:$E,Transactions!$D:$D,$A49,Transactions!$B:$B,"Buy to close")-SUMIFS(Transactions!$E:$E,Transactions!$D:$D,$A49,Transactions!$B:$B,"Expired")-SUMIFS(Transactions!$E:$E,Transactions!$D:$D,$A49,Transactions!$B:$B,"Assigned"))</f>
        <v/>
      </c>
      <c r="E49" s="27" t="str">
        <f aca="false">IF($A49="","",IFERROR(SUMIFS(Transactions!$F:$F,Transactions!$D:$D,$A49,Transactions!$B:$B,"Sell call")/COUNTIFS(Transactions!$D:$D,$A49,Transactions!$B:$B,"Sell call"),""))</f>
        <v/>
      </c>
      <c r="F49" s="10" t="str">
        <f aca="false">IF($A49="","",IFERROR(SUMIFS(Transactions!$G:$G,Transactions!$D:$D,$A49,Transactions!$B:$B,"Sell call")/COUNTIFS(Transactions!$D:$D,$A49,Transactions!$B:$B,"Sell call"),""))</f>
        <v/>
      </c>
      <c r="G49" s="8" t="str">
        <f aca="false">IF($A49="","",-SUMIFS(Transactions!$E:$E,Transactions!$D:$D,$A49,Transactions!$B:$B,"Sell call")*100+SUMIFS(Transactions!$E:$E,Transactions!$D:$D,$A49,Transactions!$B:$B,"Sell shares"))</f>
        <v/>
      </c>
      <c r="H49" s="14" t="str">
        <f aca="false">IF($A49="","",IF(SUMIFS(Transactions!$J:$J,Transactions!$D:$D,$A49,Transactions!$B:$B,"Buy shares")&lt;&gt;0,-SUMIFS(Transactions!$J:$J,Transactions!$D:$D,$A49,Transactions!$B:$B,"Buy shares"),IFERROR(INDEX(Lots!$E:$E,MATCH($W49,Lots!$A:$A,0))*-SUMIFS(Transactions!$E:$E,Transactions!$D:$D,$A49,Transactions!$B:$B,"Sell call")*100,0)))</f>
        <v/>
      </c>
      <c r="I49" s="14" t="str">
        <f aca="false">IF($A49="","",SUMIFS(Transactions!$J:$J,Transactions!$D:$D,$A49,Transactions!$B:$B,"Sell call"))</f>
        <v/>
      </c>
      <c r="J49" s="14" t="str">
        <f aca="false">IF($A49="","",-SUMIFS(Transactions!$J:$J,Transactions!$D:$D,$A49,Transactions!$B:$B,"Buy to close"))</f>
        <v/>
      </c>
      <c r="K49" s="23"/>
      <c r="L49" s="23"/>
      <c r="M49" s="23"/>
      <c r="N49" s="21"/>
      <c r="O49" s="28"/>
      <c r="P49" s="14" t="str">
        <f aca="false">IF(OR(C49&lt;&gt;"Open",L49=""),"",L49*100*D49)</f>
        <v/>
      </c>
      <c r="Q49" s="14" t="str">
        <f aca="false">IF(OR(C49&lt;&gt;"Open",P49=""),"",I49-J49-P49)</f>
        <v/>
      </c>
      <c r="R49" s="14" t="str">
        <f aca="false">IF(OR(C49&lt;&gt;"Open",K49=""),"",K49*G49)</f>
        <v/>
      </c>
      <c r="S49" s="14" t="str">
        <f aca="false">IF(OR(R49="",Q49=""),"",R49-H49+Q49)</f>
        <v/>
      </c>
      <c r="T49" s="13" t="str">
        <f aca="false">IF(OR(R49="",Q49="",N(H49)=0),"",(R49+Q49)/H49)</f>
        <v/>
      </c>
      <c r="U49" s="10" t="str">
        <f aca="false">IF(C49&lt;&gt;"Closed","",_xlfn.MAXIFS(Transactions!$A:$A,Transactions!$D:$D,$A49))</f>
        <v/>
      </c>
      <c r="V49" s="14" t="str">
        <f aca="false">IF(C49&lt;&gt;"Closed","",I49-J49)</f>
        <v/>
      </c>
      <c r="W49" s="8" t="str">
        <f aca="false">IF($A49="","",IFERROR(INDEX(Transactions!$O:$O,MATCH($A49,Transactions!$D:$D,0)),""))</f>
        <v/>
      </c>
    </row>
    <row r="50" customFormat="false" ht="15" hidden="false" customHeight="false" outlineLevel="0" collapsed="false">
      <c r="A50" s="21"/>
      <c r="B50" s="8" t="str">
        <f aca="false">IF($A50="","",IFERROR(INDEX(Transactions!$C:$C,MATCH($A50,Transactions!$D:$D,0)),""))</f>
        <v/>
      </c>
      <c r="C50" s="8" t="str">
        <f aca="false">IF($A50="","",IF(D50&gt;0,"Open","Closed"))</f>
        <v/>
      </c>
      <c r="D50" s="8" t="str">
        <f aca="false">IF($A50="","",-SUMIFS(Transactions!$E:$E,Transactions!$D:$D,$A50,Transactions!$B:$B,"Sell call")-SUMIFS(Transactions!$E:$E,Transactions!$D:$D,$A50,Transactions!$B:$B,"Buy to close")-SUMIFS(Transactions!$E:$E,Transactions!$D:$D,$A50,Transactions!$B:$B,"Expired")-SUMIFS(Transactions!$E:$E,Transactions!$D:$D,$A50,Transactions!$B:$B,"Assigned"))</f>
        <v/>
      </c>
      <c r="E50" s="27" t="str">
        <f aca="false">IF($A50="","",IFERROR(SUMIFS(Transactions!$F:$F,Transactions!$D:$D,$A50,Transactions!$B:$B,"Sell call")/COUNTIFS(Transactions!$D:$D,$A50,Transactions!$B:$B,"Sell call"),""))</f>
        <v/>
      </c>
      <c r="F50" s="10" t="str">
        <f aca="false">IF($A50="","",IFERROR(SUMIFS(Transactions!$G:$G,Transactions!$D:$D,$A50,Transactions!$B:$B,"Sell call")/COUNTIFS(Transactions!$D:$D,$A50,Transactions!$B:$B,"Sell call"),""))</f>
        <v/>
      </c>
      <c r="G50" s="8" t="str">
        <f aca="false">IF($A50="","",-SUMIFS(Transactions!$E:$E,Transactions!$D:$D,$A50,Transactions!$B:$B,"Sell call")*100+SUMIFS(Transactions!$E:$E,Transactions!$D:$D,$A50,Transactions!$B:$B,"Sell shares"))</f>
        <v/>
      </c>
      <c r="H50" s="14" t="str">
        <f aca="false">IF($A50="","",IF(SUMIFS(Transactions!$J:$J,Transactions!$D:$D,$A50,Transactions!$B:$B,"Buy shares")&lt;&gt;0,-SUMIFS(Transactions!$J:$J,Transactions!$D:$D,$A50,Transactions!$B:$B,"Buy shares"),IFERROR(INDEX(Lots!$E:$E,MATCH($W50,Lots!$A:$A,0))*-SUMIFS(Transactions!$E:$E,Transactions!$D:$D,$A50,Transactions!$B:$B,"Sell call")*100,0)))</f>
        <v/>
      </c>
      <c r="I50" s="14" t="str">
        <f aca="false">IF($A50="","",SUMIFS(Transactions!$J:$J,Transactions!$D:$D,$A50,Transactions!$B:$B,"Sell call"))</f>
        <v/>
      </c>
      <c r="J50" s="14" t="str">
        <f aca="false">IF($A50="","",-SUMIFS(Transactions!$J:$J,Transactions!$D:$D,$A50,Transactions!$B:$B,"Buy to close"))</f>
        <v/>
      </c>
      <c r="K50" s="23"/>
      <c r="L50" s="23"/>
      <c r="M50" s="23"/>
      <c r="N50" s="21"/>
      <c r="O50" s="28"/>
      <c r="P50" s="14" t="str">
        <f aca="false">IF(OR(C50&lt;&gt;"Open",L50=""),"",L50*100*D50)</f>
        <v/>
      </c>
      <c r="Q50" s="14" t="str">
        <f aca="false">IF(OR(C50&lt;&gt;"Open",P50=""),"",I50-J50-P50)</f>
        <v/>
      </c>
      <c r="R50" s="14" t="str">
        <f aca="false">IF(OR(C50&lt;&gt;"Open",K50=""),"",K50*G50)</f>
        <v/>
      </c>
      <c r="S50" s="14" t="str">
        <f aca="false">IF(OR(R50="",Q50=""),"",R50-H50+Q50)</f>
        <v/>
      </c>
      <c r="T50" s="13" t="str">
        <f aca="false">IF(OR(R50="",Q50="",N(H50)=0),"",(R50+Q50)/H50)</f>
        <v/>
      </c>
      <c r="U50" s="10" t="str">
        <f aca="false">IF(C50&lt;&gt;"Closed","",_xlfn.MAXIFS(Transactions!$A:$A,Transactions!$D:$D,$A50))</f>
        <v/>
      </c>
      <c r="V50" s="14" t="str">
        <f aca="false">IF(C50&lt;&gt;"Closed","",I50-J50)</f>
        <v/>
      </c>
      <c r="W50" s="8" t="str">
        <f aca="false">IF($A50="","",IFERROR(INDEX(Transactions!$O:$O,MATCH($A50,Transactions!$D:$D,0)),""))</f>
        <v/>
      </c>
    </row>
    <row r="51" customFormat="false" ht="15" hidden="false" customHeight="false" outlineLevel="0" collapsed="false">
      <c r="A51" s="21"/>
      <c r="B51" s="8" t="str">
        <f aca="false">IF($A51="","",IFERROR(INDEX(Transactions!$C:$C,MATCH($A51,Transactions!$D:$D,0)),""))</f>
        <v/>
      </c>
      <c r="C51" s="8" t="str">
        <f aca="false">IF($A51="","",IF(D51&gt;0,"Open","Closed"))</f>
        <v/>
      </c>
      <c r="D51" s="8" t="str">
        <f aca="false">IF($A51="","",-SUMIFS(Transactions!$E:$E,Transactions!$D:$D,$A51,Transactions!$B:$B,"Sell call")-SUMIFS(Transactions!$E:$E,Transactions!$D:$D,$A51,Transactions!$B:$B,"Buy to close")-SUMIFS(Transactions!$E:$E,Transactions!$D:$D,$A51,Transactions!$B:$B,"Expired")-SUMIFS(Transactions!$E:$E,Transactions!$D:$D,$A51,Transactions!$B:$B,"Assigned"))</f>
        <v/>
      </c>
      <c r="E51" s="27" t="str">
        <f aca="false">IF($A51="","",IFERROR(SUMIFS(Transactions!$F:$F,Transactions!$D:$D,$A51,Transactions!$B:$B,"Sell call")/COUNTIFS(Transactions!$D:$D,$A51,Transactions!$B:$B,"Sell call"),""))</f>
        <v/>
      </c>
      <c r="F51" s="10" t="str">
        <f aca="false">IF($A51="","",IFERROR(SUMIFS(Transactions!$G:$G,Transactions!$D:$D,$A51,Transactions!$B:$B,"Sell call")/COUNTIFS(Transactions!$D:$D,$A51,Transactions!$B:$B,"Sell call"),""))</f>
        <v/>
      </c>
      <c r="G51" s="8" t="str">
        <f aca="false">IF($A51="","",-SUMIFS(Transactions!$E:$E,Transactions!$D:$D,$A51,Transactions!$B:$B,"Sell call")*100+SUMIFS(Transactions!$E:$E,Transactions!$D:$D,$A51,Transactions!$B:$B,"Sell shares"))</f>
        <v/>
      </c>
      <c r="H51" s="14" t="str">
        <f aca="false">IF($A51="","",IF(SUMIFS(Transactions!$J:$J,Transactions!$D:$D,$A51,Transactions!$B:$B,"Buy shares")&lt;&gt;0,-SUMIFS(Transactions!$J:$J,Transactions!$D:$D,$A51,Transactions!$B:$B,"Buy shares"),IFERROR(INDEX(Lots!$E:$E,MATCH($W51,Lots!$A:$A,0))*-SUMIFS(Transactions!$E:$E,Transactions!$D:$D,$A51,Transactions!$B:$B,"Sell call")*100,0)))</f>
        <v/>
      </c>
      <c r="I51" s="14" t="str">
        <f aca="false">IF($A51="","",SUMIFS(Transactions!$J:$J,Transactions!$D:$D,$A51,Transactions!$B:$B,"Sell call"))</f>
        <v/>
      </c>
      <c r="J51" s="14" t="str">
        <f aca="false">IF($A51="","",-SUMIFS(Transactions!$J:$J,Transactions!$D:$D,$A51,Transactions!$B:$B,"Buy to close"))</f>
        <v/>
      </c>
      <c r="K51" s="23"/>
      <c r="L51" s="23"/>
      <c r="M51" s="23"/>
      <c r="N51" s="21"/>
      <c r="O51" s="28"/>
      <c r="P51" s="14" t="str">
        <f aca="false">IF(OR(C51&lt;&gt;"Open",L51=""),"",L51*100*D51)</f>
        <v/>
      </c>
      <c r="Q51" s="14" t="str">
        <f aca="false">IF(OR(C51&lt;&gt;"Open",P51=""),"",I51-J51-P51)</f>
        <v/>
      </c>
      <c r="R51" s="14" t="str">
        <f aca="false">IF(OR(C51&lt;&gt;"Open",K51=""),"",K51*G51)</f>
        <v/>
      </c>
      <c r="S51" s="14" t="str">
        <f aca="false">IF(OR(R51="",Q51=""),"",R51-H51+Q51)</f>
        <v/>
      </c>
      <c r="T51" s="13" t="str">
        <f aca="false">IF(OR(R51="",Q51="",N(H51)=0),"",(R51+Q51)/H51)</f>
        <v/>
      </c>
      <c r="U51" s="10" t="str">
        <f aca="false">IF(C51&lt;&gt;"Closed","",_xlfn.MAXIFS(Transactions!$A:$A,Transactions!$D:$D,$A51))</f>
        <v/>
      </c>
      <c r="V51" s="14" t="str">
        <f aca="false">IF(C51&lt;&gt;"Closed","",I51-J51)</f>
        <v/>
      </c>
      <c r="W51" s="8" t="str">
        <f aca="false">IF($A51="","",IFERROR(INDEX(Transactions!$O:$O,MATCH($A51,Transactions!$D:$D,0)),""))</f>
        <v/>
      </c>
    </row>
    <row r="52" customFormat="false" ht="15" hidden="false" customHeight="false" outlineLevel="0" collapsed="false">
      <c r="A52" s="21"/>
      <c r="B52" s="8" t="str">
        <f aca="false">IF($A52="","",IFERROR(INDEX(Transactions!$C:$C,MATCH($A52,Transactions!$D:$D,0)),""))</f>
        <v/>
      </c>
      <c r="C52" s="8" t="str">
        <f aca="false">IF($A52="","",IF(D52&gt;0,"Open","Closed"))</f>
        <v/>
      </c>
      <c r="D52" s="8" t="str">
        <f aca="false">IF($A52="","",-SUMIFS(Transactions!$E:$E,Transactions!$D:$D,$A52,Transactions!$B:$B,"Sell call")-SUMIFS(Transactions!$E:$E,Transactions!$D:$D,$A52,Transactions!$B:$B,"Buy to close")-SUMIFS(Transactions!$E:$E,Transactions!$D:$D,$A52,Transactions!$B:$B,"Expired")-SUMIFS(Transactions!$E:$E,Transactions!$D:$D,$A52,Transactions!$B:$B,"Assigned"))</f>
        <v/>
      </c>
      <c r="E52" s="27" t="str">
        <f aca="false">IF($A52="","",IFERROR(SUMIFS(Transactions!$F:$F,Transactions!$D:$D,$A52,Transactions!$B:$B,"Sell call")/COUNTIFS(Transactions!$D:$D,$A52,Transactions!$B:$B,"Sell call"),""))</f>
        <v/>
      </c>
      <c r="F52" s="10" t="str">
        <f aca="false">IF($A52="","",IFERROR(SUMIFS(Transactions!$G:$G,Transactions!$D:$D,$A52,Transactions!$B:$B,"Sell call")/COUNTIFS(Transactions!$D:$D,$A52,Transactions!$B:$B,"Sell call"),""))</f>
        <v/>
      </c>
      <c r="G52" s="8" t="str">
        <f aca="false">IF($A52="","",-SUMIFS(Transactions!$E:$E,Transactions!$D:$D,$A52,Transactions!$B:$B,"Sell call")*100+SUMIFS(Transactions!$E:$E,Transactions!$D:$D,$A52,Transactions!$B:$B,"Sell shares"))</f>
        <v/>
      </c>
      <c r="H52" s="14" t="str">
        <f aca="false">IF($A52="","",IF(SUMIFS(Transactions!$J:$J,Transactions!$D:$D,$A52,Transactions!$B:$B,"Buy shares")&lt;&gt;0,-SUMIFS(Transactions!$J:$J,Transactions!$D:$D,$A52,Transactions!$B:$B,"Buy shares"),IFERROR(INDEX(Lots!$E:$E,MATCH($W52,Lots!$A:$A,0))*-SUMIFS(Transactions!$E:$E,Transactions!$D:$D,$A52,Transactions!$B:$B,"Sell call")*100,0)))</f>
        <v/>
      </c>
      <c r="I52" s="14" t="str">
        <f aca="false">IF($A52="","",SUMIFS(Transactions!$J:$J,Transactions!$D:$D,$A52,Transactions!$B:$B,"Sell call"))</f>
        <v/>
      </c>
      <c r="J52" s="14" t="str">
        <f aca="false">IF($A52="","",-SUMIFS(Transactions!$J:$J,Transactions!$D:$D,$A52,Transactions!$B:$B,"Buy to close"))</f>
        <v/>
      </c>
      <c r="K52" s="23"/>
      <c r="L52" s="23"/>
      <c r="M52" s="23"/>
      <c r="N52" s="21"/>
      <c r="O52" s="28"/>
      <c r="P52" s="14" t="str">
        <f aca="false">IF(OR(C52&lt;&gt;"Open",L52=""),"",L52*100*D52)</f>
        <v/>
      </c>
      <c r="Q52" s="14" t="str">
        <f aca="false">IF(OR(C52&lt;&gt;"Open",P52=""),"",I52-J52-P52)</f>
        <v/>
      </c>
      <c r="R52" s="14" t="str">
        <f aca="false">IF(OR(C52&lt;&gt;"Open",K52=""),"",K52*G52)</f>
        <v/>
      </c>
      <c r="S52" s="14" t="str">
        <f aca="false">IF(OR(R52="",Q52=""),"",R52-H52+Q52)</f>
        <v/>
      </c>
      <c r="T52" s="13" t="str">
        <f aca="false">IF(OR(R52="",Q52="",N(H52)=0),"",(R52+Q52)/H52)</f>
        <v/>
      </c>
      <c r="U52" s="10" t="str">
        <f aca="false">IF(C52&lt;&gt;"Closed","",_xlfn.MAXIFS(Transactions!$A:$A,Transactions!$D:$D,$A52))</f>
        <v/>
      </c>
      <c r="V52" s="14" t="str">
        <f aca="false">IF(C52&lt;&gt;"Closed","",I52-J52)</f>
        <v/>
      </c>
      <c r="W52" s="8" t="str">
        <f aca="false">IF($A52="","",IFERROR(INDEX(Transactions!$O:$O,MATCH($A52,Transactions!$D:$D,0)),""))</f>
        <v/>
      </c>
    </row>
    <row r="53" customFormat="false" ht="15" hidden="false" customHeight="false" outlineLevel="0" collapsed="false">
      <c r="A53" s="21"/>
      <c r="B53" s="8" t="str">
        <f aca="false">IF($A53="","",IFERROR(INDEX(Transactions!$C:$C,MATCH($A53,Transactions!$D:$D,0)),""))</f>
        <v/>
      </c>
      <c r="C53" s="8" t="str">
        <f aca="false">IF($A53="","",IF(D53&gt;0,"Open","Closed"))</f>
        <v/>
      </c>
      <c r="D53" s="8" t="str">
        <f aca="false">IF($A53="","",-SUMIFS(Transactions!$E:$E,Transactions!$D:$D,$A53,Transactions!$B:$B,"Sell call")-SUMIFS(Transactions!$E:$E,Transactions!$D:$D,$A53,Transactions!$B:$B,"Buy to close")-SUMIFS(Transactions!$E:$E,Transactions!$D:$D,$A53,Transactions!$B:$B,"Expired")-SUMIFS(Transactions!$E:$E,Transactions!$D:$D,$A53,Transactions!$B:$B,"Assigned"))</f>
        <v/>
      </c>
      <c r="E53" s="27" t="str">
        <f aca="false">IF($A53="","",IFERROR(SUMIFS(Transactions!$F:$F,Transactions!$D:$D,$A53,Transactions!$B:$B,"Sell call")/COUNTIFS(Transactions!$D:$D,$A53,Transactions!$B:$B,"Sell call"),""))</f>
        <v/>
      </c>
      <c r="F53" s="10" t="str">
        <f aca="false">IF($A53="","",IFERROR(SUMIFS(Transactions!$G:$G,Transactions!$D:$D,$A53,Transactions!$B:$B,"Sell call")/COUNTIFS(Transactions!$D:$D,$A53,Transactions!$B:$B,"Sell call"),""))</f>
        <v/>
      </c>
      <c r="G53" s="8" t="str">
        <f aca="false">IF($A53="","",-SUMIFS(Transactions!$E:$E,Transactions!$D:$D,$A53,Transactions!$B:$B,"Sell call")*100+SUMIFS(Transactions!$E:$E,Transactions!$D:$D,$A53,Transactions!$B:$B,"Sell shares"))</f>
        <v/>
      </c>
      <c r="H53" s="14" t="str">
        <f aca="false">IF($A53="","",IF(SUMIFS(Transactions!$J:$J,Transactions!$D:$D,$A53,Transactions!$B:$B,"Buy shares")&lt;&gt;0,-SUMIFS(Transactions!$J:$J,Transactions!$D:$D,$A53,Transactions!$B:$B,"Buy shares"),IFERROR(INDEX(Lots!$E:$E,MATCH($W53,Lots!$A:$A,0))*-SUMIFS(Transactions!$E:$E,Transactions!$D:$D,$A53,Transactions!$B:$B,"Sell call")*100,0)))</f>
        <v/>
      </c>
      <c r="I53" s="14" t="str">
        <f aca="false">IF($A53="","",SUMIFS(Transactions!$J:$J,Transactions!$D:$D,$A53,Transactions!$B:$B,"Sell call"))</f>
        <v/>
      </c>
      <c r="J53" s="14" t="str">
        <f aca="false">IF($A53="","",-SUMIFS(Transactions!$J:$J,Transactions!$D:$D,$A53,Transactions!$B:$B,"Buy to close"))</f>
        <v/>
      </c>
      <c r="K53" s="23"/>
      <c r="L53" s="23"/>
      <c r="M53" s="23"/>
      <c r="N53" s="21"/>
      <c r="O53" s="28"/>
      <c r="P53" s="14" t="str">
        <f aca="false">IF(OR(C53&lt;&gt;"Open",L53=""),"",L53*100*D53)</f>
        <v/>
      </c>
      <c r="Q53" s="14" t="str">
        <f aca="false">IF(OR(C53&lt;&gt;"Open",P53=""),"",I53-J53-P53)</f>
        <v/>
      </c>
      <c r="R53" s="14" t="str">
        <f aca="false">IF(OR(C53&lt;&gt;"Open",K53=""),"",K53*G53)</f>
        <v/>
      </c>
      <c r="S53" s="14" t="str">
        <f aca="false">IF(OR(R53="",Q53=""),"",R53-H53+Q53)</f>
        <v/>
      </c>
      <c r="T53" s="13" t="str">
        <f aca="false">IF(OR(R53="",Q53="",N(H53)=0),"",(R53+Q53)/H53)</f>
        <v/>
      </c>
      <c r="U53" s="10" t="str">
        <f aca="false">IF(C53&lt;&gt;"Closed","",_xlfn.MAXIFS(Transactions!$A:$A,Transactions!$D:$D,$A53))</f>
        <v/>
      </c>
      <c r="V53" s="14" t="str">
        <f aca="false">IF(C53&lt;&gt;"Closed","",I53-J53)</f>
        <v/>
      </c>
      <c r="W53" s="8" t="str">
        <f aca="false">IF($A53="","",IFERROR(INDEX(Transactions!$O:$O,MATCH($A53,Transactions!$D:$D,0)),""))</f>
        <v/>
      </c>
    </row>
    <row r="54" customFormat="false" ht="15" hidden="false" customHeight="false" outlineLevel="0" collapsed="false">
      <c r="A54" s="21"/>
      <c r="B54" s="8" t="str">
        <f aca="false">IF($A54="","",IFERROR(INDEX(Transactions!$C:$C,MATCH($A54,Transactions!$D:$D,0)),""))</f>
        <v/>
      </c>
      <c r="C54" s="8" t="str">
        <f aca="false">IF($A54="","",IF(D54&gt;0,"Open","Closed"))</f>
        <v/>
      </c>
      <c r="D54" s="8" t="str">
        <f aca="false">IF($A54="","",-SUMIFS(Transactions!$E:$E,Transactions!$D:$D,$A54,Transactions!$B:$B,"Sell call")-SUMIFS(Transactions!$E:$E,Transactions!$D:$D,$A54,Transactions!$B:$B,"Buy to close")-SUMIFS(Transactions!$E:$E,Transactions!$D:$D,$A54,Transactions!$B:$B,"Expired")-SUMIFS(Transactions!$E:$E,Transactions!$D:$D,$A54,Transactions!$B:$B,"Assigned"))</f>
        <v/>
      </c>
      <c r="E54" s="27" t="str">
        <f aca="false">IF($A54="","",IFERROR(SUMIFS(Transactions!$F:$F,Transactions!$D:$D,$A54,Transactions!$B:$B,"Sell call")/COUNTIFS(Transactions!$D:$D,$A54,Transactions!$B:$B,"Sell call"),""))</f>
        <v/>
      </c>
      <c r="F54" s="10" t="str">
        <f aca="false">IF($A54="","",IFERROR(SUMIFS(Transactions!$G:$G,Transactions!$D:$D,$A54,Transactions!$B:$B,"Sell call")/COUNTIFS(Transactions!$D:$D,$A54,Transactions!$B:$B,"Sell call"),""))</f>
        <v/>
      </c>
      <c r="G54" s="8" t="str">
        <f aca="false">IF($A54="","",-SUMIFS(Transactions!$E:$E,Transactions!$D:$D,$A54,Transactions!$B:$B,"Sell call")*100+SUMIFS(Transactions!$E:$E,Transactions!$D:$D,$A54,Transactions!$B:$B,"Sell shares"))</f>
        <v/>
      </c>
      <c r="H54" s="14" t="str">
        <f aca="false">IF($A54="","",IF(SUMIFS(Transactions!$J:$J,Transactions!$D:$D,$A54,Transactions!$B:$B,"Buy shares")&lt;&gt;0,-SUMIFS(Transactions!$J:$J,Transactions!$D:$D,$A54,Transactions!$B:$B,"Buy shares"),IFERROR(INDEX(Lots!$E:$E,MATCH($W54,Lots!$A:$A,0))*-SUMIFS(Transactions!$E:$E,Transactions!$D:$D,$A54,Transactions!$B:$B,"Sell call")*100,0)))</f>
        <v/>
      </c>
      <c r="I54" s="14" t="str">
        <f aca="false">IF($A54="","",SUMIFS(Transactions!$J:$J,Transactions!$D:$D,$A54,Transactions!$B:$B,"Sell call"))</f>
        <v/>
      </c>
      <c r="J54" s="14" t="str">
        <f aca="false">IF($A54="","",-SUMIFS(Transactions!$J:$J,Transactions!$D:$D,$A54,Transactions!$B:$B,"Buy to close"))</f>
        <v/>
      </c>
      <c r="K54" s="23"/>
      <c r="L54" s="23"/>
      <c r="M54" s="23"/>
      <c r="N54" s="21"/>
      <c r="O54" s="28"/>
      <c r="P54" s="14" t="str">
        <f aca="false">IF(OR(C54&lt;&gt;"Open",L54=""),"",L54*100*D54)</f>
        <v/>
      </c>
      <c r="Q54" s="14" t="str">
        <f aca="false">IF(OR(C54&lt;&gt;"Open",P54=""),"",I54-J54-P54)</f>
        <v/>
      </c>
      <c r="R54" s="14" t="str">
        <f aca="false">IF(OR(C54&lt;&gt;"Open",K54=""),"",K54*G54)</f>
        <v/>
      </c>
      <c r="S54" s="14" t="str">
        <f aca="false">IF(OR(R54="",Q54=""),"",R54-H54+Q54)</f>
        <v/>
      </c>
      <c r="T54" s="13" t="str">
        <f aca="false">IF(OR(R54="",Q54="",N(H54)=0),"",(R54+Q54)/H54)</f>
        <v/>
      </c>
      <c r="U54" s="10" t="str">
        <f aca="false">IF(C54&lt;&gt;"Closed","",_xlfn.MAXIFS(Transactions!$A:$A,Transactions!$D:$D,$A54))</f>
        <v/>
      </c>
      <c r="V54" s="14" t="str">
        <f aca="false">IF(C54&lt;&gt;"Closed","",I54-J54)</f>
        <v/>
      </c>
      <c r="W54" s="8" t="str">
        <f aca="false">IF($A54="","",IFERROR(INDEX(Transactions!$O:$O,MATCH($A54,Transactions!$D:$D,0)),""))</f>
        <v/>
      </c>
    </row>
    <row r="55" customFormat="false" ht="15" hidden="false" customHeight="false" outlineLevel="0" collapsed="false">
      <c r="A55" s="21"/>
      <c r="B55" s="8" t="str">
        <f aca="false">IF($A55="","",IFERROR(INDEX(Transactions!$C:$C,MATCH($A55,Transactions!$D:$D,0)),""))</f>
        <v/>
      </c>
      <c r="C55" s="8" t="str">
        <f aca="false">IF($A55="","",IF(D55&gt;0,"Open","Closed"))</f>
        <v/>
      </c>
      <c r="D55" s="8" t="str">
        <f aca="false">IF($A55="","",-SUMIFS(Transactions!$E:$E,Transactions!$D:$D,$A55,Transactions!$B:$B,"Sell call")-SUMIFS(Transactions!$E:$E,Transactions!$D:$D,$A55,Transactions!$B:$B,"Buy to close")-SUMIFS(Transactions!$E:$E,Transactions!$D:$D,$A55,Transactions!$B:$B,"Expired")-SUMIFS(Transactions!$E:$E,Transactions!$D:$D,$A55,Transactions!$B:$B,"Assigned"))</f>
        <v/>
      </c>
      <c r="E55" s="27" t="str">
        <f aca="false">IF($A55="","",IFERROR(SUMIFS(Transactions!$F:$F,Transactions!$D:$D,$A55,Transactions!$B:$B,"Sell call")/COUNTIFS(Transactions!$D:$D,$A55,Transactions!$B:$B,"Sell call"),""))</f>
        <v/>
      </c>
      <c r="F55" s="10" t="str">
        <f aca="false">IF($A55="","",IFERROR(SUMIFS(Transactions!$G:$G,Transactions!$D:$D,$A55,Transactions!$B:$B,"Sell call")/COUNTIFS(Transactions!$D:$D,$A55,Transactions!$B:$B,"Sell call"),""))</f>
        <v/>
      </c>
      <c r="G55" s="8" t="str">
        <f aca="false">IF($A55="","",-SUMIFS(Transactions!$E:$E,Transactions!$D:$D,$A55,Transactions!$B:$B,"Sell call")*100+SUMIFS(Transactions!$E:$E,Transactions!$D:$D,$A55,Transactions!$B:$B,"Sell shares"))</f>
        <v/>
      </c>
      <c r="H55" s="14" t="str">
        <f aca="false">IF($A55="","",IF(SUMIFS(Transactions!$J:$J,Transactions!$D:$D,$A55,Transactions!$B:$B,"Buy shares")&lt;&gt;0,-SUMIFS(Transactions!$J:$J,Transactions!$D:$D,$A55,Transactions!$B:$B,"Buy shares"),IFERROR(INDEX(Lots!$E:$E,MATCH($W55,Lots!$A:$A,0))*-SUMIFS(Transactions!$E:$E,Transactions!$D:$D,$A55,Transactions!$B:$B,"Sell call")*100,0)))</f>
        <v/>
      </c>
      <c r="I55" s="14" t="str">
        <f aca="false">IF($A55="","",SUMIFS(Transactions!$J:$J,Transactions!$D:$D,$A55,Transactions!$B:$B,"Sell call"))</f>
        <v/>
      </c>
      <c r="J55" s="14" t="str">
        <f aca="false">IF($A55="","",-SUMIFS(Transactions!$J:$J,Transactions!$D:$D,$A55,Transactions!$B:$B,"Buy to close"))</f>
        <v/>
      </c>
      <c r="K55" s="23"/>
      <c r="L55" s="23"/>
      <c r="M55" s="23"/>
      <c r="N55" s="21"/>
      <c r="O55" s="28"/>
      <c r="P55" s="14" t="str">
        <f aca="false">IF(OR(C55&lt;&gt;"Open",L55=""),"",L55*100*D55)</f>
        <v/>
      </c>
      <c r="Q55" s="14" t="str">
        <f aca="false">IF(OR(C55&lt;&gt;"Open",P55=""),"",I55-J55-P55)</f>
        <v/>
      </c>
      <c r="R55" s="14" t="str">
        <f aca="false">IF(OR(C55&lt;&gt;"Open",K55=""),"",K55*G55)</f>
        <v/>
      </c>
      <c r="S55" s="14" t="str">
        <f aca="false">IF(OR(R55="",Q55=""),"",R55-H55+Q55)</f>
        <v/>
      </c>
      <c r="T55" s="13" t="str">
        <f aca="false">IF(OR(R55="",Q55="",N(H55)=0),"",(R55+Q55)/H55)</f>
        <v/>
      </c>
      <c r="U55" s="10" t="str">
        <f aca="false">IF(C55&lt;&gt;"Closed","",_xlfn.MAXIFS(Transactions!$A:$A,Transactions!$D:$D,$A55))</f>
        <v/>
      </c>
      <c r="V55" s="14" t="str">
        <f aca="false">IF(C55&lt;&gt;"Closed","",I55-J55)</f>
        <v/>
      </c>
      <c r="W55" s="8" t="str">
        <f aca="false">IF($A55="","",IFERROR(INDEX(Transactions!$O:$O,MATCH($A55,Transactions!$D:$D,0)),""))</f>
        <v/>
      </c>
    </row>
    <row r="56" customFormat="false" ht="15" hidden="false" customHeight="false" outlineLevel="0" collapsed="false">
      <c r="A56" s="21"/>
      <c r="B56" s="8" t="str">
        <f aca="false">IF($A56="","",IFERROR(INDEX(Transactions!$C:$C,MATCH($A56,Transactions!$D:$D,0)),""))</f>
        <v/>
      </c>
      <c r="C56" s="8" t="str">
        <f aca="false">IF($A56="","",IF(D56&gt;0,"Open","Closed"))</f>
        <v/>
      </c>
      <c r="D56" s="8" t="str">
        <f aca="false">IF($A56="","",-SUMIFS(Transactions!$E:$E,Transactions!$D:$D,$A56,Transactions!$B:$B,"Sell call")-SUMIFS(Transactions!$E:$E,Transactions!$D:$D,$A56,Transactions!$B:$B,"Buy to close")-SUMIFS(Transactions!$E:$E,Transactions!$D:$D,$A56,Transactions!$B:$B,"Expired")-SUMIFS(Transactions!$E:$E,Transactions!$D:$D,$A56,Transactions!$B:$B,"Assigned"))</f>
        <v/>
      </c>
      <c r="E56" s="27" t="str">
        <f aca="false">IF($A56="","",IFERROR(SUMIFS(Transactions!$F:$F,Transactions!$D:$D,$A56,Transactions!$B:$B,"Sell call")/COUNTIFS(Transactions!$D:$D,$A56,Transactions!$B:$B,"Sell call"),""))</f>
        <v/>
      </c>
      <c r="F56" s="10" t="str">
        <f aca="false">IF($A56="","",IFERROR(SUMIFS(Transactions!$G:$G,Transactions!$D:$D,$A56,Transactions!$B:$B,"Sell call")/COUNTIFS(Transactions!$D:$D,$A56,Transactions!$B:$B,"Sell call"),""))</f>
        <v/>
      </c>
      <c r="G56" s="8" t="str">
        <f aca="false">IF($A56="","",-SUMIFS(Transactions!$E:$E,Transactions!$D:$D,$A56,Transactions!$B:$B,"Sell call")*100+SUMIFS(Transactions!$E:$E,Transactions!$D:$D,$A56,Transactions!$B:$B,"Sell shares"))</f>
        <v/>
      </c>
      <c r="H56" s="14" t="str">
        <f aca="false">IF($A56="","",IF(SUMIFS(Transactions!$J:$J,Transactions!$D:$D,$A56,Transactions!$B:$B,"Buy shares")&lt;&gt;0,-SUMIFS(Transactions!$J:$J,Transactions!$D:$D,$A56,Transactions!$B:$B,"Buy shares"),IFERROR(INDEX(Lots!$E:$E,MATCH($W56,Lots!$A:$A,0))*-SUMIFS(Transactions!$E:$E,Transactions!$D:$D,$A56,Transactions!$B:$B,"Sell call")*100,0)))</f>
        <v/>
      </c>
      <c r="I56" s="14" t="str">
        <f aca="false">IF($A56="","",SUMIFS(Transactions!$J:$J,Transactions!$D:$D,$A56,Transactions!$B:$B,"Sell call"))</f>
        <v/>
      </c>
      <c r="J56" s="14" t="str">
        <f aca="false">IF($A56="","",-SUMIFS(Transactions!$J:$J,Transactions!$D:$D,$A56,Transactions!$B:$B,"Buy to close"))</f>
        <v/>
      </c>
      <c r="K56" s="23"/>
      <c r="L56" s="23"/>
      <c r="M56" s="23"/>
      <c r="N56" s="21"/>
      <c r="O56" s="28"/>
      <c r="P56" s="14" t="str">
        <f aca="false">IF(OR(C56&lt;&gt;"Open",L56=""),"",L56*100*D56)</f>
        <v/>
      </c>
      <c r="Q56" s="14" t="str">
        <f aca="false">IF(OR(C56&lt;&gt;"Open",P56=""),"",I56-J56-P56)</f>
        <v/>
      </c>
      <c r="R56" s="14" t="str">
        <f aca="false">IF(OR(C56&lt;&gt;"Open",K56=""),"",K56*G56)</f>
        <v/>
      </c>
      <c r="S56" s="14" t="str">
        <f aca="false">IF(OR(R56="",Q56=""),"",R56-H56+Q56)</f>
        <v/>
      </c>
      <c r="T56" s="13" t="str">
        <f aca="false">IF(OR(R56="",Q56="",N(H56)=0),"",(R56+Q56)/H56)</f>
        <v/>
      </c>
      <c r="U56" s="10" t="str">
        <f aca="false">IF(C56&lt;&gt;"Closed","",_xlfn.MAXIFS(Transactions!$A:$A,Transactions!$D:$D,$A56))</f>
        <v/>
      </c>
      <c r="V56" s="14" t="str">
        <f aca="false">IF(C56&lt;&gt;"Closed","",I56-J56)</f>
        <v/>
      </c>
      <c r="W56" s="8" t="str">
        <f aca="false">IF($A56="","",IFERROR(INDEX(Transactions!$O:$O,MATCH($A56,Transactions!$D:$D,0)),""))</f>
        <v/>
      </c>
    </row>
    <row r="57" customFormat="false" ht="15" hidden="false" customHeight="false" outlineLevel="0" collapsed="false">
      <c r="A57" s="21"/>
      <c r="B57" s="8" t="str">
        <f aca="false">IF($A57="","",IFERROR(INDEX(Transactions!$C:$C,MATCH($A57,Transactions!$D:$D,0)),""))</f>
        <v/>
      </c>
      <c r="C57" s="8" t="str">
        <f aca="false">IF($A57="","",IF(D57&gt;0,"Open","Closed"))</f>
        <v/>
      </c>
      <c r="D57" s="8" t="str">
        <f aca="false">IF($A57="","",-SUMIFS(Transactions!$E:$E,Transactions!$D:$D,$A57,Transactions!$B:$B,"Sell call")-SUMIFS(Transactions!$E:$E,Transactions!$D:$D,$A57,Transactions!$B:$B,"Buy to close")-SUMIFS(Transactions!$E:$E,Transactions!$D:$D,$A57,Transactions!$B:$B,"Expired")-SUMIFS(Transactions!$E:$E,Transactions!$D:$D,$A57,Transactions!$B:$B,"Assigned"))</f>
        <v/>
      </c>
      <c r="E57" s="27" t="str">
        <f aca="false">IF($A57="","",IFERROR(SUMIFS(Transactions!$F:$F,Transactions!$D:$D,$A57,Transactions!$B:$B,"Sell call")/COUNTIFS(Transactions!$D:$D,$A57,Transactions!$B:$B,"Sell call"),""))</f>
        <v/>
      </c>
      <c r="F57" s="10" t="str">
        <f aca="false">IF($A57="","",IFERROR(SUMIFS(Transactions!$G:$G,Transactions!$D:$D,$A57,Transactions!$B:$B,"Sell call")/COUNTIFS(Transactions!$D:$D,$A57,Transactions!$B:$B,"Sell call"),""))</f>
        <v/>
      </c>
      <c r="G57" s="8" t="str">
        <f aca="false">IF($A57="","",-SUMIFS(Transactions!$E:$E,Transactions!$D:$D,$A57,Transactions!$B:$B,"Sell call")*100+SUMIFS(Transactions!$E:$E,Transactions!$D:$D,$A57,Transactions!$B:$B,"Sell shares"))</f>
        <v/>
      </c>
      <c r="H57" s="14" t="str">
        <f aca="false">IF($A57="","",IF(SUMIFS(Transactions!$J:$J,Transactions!$D:$D,$A57,Transactions!$B:$B,"Buy shares")&lt;&gt;0,-SUMIFS(Transactions!$J:$J,Transactions!$D:$D,$A57,Transactions!$B:$B,"Buy shares"),IFERROR(INDEX(Lots!$E:$E,MATCH($W57,Lots!$A:$A,0))*-SUMIFS(Transactions!$E:$E,Transactions!$D:$D,$A57,Transactions!$B:$B,"Sell call")*100,0)))</f>
        <v/>
      </c>
      <c r="I57" s="14" t="str">
        <f aca="false">IF($A57="","",SUMIFS(Transactions!$J:$J,Transactions!$D:$D,$A57,Transactions!$B:$B,"Sell call"))</f>
        <v/>
      </c>
      <c r="J57" s="14" t="str">
        <f aca="false">IF($A57="","",-SUMIFS(Transactions!$J:$J,Transactions!$D:$D,$A57,Transactions!$B:$B,"Buy to close"))</f>
        <v/>
      </c>
      <c r="K57" s="23"/>
      <c r="L57" s="23"/>
      <c r="M57" s="23"/>
      <c r="N57" s="21"/>
      <c r="O57" s="28"/>
      <c r="P57" s="14" t="str">
        <f aca="false">IF(OR(C57&lt;&gt;"Open",L57=""),"",L57*100*D57)</f>
        <v/>
      </c>
      <c r="Q57" s="14" t="str">
        <f aca="false">IF(OR(C57&lt;&gt;"Open",P57=""),"",I57-J57-P57)</f>
        <v/>
      </c>
      <c r="R57" s="14" t="str">
        <f aca="false">IF(OR(C57&lt;&gt;"Open",K57=""),"",K57*G57)</f>
        <v/>
      </c>
      <c r="S57" s="14" t="str">
        <f aca="false">IF(OR(R57="",Q57=""),"",R57-H57+Q57)</f>
        <v/>
      </c>
      <c r="T57" s="13" t="str">
        <f aca="false">IF(OR(R57="",Q57="",N(H57)=0),"",(R57+Q57)/H57)</f>
        <v/>
      </c>
      <c r="U57" s="10" t="str">
        <f aca="false">IF(C57&lt;&gt;"Closed","",_xlfn.MAXIFS(Transactions!$A:$A,Transactions!$D:$D,$A57))</f>
        <v/>
      </c>
      <c r="V57" s="14" t="str">
        <f aca="false">IF(C57&lt;&gt;"Closed","",I57-J57)</f>
        <v/>
      </c>
      <c r="W57" s="8" t="str">
        <f aca="false">IF($A57="","",IFERROR(INDEX(Transactions!$O:$O,MATCH($A57,Transactions!$D:$D,0)),""))</f>
        <v/>
      </c>
    </row>
    <row r="58" customFormat="false" ht="15" hidden="false" customHeight="false" outlineLevel="0" collapsed="false">
      <c r="A58" s="21"/>
      <c r="B58" s="8" t="str">
        <f aca="false">IF($A58="","",IFERROR(INDEX(Transactions!$C:$C,MATCH($A58,Transactions!$D:$D,0)),""))</f>
        <v/>
      </c>
      <c r="C58" s="8" t="str">
        <f aca="false">IF($A58="","",IF(D58&gt;0,"Open","Closed"))</f>
        <v/>
      </c>
      <c r="D58" s="8" t="str">
        <f aca="false">IF($A58="","",-SUMIFS(Transactions!$E:$E,Transactions!$D:$D,$A58,Transactions!$B:$B,"Sell call")-SUMIFS(Transactions!$E:$E,Transactions!$D:$D,$A58,Transactions!$B:$B,"Buy to close")-SUMIFS(Transactions!$E:$E,Transactions!$D:$D,$A58,Transactions!$B:$B,"Expired")-SUMIFS(Transactions!$E:$E,Transactions!$D:$D,$A58,Transactions!$B:$B,"Assigned"))</f>
        <v/>
      </c>
      <c r="E58" s="27" t="str">
        <f aca="false">IF($A58="","",IFERROR(SUMIFS(Transactions!$F:$F,Transactions!$D:$D,$A58,Transactions!$B:$B,"Sell call")/COUNTIFS(Transactions!$D:$D,$A58,Transactions!$B:$B,"Sell call"),""))</f>
        <v/>
      </c>
      <c r="F58" s="10" t="str">
        <f aca="false">IF($A58="","",IFERROR(SUMIFS(Transactions!$G:$G,Transactions!$D:$D,$A58,Transactions!$B:$B,"Sell call")/COUNTIFS(Transactions!$D:$D,$A58,Transactions!$B:$B,"Sell call"),""))</f>
        <v/>
      </c>
      <c r="G58" s="8" t="str">
        <f aca="false">IF($A58="","",-SUMIFS(Transactions!$E:$E,Transactions!$D:$D,$A58,Transactions!$B:$B,"Sell call")*100+SUMIFS(Transactions!$E:$E,Transactions!$D:$D,$A58,Transactions!$B:$B,"Sell shares"))</f>
        <v/>
      </c>
      <c r="H58" s="14" t="str">
        <f aca="false">IF($A58="","",IF(SUMIFS(Transactions!$J:$J,Transactions!$D:$D,$A58,Transactions!$B:$B,"Buy shares")&lt;&gt;0,-SUMIFS(Transactions!$J:$J,Transactions!$D:$D,$A58,Transactions!$B:$B,"Buy shares"),IFERROR(INDEX(Lots!$E:$E,MATCH($W58,Lots!$A:$A,0))*-SUMIFS(Transactions!$E:$E,Transactions!$D:$D,$A58,Transactions!$B:$B,"Sell call")*100,0)))</f>
        <v/>
      </c>
      <c r="I58" s="14" t="str">
        <f aca="false">IF($A58="","",SUMIFS(Transactions!$J:$J,Transactions!$D:$D,$A58,Transactions!$B:$B,"Sell call"))</f>
        <v/>
      </c>
      <c r="J58" s="14" t="str">
        <f aca="false">IF($A58="","",-SUMIFS(Transactions!$J:$J,Transactions!$D:$D,$A58,Transactions!$B:$B,"Buy to close"))</f>
        <v/>
      </c>
      <c r="K58" s="23"/>
      <c r="L58" s="23"/>
      <c r="M58" s="23"/>
      <c r="N58" s="21"/>
      <c r="O58" s="28"/>
      <c r="P58" s="14" t="str">
        <f aca="false">IF(OR(C58&lt;&gt;"Open",L58=""),"",L58*100*D58)</f>
        <v/>
      </c>
      <c r="Q58" s="14" t="str">
        <f aca="false">IF(OR(C58&lt;&gt;"Open",P58=""),"",I58-J58-P58)</f>
        <v/>
      </c>
      <c r="R58" s="14" t="str">
        <f aca="false">IF(OR(C58&lt;&gt;"Open",K58=""),"",K58*G58)</f>
        <v/>
      </c>
      <c r="S58" s="14" t="str">
        <f aca="false">IF(OR(R58="",Q58=""),"",R58-H58+Q58)</f>
        <v/>
      </c>
      <c r="T58" s="13" t="str">
        <f aca="false">IF(OR(R58="",Q58="",N(H58)=0),"",(R58+Q58)/H58)</f>
        <v/>
      </c>
      <c r="U58" s="10" t="str">
        <f aca="false">IF(C58&lt;&gt;"Closed","",_xlfn.MAXIFS(Transactions!$A:$A,Transactions!$D:$D,$A58))</f>
        <v/>
      </c>
      <c r="V58" s="14" t="str">
        <f aca="false">IF(C58&lt;&gt;"Closed","",I58-J58)</f>
        <v/>
      </c>
      <c r="W58" s="8" t="str">
        <f aca="false">IF($A58="","",IFERROR(INDEX(Transactions!$O:$O,MATCH($A58,Transactions!$D:$D,0)),""))</f>
        <v/>
      </c>
    </row>
    <row r="59" customFormat="false" ht="15" hidden="false" customHeight="false" outlineLevel="0" collapsed="false">
      <c r="A59" s="21"/>
      <c r="B59" s="8" t="str">
        <f aca="false">IF($A59="","",IFERROR(INDEX(Transactions!$C:$C,MATCH($A59,Transactions!$D:$D,0)),""))</f>
        <v/>
      </c>
      <c r="C59" s="8" t="str">
        <f aca="false">IF($A59="","",IF(D59&gt;0,"Open","Closed"))</f>
        <v/>
      </c>
      <c r="D59" s="8" t="str">
        <f aca="false">IF($A59="","",-SUMIFS(Transactions!$E:$E,Transactions!$D:$D,$A59,Transactions!$B:$B,"Sell call")-SUMIFS(Transactions!$E:$E,Transactions!$D:$D,$A59,Transactions!$B:$B,"Buy to close")-SUMIFS(Transactions!$E:$E,Transactions!$D:$D,$A59,Transactions!$B:$B,"Expired")-SUMIFS(Transactions!$E:$E,Transactions!$D:$D,$A59,Transactions!$B:$B,"Assigned"))</f>
        <v/>
      </c>
      <c r="E59" s="27" t="str">
        <f aca="false">IF($A59="","",IFERROR(SUMIFS(Transactions!$F:$F,Transactions!$D:$D,$A59,Transactions!$B:$B,"Sell call")/COUNTIFS(Transactions!$D:$D,$A59,Transactions!$B:$B,"Sell call"),""))</f>
        <v/>
      </c>
      <c r="F59" s="10" t="str">
        <f aca="false">IF($A59="","",IFERROR(SUMIFS(Transactions!$G:$G,Transactions!$D:$D,$A59,Transactions!$B:$B,"Sell call")/COUNTIFS(Transactions!$D:$D,$A59,Transactions!$B:$B,"Sell call"),""))</f>
        <v/>
      </c>
      <c r="G59" s="8" t="str">
        <f aca="false">IF($A59="","",-SUMIFS(Transactions!$E:$E,Transactions!$D:$D,$A59,Transactions!$B:$B,"Sell call")*100+SUMIFS(Transactions!$E:$E,Transactions!$D:$D,$A59,Transactions!$B:$B,"Sell shares"))</f>
        <v/>
      </c>
      <c r="H59" s="14" t="str">
        <f aca="false">IF($A59="","",IF(SUMIFS(Transactions!$J:$J,Transactions!$D:$D,$A59,Transactions!$B:$B,"Buy shares")&lt;&gt;0,-SUMIFS(Transactions!$J:$J,Transactions!$D:$D,$A59,Transactions!$B:$B,"Buy shares"),IFERROR(INDEX(Lots!$E:$E,MATCH($W59,Lots!$A:$A,0))*-SUMIFS(Transactions!$E:$E,Transactions!$D:$D,$A59,Transactions!$B:$B,"Sell call")*100,0)))</f>
        <v/>
      </c>
      <c r="I59" s="14" t="str">
        <f aca="false">IF($A59="","",SUMIFS(Transactions!$J:$J,Transactions!$D:$D,$A59,Transactions!$B:$B,"Sell call"))</f>
        <v/>
      </c>
      <c r="J59" s="14" t="str">
        <f aca="false">IF($A59="","",-SUMIFS(Transactions!$J:$J,Transactions!$D:$D,$A59,Transactions!$B:$B,"Buy to close"))</f>
        <v/>
      </c>
      <c r="K59" s="23"/>
      <c r="L59" s="23"/>
      <c r="M59" s="23"/>
      <c r="N59" s="21"/>
      <c r="O59" s="28"/>
      <c r="P59" s="14" t="str">
        <f aca="false">IF(OR(C59&lt;&gt;"Open",L59=""),"",L59*100*D59)</f>
        <v/>
      </c>
      <c r="Q59" s="14" t="str">
        <f aca="false">IF(OR(C59&lt;&gt;"Open",P59=""),"",I59-J59-P59)</f>
        <v/>
      </c>
      <c r="R59" s="14" t="str">
        <f aca="false">IF(OR(C59&lt;&gt;"Open",K59=""),"",K59*G59)</f>
        <v/>
      </c>
      <c r="S59" s="14" t="str">
        <f aca="false">IF(OR(R59="",Q59=""),"",R59-H59+Q59)</f>
        <v/>
      </c>
      <c r="T59" s="13" t="str">
        <f aca="false">IF(OR(R59="",Q59="",N(H59)=0),"",(R59+Q59)/H59)</f>
        <v/>
      </c>
      <c r="U59" s="10" t="str">
        <f aca="false">IF(C59&lt;&gt;"Closed","",_xlfn.MAXIFS(Transactions!$A:$A,Transactions!$D:$D,$A59))</f>
        <v/>
      </c>
      <c r="V59" s="14" t="str">
        <f aca="false">IF(C59&lt;&gt;"Closed","",I59-J59)</f>
        <v/>
      </c>
      <c r="W59" s="8" t="str">
        <f aca="false">IF($A59="","",IFERROR(INDEX(Transactions!$O:$O,MATCH($A59,Transactions!$D:$D,0)),""))</f>
        <v/>
      </c>
    </row>
    <row r="60" customFormat="false" ht="15" hidden="false" customHeight="false" outlineLevel="0" collapsed="false">
      <c r="A60" s="21"/>
      <c r="B60" s="8" t="str">
        <f aca="false">IF($A60="","",IFERROR(INDEX(Transactions!$C:$C,MATCH($A60,Transactions!$D:$D,0)),""))</f>
        <v/>
      </c>
      <c r="C60" s="8" t="str">
        <f aca="false">IF($A60="","",IF(D60&gt;0,"Open","Closed"))</f>
        <v/>
      </c>
      <c r="D60" s="8" t="str">
        <f aca="false">IF($A60="","",-SUMIFS(Transactions!$E:$E,Transactions!$D:$D,$A60,Transactions!$B:$B,"Sell call")-SUMIFS(Transactions!$E:$E,Transactions!$D:$D,$A60,Transactions!$B:$B,"Buy to close")-SUMIFS(Transactions!$E:$E,Transactions!$D:$D,$A60,Transactions!$B:$B,"Expired")-SUMIFS(Transactions!$E:$E,Transactions!$D:$D,$A60,Transactions!$B:$B,"Assigned"))</f>
        <v/>
      </c>
      <c r="E60" s="27" t="str">
        <f aca="false">IF($A60="","",IFERROR(SUMIFS(Transactions!$F:$F,Transactions!$D:$D,$A60,Transactions!$B:$B,"Sell call")/COUNTIFS(Transactions!$D:$D,$A60,Transactions!$B:$B,"Sell call"),""))</f>
        <v/>
      </c>
      <c r="F60" s="10" t="str">
        <f aca="false">IF($A60="","",IFERROR(SUMIFS(Transactions!$G:$G,Transactions!$D:$D,$A60,Transactions!$B:$B,"Sell call")/COUNTIFS(Transactions!$D:$D,$A60,Transactions!$B:$B,"Sell call"),""))</f>
        <v/>
      </c>
      <c r="G60" s="8" t="str">
        <f aca="false">IF($A60="","",-SUMIFS(Transactions!$E:$E,Transactions!$D:$D,$A60,Transactions!$B:$B,"Sell call")*100+SUMIFS(Transactions!$E:$E,Transactions!$D:$D,$A60,Transactions!$B:$B,"Sell shares"))</f>
        <v/>
      </c>
      <c r="H60" s="14" t="str">
        <f aca="false">IF($A60="","",IF(SUMIFS(Transactions!$J:$J,Transactions!$D:$D,$A60,Transactions!$B:$B,"Buy shares")&lt;&gt;0,-SUMIFS(Transactions!$J:$J,Transactions!$D:$D,$A60,Transactions!$B:$B,"Buy shares"),IFERROR(INDEX(Lots!$E:$E,MATCH($W60,Lots!$A:$A,0))*-SUMIFS(Transactions!$E:$E,Transactions!$D:$D,$A60,Transactions!$B:$B,"Sell call")*100,0)))</f>
        <v/>
      </c>
      <c r="I60" s="14" t="str">
        <f aca="false">IF($A60="","",SUMIFS(Transactions!$J:$J,Transactions!$D:$D,$A60,Transactions!$B:$B,"Sell call"))</f>
        <v/>
      </c>
      <c r="J60" s="14" t="str">
        <f aca="false">IF($A60="","",-SUMIFS(Transactions!$J:$J,Transactions!$D:$D,$A60,Transactions!$B:$B,"Buy to close"))</f>
        <v/>
      </c>
      <c r="K60" s="23"/>
      <c r="L60" s="23"/>
      <c r="M60" s="23"/>
      <c r="N60" s="21"/>
      <c r="O60" s="28"/>
      <c r="P60" s="14" t="str">
        <f aca="false">IF(OR(C60&lt;&gt;"Open",L60=""),"",L60*100*D60)</f>
        <v/>
      </c>
      <c r="Q60" s="14" t="str">
        <f aca="false">IF(OR(C60&lt;&gt;"Open",P60=""),"",I60-J60-P60)</f>
        <v/>
      </c>
      <c r="R60" s="14" t="str">
        <f aca="false">IF(OR(C60&lt;&gt;"Open",K60=""),"",K60*G60)</f>
        <v/>
      </c>
      <c r="S60" s="14" t="str">
        <f aca="false">IF(OR(R60="",Q60=""),"",R60-H60+Q60)</f>
        <v/>
      </c>
      <c r="T60" s="13" t="str">
        <f aca="false">IF(OR(R60="",Q60="",N(H60)=0),"",(R60+Q60)/H60)</f>
        <v/>
      </c>
      <c r="U60" s="10" t="str">
        <f aca="false">IF(C60&lt;&gt;"Closed","",_xlfn.MAXIFS(Transactions!$A:$A,Transactions!$D:$D,$A60))</f>
        <v/>
      </c>
      <c r="V60" s="14" t="str">
        <f aca="false">IF(C60&lt;&gt;"Closed","",I60-J60)</f>
        <v/>
      </c>
      <c r="W60" s="8" t="str">
        <f aca="false">IF($A60="","",IFERROR(INDEX(Transactions!$O:$O,MATCH($A60,Transactions!$D:$D,0)),""))</f>
        <v/>
      </c>
    </row>
    <row r="61" customFormat="false" ht="15" hidden="false" customHeight="false" outlineLevel="0" collapsed="false">
      <c r="A61" s="21"/>
      <c r="B61" s="8" t="str">
        <f aca="false">IF($A61="","",IFERROR(INDEX(Transactions!$C:$C,MATCH($A61,Transactions!$D:$D,0)),""))</f>
        <v/>
      </c>
      <c r="C61" s="8" t="str">
        <f aca="false">IF($A61="","",IF(D61&gt;0,"Open","Closed"))</f>
        <v/>
      </c>
      <c r="D61" s="8" t="str">
        <f aca="false">IF($A61="","",-SUMIFS(Transactions!$E:$E,Transactions!$D:$D,$A61,Transactions!$B:$B,"Sell call")-SUMIFS(Transactions!$E:$E,Transactions!$D:$D,$A61,Transactions!$B:$B,"Buy to close")-SUMIFS(Transactions!$E:$E,Transactions!$D:$D,$A61,Transactions!$B:$B,"Expired")-SUMIFS(Transactions!$E:$E,Transactions!$D:$D,$A61,Transactions!$B:$B,"Assigned"))</f>
        <v/>
      </c>
      <c r="E61" s="27" t="str">
        <f aca="false">IF($A61="","",IFERROR(SUMIFS(Transactions!$F:$F,Transactions!$D:$D,$A61,Transactions!$B:$B,"Sell call")/COUNTIFS(Transactions!$D:$D,$A61,Transactions!$B:$B,"Sell call"),""))</f>
        <v/>
      </c>
      <c r="F61" s="10" t="str">
        <f aca="false">IF($A61="","",IFERROR(SUMIFS(Transactions!$G:$G,Transactions!$D:$D,$A61,Transactions!$B:$B,"Sell call")/COUNTIFS(Transactions!$D:$D,$A61,Transactions!$B:$B,"Sell call"),""))</f>
        <v/>
      </c>
      <c r="G61" s="8" t="str">
        <f aca="false">IF($A61="","",-SUMIFS(Transactions!$E:$E,Transactions!$D:$D,$A61,Transactions!$B:$B,"Sell call")*100+SUMIFS(Transactions!$E:$E,Transactions!$D:$D,$A61,Transactions!$B:$B,"Sell shares"))</f>
        <v/>
      </c>
      <c r="H61" s="14" t="str">
        <f aca="false">IF($A61="","",IF(SUMIFS(Transactions!$J:$J,Transactions!$D:$D,$A61,Transactions!$B:$B,"Buy shares")&lt;&gt;0,-SUMIFS(Transactions!$J:$J,Transactions!$D:$D,$A61,Transactions!$B:$B,"Buy shares"),IFERROR(INDEX(Lots!$E:$E,MATCH($W61,Lots!$A:$A,0))*-SUMIFS(Transactions!$E:$E,Transactions!$D:$D,$A61,Transactions!$B:$B,"Sell call")*100,0)))</f>
        <v/>
      </c>
      <c r="I61" s="14" t="str">
        <f aca="false">IF($A61="","",SUMIFS(Transactions!$J:$J,Transactions!$D:$D,$A61,Transactions!$B:$B,"Sell call"))</f>
        <v/>
      </c>
      <c r="J61" s="14" t="str">
        <f aca="false">IF($A61="","",-SUMIFS(Transactions!$J:$J,Transactions!$D:$D,$A61,Transactions!$B:$B,"Buy to close"))</f>
        <v/>
      </c>
      <c r="K61" s="23"/>
      <c r="L61" s="23"/>
      <c r="M61" s="23"/>
      <c r="N61" s="21"/>
      <c r="O61" s="28"/>
      <c r="P61" s="14" t="str">
        <f aca="false">IF(OR(C61&lt;&gt;"Open",L61=""),"",L61*100*D61)</f>
        <v/>
      </c>
      <c r="Q61" s="14" t="str">
        <f aca="false">IF(OR(C61&lt;&gt;"Open",P61=""),"",I61-J61-P61)</f>
        <v/>
      </c>
      <c r="R61" s="14" t="str">
        <f aca="false">IF(OR(C61&lt;&gt;"Open",K61=""),"",K61*G61)</f>
        <v/>
      </c>
      <c r="S61" s="14" t="str">
        <f aca="false">IF(OR(R61="",Q61=""),"",R61-H61+Q61)</f>
        <v/>
      </c>
      <c r="T61" s="13" t="str">
        <f aca="false">IF(OR(R61="",Q61="",N(H61)=0),"",(R61+Q61)/H61)</f>
        <v/>
      </c>
      <c r="U61" s="10" t="str">
        <f aca="false">IF(C61&lt;&gt;"Closed","",_xlfn.MAXIFS(Transactions!$A:$A,Transactions!$D:$D,$A61))</f>
        <v/>
      </c>
      <c r="V61" s="14" t="str">
        <f aca="false">IF(C61&lt;&gt;"Closed","",I61-J61)</f>
        <v/>
      </c>
      <c r="W61" s="8" t="str">
        <f aca="false">IF($A61="","",IFERROR(INDEX(Transactions!$O:$O,MATCH($A61,Transactions!$D:$D,0)),""))</f>
        <v/>
      </c>
    </row>
    <row r="62" customFormat="false" ht="15" hidden="false" customHeight="false" outlineLevel="0" collapsed="false">
      <c r="A62" s="21"/>
      <c r="B62" s="8" t="str">
        <f aca="false">IF($A62="","",IFERROR(INDEX(Transactions!$C:$C,MATCH($A62,Transactions!$D:$D,0)),""))</f>
        <v/>
      </c>
      <c r="C62" s="8" t="str">
        <f aca="false">IF($A62="","",IF(D62&gt;0,"Open","Closed"))</f>
        <v/>
      </c>
      <c r="D62" s="8" t="str">
        <f aca="false">IF($A62="","",-SUMIFS(Transactions!$E:$E,Transactions!$D:$D,$A62,Transactions!$B:$B,"Sell call")-SUMIFS(Transactions!$E:$E,Transactions!$D:$D,$A62,Transactions!$B:$B,"Buy to close")-SUMIFS(Transactions!$E:$E,Transactions!$D:$D,$A62,Transactions!$B:$B,"Expired")-SUMIFS(Transactions!$E:$E,Transactions!$D:$D,$A62,Transactions!$B:$B,"Assigned"))</f>
        <v/>
      </c>
      <c r="E62" s="27" t="str">
        <f aca="false">IF($A62="","",IFERROR(SUMIFS(Transactions!$F:$F,Transactions!$D:$D,$A62,Transactions!$B:$B,"Sell call")/COUNTIFS(Transactions!$D:$D,$A62,Transactions!$B:$B,"Sell call"),""))</f>
        <v/>
      </c>
      <c r="F62" s="10" t="str">
        <f aca="false">IF($A62="","",IFERROR(SUMIFS(Transactions!$G:$G,Transactions!$D:$D,$A62,Transactions!$B:$B,"Sell call")/COUNTIFS(Transactions!$D:$D,$A62,Transactions!$B:$B,"Sell call"),""))</f>
        <v/>
      </c>
      <c r="G62" s="8" t="str">
        <f aca="false">IF($A62="","",-SUMIFS(Transactions!$E:$E,Transactions!$D:$D,$A62,Transactions!$B:$B,"Sell call")*100+SUMIFS(Transactions!$E:$E,Transactions!$D:$D,$A62,Transactions!$B:$B,"Sell shares"))</f>
        <v/>
      </c>
      <c r="H62" s="14" t="str">
        <f aca="false">IF($A62="","",IF(SUMIFS(Transactions!$J:$J,Transactions!$D:$D,$A62,Transactions!$B:$B,"Buy shares")&lt;&gt;0,-SUMIFS(Transactions!$J:$J,Transactions!$D:$D,$A62,Transactions!$B:$B,"Buy shares"),IFERROR(INDEX(Lots!$E:$E,MATCH($W62,Lots!$A:$A,0))*-SUMIFS(Transactions!$E:$E,Transactions!$D:$D,$A62,Transactions!$B:$B,"Sell call")*100,0)))</f>
        <v/>
      </c>
      <c r="I62" s="14" t="str">
        <f aca="false">IF($A62="","",SUMIFS(Transactions!$J:$J,Transactions!$D:$D,$A62,Transactions!$B:$B,"Sell call"))</f>
        <v/>
      </c>
      <c r="J62" s="14" t="str">
        <f aca="false">IF($A62="","",-SUMIFS(Transactions!$J:$J,Transactions!$D:$D,$A62,Transactions!$B:$B,"Buy to close"))</f>
        <v/>
      </c>
      <c r="K62" s="23"/>
      <c r="L62" s="23"/>
      <c r="M62" s="23"/>
      <c r="N62" s="21"/>
      <c r="O62" s="28"/>
      <c r="P62" s="14" t="str">
        <f aca="false">IF(OR(C62&lt;&gt;"Open",L62=""),"",L62*100*D62)</f>
        <v/>
      </c>
      <c r="Q62" s="14" t="str">
        <f aca="false">IF(OR(C62&lt;&gt;"Open",P62=""),"",I62-J62-P62)</f>
        <v/>
      </c>
      <c r="R62" s="14" t="str">
        <f aca="false">IF(OR(C62&lt;&gt;"Open",K62=""),"",K62*G62)</f>
        <v/>
      </c>
      <c r="S62" s="14" t="str">
        <f aca="false">IF(OR(R62="",Q62=""),"",R62-H62+Q62)</f>
        <v/>
      </c>
      <c r="T62" s="13" t="str">
        <f aca="false">IF(OR(R62="",Q62="",N(H62)=0),"",(R62+Q62)/H62)</f>
        <v/>
      </c>
      <c r="U62" s="10" t="str">
        <f aca="false">IF(C62&lt;&gt;"Closed","",_xlfn.MAXIFS(Transactions!$A:$A,Transactions!$D:$D,$A62))</f>
        <v/>
      </c>
      <c r="V62" s="14" t="str">
        <f aca="false">IF(C62&lt;&gt;"Closed","",I62-J62)</f>
        <v/>
      </c>
      <c r="W62" s="8" t="str">
        <f aca="false">IF($A62="","",IFERROR(INDEX(Transactions!$O:$O,MATCH($A62,Transactions!$D:$D,0)),""))</f>
        <v/>
      </c>
    </row>
    <row r="63" customFormat="false" ht="15" hidden="false" customHeight="false" outlineLevel="0" collapsed="false">
      <c r="A63" s="21"/>
      <c r="B63" s="8" t="str">
        <f aca="false">IF($A63="","",IFERROR(INDEX(Transactions!$C:$C,MATCH($A63,Transactions!$D:$D,0)),""))</f>
        <v/>
      </c>
      <c r="C63" s="8" t="str">
        <f aca="false">IF($A63="","",IF(D63&gt;0,"Open","Closed"))</f>
        <v/>
      </c>
      <c r="D63" s="8" t="str">
        <f aca="false">IF($A63="","",-SUMIFS(Transactions!$E:$E,Transactions!$D:$D,$A63,Transactions!$B:$B,"Sell call")-SUMIFS(Transactions!$E:$E,Transactions!$D:$D,$A63,Transactions!$B:$B,"Buy to close")-SUMIFS(Transactions!$E:$E,Transactions!$D:$D,$A63,Transactions!$B:$B,"Expired")-SUMIFS(Transactions!$E:$E,Transactions!$D:$D,$A63,Transactions!$B:$B,"Assigned"))</f>
        <v/>
      </c>
      <c r="E63" s="27" t="str">
        <f aca="false">IF($A63="","",IFERROR(SUMIFS(Transactions!$F:$F,Transactions!$D:$D,$A63,Transactions!$B:$B,"Sell call")/COUNTIFS(Transactions!$D:$D,$A63,Transactions!$B:$B,"Sell call"),""))</f>
        <v/>
      </c>
      <c r="F63" s="10" t="str">
        <f aca="false">IF($A63="","",IFERROR(SUMIFS(Transactions!$G:$G,Transactions!$D:$D,$A63,Transactions!$B:$B,"Sell call")/COUNTIFS(Transactions!$D:$D,$A63,Transactions!$B:$B,"Sell call"),""))</f>
        <v/>
      </c>
      <c r="G63" s="8" t="str">
        <f aca="false">IF($A63="","",-SUMIFS(Transactions!$E:$E,Transactions!$D:$D,$A63,Transactions!$B:$B,"Sell call")*100+SUMIFS(Transactions!$E:$E,Transactions!$D:$D,$A63,Transactions!$B:$B,"Sell shares"))</f>
        <v/>
      </c>
      <c r="H63" s="14" t="str">
        <f aca="false">IF($A63="","",IF(SUMIFS(Transactions!$J:$J,Transactions!$D:$D,$A63,Transactions!$B:$B,"Buy shares")&lt;&gt;0,-SUMIFS(Transactions!$J:$J,Transactions!$D:$D,$A63,Transactions!$B:$B,"Buy shares"),IFERROR(INDEX(Lots!$E:$E,MATCH($W63,Lots!$A:$A,0))*-SUMIFS(Transactions!$E:$E,Transactions!$D:$D,$A63,Transactions!$B:$B,"Sell call")*100,0)))</f>
        <v/>
      </c>
      <c r="I63" s="14" t="str">
        <f aca="false">IF($A63="","",SUMIFS(Transactions!$J:$J,Transactions!$D:$D,$A63,Transactions!$B:$B,"Sell call"))</f>
        <v/>
      </c>
      <c r="J63" s="14" t="str">
        <f aca="false">IF($A63="","",-SUMIFS(Transactions!$J:$J,Transactions!$D:$D,$A63,Transactions!$B:$B,"Buy to close"))</f>
        <v/>
      </c>
      <c r="K63" s="23"/>
      <c r="L63" s="23"/>
      <c r="M63" s="23"/>
      <c r="N63" s="21"/>
      <c r="O63" s="28"/>
      <c r="P63" s="14" t="str">
        <f aca="false">IF(OR(C63&lt;&gt;"Open",L63=""),"",L63*100*D63)</f>
        <v/>
      </c>
      <c r="Q63" s="14" t="str">
        <f aca="false">IF(OR(C63&lt;&gt;"Open",P63=""),"",I63-J63-P63)</f>
        <v/>
      </c>
      <c r="R63" s="14" t="str">
        <f aca="false">IF(OR(C63&lt;&gt;"Open",K63=""),"",K63*G63)</f>
        <v/>
      </c>
      <c r="S63" s="14" t="str">
        <f aca="false">IF(OR(R63="",Q63=""),"",R63-H63+Q63)</f>
        <v/>
      </c>
      <c r="T63" s="13" t="str">
        <f aca="false">IF(OR(R63="",Q63="",N(H63)=0),"",(R63+Q63)/H63)</f>
        <v/>
      </c>
      <c r="U63" s="10" t="str">
        <f aca="false">IF(C63&lt;&gt;"Closed","",_xlfn.MAXIFS(Transactions!$A:$A,Transactions!$D:$D,$A63))</f>
        <v/>
      </c>
      <c r="V63" s="14" t="str">
        <f aca="false">IF(C63&lt;&gt;"Closed","",I63-J63)</f>
        <v/>
      </c>
      <c r="W63" s="8" t="str">
        <f aca="false">IF($A63="","",IFERROR(INDEX(Transactions!$O:$O,MATCH($A63,Transactions!$D:$D,0)),""))</f>
        <v/>
      </c>
    </row>
    <row r="64" customFormat="false" ht="15" hidden="false" customHeight="false" outlineLevel="0" collapsed="false">
      <c r="A64" s="21"/>
      <c r="B64" s="8" t="str">
        <f aca="false">IF($A64="","",IFERROR(INDEX(Transactions!$C:$C,MATCH($A64,Transactions!$D:$D,0)),""))</f>
        <v/>
      </c>
      <c r="C64" s="8" t="str">
        <f aca="false">IF($A64="","",IF(D64&gt;0,"Open","Closed"))</f>
        <v/>
      </c>
      <c r="D64" s="8" t="str">
        <f aca="false">IF($A64="","",-SUMIFS(Transactions!$E:$E,Transactions!$D:$D,$A64,Transactions!$B:$B,"Sell call")-SUMIFS(Transactions!$E:$E,Transactions!$D:$D,$A64,Transactions!$B:$B,"Buy to close")-SUMIFS(Transactions!$E:$E,Transactions!$D:$D,$A64,Transactions!$B:$B,"Expired")-SUMIFS(Transactions!$E:$E,Transactions!$D:$D,$A64,Transactions!$B:$B,"Assigned"))</f>
        <v/>
      </c>
      <c r="E64" s="27" t="str">
        <f aca="false">IF($A64="","",IFERROR(SUMIFS(Transactions!$F:$F,Transactions!$D:$D,$A64,Transactions!$B:$B,"Sell call")/COUNTIFS(Transactions!$D:$D,$A64,Transactions!$B:$B,"Sell call"),""))</f>
        <v/>
      </c>
      <c r="F64" s="10" t="str">
        <f aca="false">IF($A64="","",IFERROR(SUMIFS(Transactions!$G:$G,Transactions!$D:$D,$A64,Transactions!$B:$B,"Sell call")/COUNTIFS(Transactions!$D:$D,$A64,Transactions!$B:$B,"Sell call"),""))</f>
        <v/>
      </c>
      <c r="G64" s="8" t="str">
        <f aca="false">IF($A64="","",-SUMIFS(Transactions!$E:$E,Transactions!$D:$D,$A64,Transactions!$B:$B,"Sell call")*100+SUMIFS(Transactions!$E:$E,Transactions!$D:$D,$A64,Transactions!$B:$B,"Sell shares"))</f>
        <v/>
      </c>
      <c r="H64" s="14" t="str">
        <f aca="false">IF($A64="","",IF(SUMIFS(Transactions!$J:$J,Transactions!$D:$D,$A64,Transactions!$B:$B,"Buy shares")&lt;&gt;0,-SUMIFS(Transactions!$J:$J,Transactions!$D:$D,$A64,Transactions!$B:$B,"Buy shares"),IFERROR(INDEX(Lots!$E:$E,MATCH($W64,Lots!$A:$A,0))*-SUMIFS(Transactions!$E:$E,Transactions!$D:$D,$A64,Transactions!$B:$B,"Sell call")*100,0)))</f>
        <v/>
      </c>
      <c r="I64" s="14" t="str">
        <f aca="false">IF($A64="","",SUMIFS(Transactions!$J:$J,Transactions!$D:$D,$A64,Transactions!$B:$B,"Sell call"))</f>
        <v/>
      </c>
      <c r="J64" s="14" t="str">
        <f aca="false">IF($A64="","",-SUMIFS(Transactions!$J:$J,Transactions!$D:$D,$A64,Transactions!$B:$B,"Buy to close"))</f>
        <v/>
      </c>
      <c r="K64" s="23"/>
      <c r="L64" s="23"/>
      <c r="M64" s="23"/>
      <c r="N64" s="21"/>
      <c r="O64" s="28"/>
      <c r="P64" s="14" t="str">
        <f aca="false">IF(OR(C64&lt;&gt;"Open",L64=""),"",L64*100*D64)</f>
        <v/>
      </c>
      <c r="Q64" s="14" t="str">
        <f aca="false">IF(OR(C64&lt;&gt;"Open",P64=""),"",I64-J64-P64)</f>
        <v/>
      </c>
      <c r="R64" s="14" t="str">
        <f aca="false">IF(OR(C64&lt;&gt;"Open",K64=""),"",K64*G64)</f>
        <v/>
      </c>
      <c r="S64" s="14" t="str">
        <f aca="false">IF(OR(R64="",Q64=""),"",R64-H64+Q64)</f>
        <v/>
      </c>
      <c r="T64" s="13" t="str">
        <f aca="false">IF(OR(R64="",Q64="",N(H64)=0),"",(R64+Q64)/H64)</f>
        <v/>
      </c>
      <c r="U64" s="10" t="str">
        <f aca="false">IF(C64&lt;&gt;"Closed","",_xlfn.MAXIFS(Transactions!$A:$A,Transactions!$D:$D,$A64))</f>
        <v/>
      </c>
      <c r="V64" s="14" t="str">
        <f aca="false">IF(C64&lt;&gt;"Closed","",I64-J64)</f>
        <v/>
      </c>
      <c r="W64" s="8" t="str">
        <f aca="false">IF($A64="","",IFERROR(INDEX(Transactions!$O:$O,MATCH($A64,Transactions!$D:$D,0)),""))</f>
        <v/>
      </c>
    </row>
    <row r="65" customFormat="false" ht="15" hidden="false" customHeight="false" outlineLevel="0" collapsed="false">
      <c r="A65" s="21"/>
      <c r="B65" s="8" t="str">
        <f aca="false">IF($A65="","",IFERROR(INDEX(Transactions!$C:$C,MATCH($A65,Transactions!$D:$D,0)),""))</f>
        <v/>
      </c>
      <c r="C65" s="8" t="str">
        <f aca="false">IF($A65="","",IF(D65&gt;0,"Open","Closed"))</f>
        <v/>
      </c>
      <c r="D65" s="8" t="str">
        <f aca="false">IF($A65="","",-SUMIFS(Transactions!$E:$E,Transactions!$D:$D,$A65,Transactions!$B:$B,"Sell call")-SUMIFS(Transactions!$E:$E,Transactions!$D:$D,$A65,Transactions!$B:$B,"Buy to close")-SUMIFS(Transactions!$E:$E,Transactions!$D:$D,$A65,Transactions!$B:$B,"Expired")-SUMIFS(Transactions!$E:$E,Transactions!$D:$D,$A65,Transactions!$B:$B,"Assigned"))</f>
        <v/>
      </c>
      <c r="E65" s="27" t="str">
        <f aca="false">IF($A65="","",IFERROR(SUMIFS(Transactions!$F:$F,Transactions!$D:$D,$A65,Transactions!$B:$B,"Sell call")/COUNTIFS(Transactions!$D:$D,$A65,Transactions!$B:$B,"Sell call"),""))</f>
        <v/>
      </c>
      <c r="F65" s="10" t="str">
        <f aca="false">IF($A65="","",IFERROR(SUMIFS(Transactions!$G:$G,Transactions!$D:$D,$A65,Transactions!$B:$B,"Sell call")/COUNTIFS(Transactions!$D:$D,$A65,Transactions!$B:$B,"Sell call"),""))</f>
        <v/>
      </c>
      <c r="G65" s="8" t="str">
        <f aca="false">IF($A65="","",-SUMIFS(Transactions!$E:$E,Transactions!$D:$D,$A65,Transactions!$B:$B,"Sell call")*100+SUMIFS(Transactions!$E:$E,Transactions!$D:$D,$A65,Transactions!$B:$B,"Sell shares"))</f>
        <v/>
      </c>
      <c r="H65" s="14" t="str">
        <f aca="false">IF($A65="","",IF(SUMIFS(Transactions!$J:$J,Transactions!$D:$D,$A65,Transactions!$B:$B,"Buy shares")&lt;&gt;0,-SUMIFS(Transactions!$J:$J,Transactions!$D:$D,$A65,Transactions!$B:$B,"Buy shares"),IFERROR(INDEX(Lots!$E:$E,MATCH($W65,Lots!$A:$A,0))*-SUMIFS(Transactions!$E:$E,Transactions!$D:$D,$A65,Transactions!$B:$B,"Sell call")*100,0)))</f>
        <v/>
      </c>
      <c r="I65" s="14" t="str">
        <f aca="false">IF($A65="","",SUMIFS(Transactions!$J:$J,Transactions!$D:$D,$A65,Transactions!$B:$B,"Sell call"))</f>
        <v/>
      </c>
      <c r="J65" s="14" t="str">
        <f aca="false">IF($A65="","",-SUMIFS(Transactions!$J:$J,Transactions!$D:$D,$A65,Transactions!$B:$B,"Buy to close"))</f>
        <v/>
      </c>
      <c r="K65" s="23"/>
      <c r="L65" s="23"/>
      <c r="M65" s="23"/>
      <c r="N65" s="21"/>
      <c r="O65" s="28"/>
      <c r="P65" s="14" t="str">
        <f aca="false">IF(OR(C65&lt;&gt;"Open",L65=""),"",L65*100*D65)</f>
        <v/>
      </c>
      <c r="Q65" s="14" t="str">
        <f aca="false">IF(OR(C65&lt;&gt;"Open",P65=""),"",I65-J65-P65)</f>
        <v/>
      </c>
      <c r="R65" s="14" t="str">
        <f aca="false">IF(OR(C65&lt;&gt;"Open",K65=""),"",K65*G65)</f>
        <v/>
      </c>
      <c r="S65" s="14" t="str">
        <f aca="false">IF(OR(R65="",Q65=""),"",R65-H65+Q65)</f>
        <v/>
      </c>
      <c r="T65" s="13" t="str">
        <f aca="false">IF(OR(R65="",Q65="",N(H65)=0),"",(R65+Q65)/H65)</f>
        <v/>
      </c>
      <c r="U65" s="10" t="str">
        <f aca="false">IF(C65&lt;&gt;"Closed","",_xlfn.MAXIFS(Transactions!$A:$A,Transactions!$D:$D,$A65))</f>
        <v/>
      </c>
      <c r="V65" s="14" t="str">
        <f aca="false">IF(C65&lt;&gt;"Closed","",I65-J65)</f>
        <v/>
      </c>
      <c r="W65" s="8" t="str">
        <f aca="false">IF($A65="","",IFERROR(INDEX(Transactions!$O:$O,MATCH($A65,Transactions!$D:$D,0)),""))</f>
        <v/>
      </c>
    </row>
    <row r="66" customFormat="false" ht="15" hidden="false" customHeight="false" outlineLevel="0" collapsed="false">
      <c r="A66" s="21"/>
      <c r="B66" s="8" t="str">
        <f aca="false">IF($A66="","",IFERROR(INDEX(Transactions!$C:$C,MATCH($A66,Transactions!$D:$D,0)),""))</f>
        <v/>
      </c>
      <c r="C66" s="8" t="str">
        <f aca="false">IF($A66="","",IF(D66&gt;0,"Open","Closed"))</f>
        <v/>
      </c>
      <c r="D66" s="8" t="str">
        <f aca="false">IF($A66="","",-SUMIFS(Transactions!$E:$E,Transactions!$D:$D,$A66,Transactions!$B:$B,"Sell call")-SUMIFS(Transactions!$E:$E,Transactions!$D:$D,$A66,Transactions!$B:$B,"Buy to close")-SUMIFS(Transactions!$E:$E,Transactions!$D:$D,$A66,Transactions!$B:$B,"Expired")-SUMIFS(Transactions!$E:$E,Transactions!$D:$D,$A66,Transactions!$B:$B,"Assigned"))</f>
        <v/>
      </c>
      <c r="E66" s="27" t="str">
        <f aca="false">IF($A66="","",IFERROR(SUMIFS(Transactions!$F:$F,Transactions!$D:$D,$A66,Transactions!$B:$B,"Sell call")/COUNTIFS(Transactions!$D:$D,$A66,Transactions!$B:$B,"Sell call"),""))</f>
        <v/>
      </c>
      <c r="F66" s="10" t="str">
        <f aca="false">IF($A66="","",IFERROR(SUMIFS(Transactions!$G:$G,Transactions!$D:$D,$A66,Transactions!$B:$B,"Sell call")/COUNTIFS(Transactions!$D:$D,$A66,Transactions!$B:$B,"Sell call"),""))</f>
        <v/>
      </c>
      <c r="G66" s="8" t="str">
        <f aca="false">IF($A66="","",-SUMIFS(Transactions!$E:$E,Transactions!$D:$D,$A66,Transactions!$B:$B,"Sell call")*100+SUMIFS(Transactions!$E:$E,Transactions!$D:$D,$A66,Transactions!$B:$B,"Sell shares"))</f>
        <v/>
      </c>
      <c r="H66" s="14" t="str">
        <f aca="false">IF($A66="","",IF(SUMIFS(Transactions!$J:$J,Transactions!$D:$D,$A66,Transactions!$B:$B,"Buy shares")&lt;&gt;0,-SUMIFS(Transactions!$J:$J,Transactions!$D:$D,$A66,Transactions!$B:$B,"Buy shares"),IFERROR(INDEX(Lots!$E:$E,MATCH($W66,Lots!$A:$A,0))*-SUMIFS(Transactions!$E:$E,Transactions!$D:$D,$A66,Transactions!$B:$B,"Sell call")*100,0)))</f>
        <v/>
      </c>
      <c r="I66" s="14" t="str">
        <f aca="false">IF($A66="","",SUMIFS(Transactions!$J:$J,Transactions!$D:$D,$A66,Transactions!$B:$B,"Sell call"))</f>
        <v/>
      </c>
      <c r="J66" s="14" t="str">
        <f aca="false">IF($A66="","",-SUMIFS(Transactions!$J:$J,Transactions!$D:$D,$A66,Transactions!$B:$B,"Buy to close"))</f>
        <v/>
      </c>
      <c r="K66" s="23"/>
      <c r="L66" s="23"/>
      <c r="M66" s="23"/>
      <c r="N66" s="21"/>
      <c r="O66" s="28"/>
      <c r="P66" s="14" t="str">
        <f aca="false">IF(OR(C66&lt;&gt;"Open",L66=""),"",L66*100*D66)</f>
        <v/>
      </c>
      <c r="Q66" s="14" t="str">
        <f aca="false">IF(OR(C66&lt;&gt;"Open",P66=""),"",I66-J66-P66)</f>
        <v/>
      </c>
      <c r="R66" s="14" t="str">
        <f aca="false">IF(OR(C66&lt;&gt;"Open",K66=""),"",K66*G66)</f>
        <v/>
      </c>
      <c r="S66" s="14" t="str">
        <f aca="false">IF(OR(R66="",Q66=""),"",R66-H66+Q66)</f>
        <v/>
      </c>
      <c r="T66" s="13" t="str">
        <f aca="false">IF(OR(R66="",Q66="",N(H66)=0),"",(R66+Q66)/H66)</f>
        <v/>
      </c>
      <c r="U66" s="10" t="str">
        <f aca="false">IF(C66&lt;&gt;"Closed","",_xlfn.MAXIFS(Transactions!$A:$A,Transactions!$D:$D,$A66))</f>
        <v/>
      </c>
      <c r="V66" s="14" t="str">
        <f aca="false">IF(C66&lt;&gt;"Closed","",I66-J66)</f>
        <v/>
      </c>
      <c r="W66" s="8" t="str">
        <f aca="false">IF($A66="","",IFERROR(INDEX(Transactions!$O:$O,MATCH($A66,Transactions!$D:$D,0)),""))</f>
        <v/>
      </c>
    </row>
    <row r="67" customFormat="false" ht="15" hidden="false" customHeight="false" outlineLevel="0" collapsed="false">
      <c r="A67" s="21"/>
      <c r="B67" s="8" t="str">
        <f aca="false">IF($A67="","",IFERROR(INDEX(Transactions!$C:$C,MATCH($A67,Transactions!$D:$D,0)),""))</f>
        <v/>
      </c>
      <c r="C67" s="8" t="str">
        <f aca="false">IF($A67="","",IF(D67&gt;0,"Open","Closed"))</f>
        <v/>
      </c>
      <c r="D67" s="8" t="str">
        <f aca="false">IF($A67="","",-SUMIFS(Transactions!$E:$E,Transactions!$D:$D,$A67,Transactions!$B:$B,"Sell call")-SUMIFS(Transactions!$E:$E,Transactions!$D:$D,$A67,Transactions!$B:$B,"Buy to close")-SUMIFS(Transactions!$E:$E,Transactions!$D:$D,$A67,Transactions!$B:$B,"Expired")-SUMIFS(Transactions!$E:$E,Transactions!$D:$D,$A67,Transactions!$B:$B,"Assigned"))</f>
        <v/>
      </c>
      <c r="E67" s="27" t="str">
        <f aca="false">IF($A67="","",IFERROR(SUMIFS(Transactions!$F:$F,Transactions!$D:$D,$A67,Transactions!$B:$B,"Sell call")/COUNTIFS(Transactions!$D:$D,$A67,Transactions!$B:$B,"Sell call"),""))</f>
        <v/>
      </c>
      <c r="F67" s="10" t="str">
        <f aca="false">IF($A67="","",IFERROR(SUMIFS(Transactions!$G:$G,Transactions!$D:$D,$A67,Transactions!$B:$B,"Sell call")/COUNTIFS(Transactions!$D:$D,$A67,Transactions!$B:$B,"Sell call"),""))</f>
        <v/>
      </c>
      <c r="G67" s="8" t="str">
        <f aca="false">IF($A67="","",-SUMIFS(Transactions!$E:$E,Transactions!$D:$D,$A67,Transactions!$B:$B,"Sell call")*100+SUMIFS(Transactions!$E:$E,Transactions!$D:$D,$A67,Transactions!$B:$B,"Sell shares"))</f>
        <v/>
      </c>
      <c r="H67" s="14" t="str">
        <f aca="false">IF($A67="","",IF(SUMIFS(Transactions!$J:$J,Transactions!$D:$D,$A67,Transactions!$B:$B,"Buy shares")&lt;&gt;0,-SUMIFS(Transactions!$J:$J,Transactions!$D:$D,$A67,Transactions!$B:$B,"Buy shares"),IFERROR(INDEX(Lots!$E:$E,MATCH($W67,Lots!$A:$A,0))*-SUMIFS(Transactions!$E:$E,Transactions!$D:$D,$A67,Transactions!$B:$B,"Sell call")*100,0)))</f>
        <v/>
      </c>
      <c r="I67" s="14" t="str">
        <f aca="false">IF($A67="","",SUMIFS(Transactions!$J:$J,Transactions!$D:$D,$A67,Transactions!$B:$B,"Sell call"))</f>
        <v/>
      </c>
      <c r="J67" s="14" t="str">
        <f aca="false">IF($A67="","",-SUMIFS(Transactions!$J:$J,Transactions!$D:$D,$A67,Transactions!$B:$B,"Buy to close"))</f>
        <v/>
      </c>
      <c r="K67" s="23"/>
      <c r="L67" s="23"/>
      <c r="M67" s="23"/>
      <c r="N67" s="21"/>
      <c r="O67" s="28"/>
      <c r="P67" s="14" t="str">
        <f aca="false">IF(OR(C67&lt;&gt;"Open",L67=""),"",L67*100*D67)</f>
        <v/>
      </c>
      <c r="Q67" s="14" t="str">
        <f aca="false">IF(OR(C67&lt;&gt;"Open",P67=""),"",I67-J67-P67)</f>
        <v/>
      </c>
      <c r="R67" s="14" t="str">
        <f aca="false">IF(OR(C67&lt;&gt;"Open",K67=""),"",K67*G67)</f>
        <v/>
      </c>
      <c r="S67" s="14" t="str">
        <f aca="false">IF(OR(R67="",Q67=""),"",R67-H67+Q67)</f>
        <v/>
      </c>
      <c r="T67" s="13" t="str">
        <f aca="false">IF(OR(R67="",Q67="",N(H67)=0),"",(R67+Q67)/H67)</f>
        <v/>
      </c>
      <c r="U67" s="10" t="str">
        <f aca="false">IF(C67&lt;&gt;"Closed","",_xlfn.MAXIFS(Transactions!$A:$A,Transactions!$D:$D,$A67))</f>
        <v/>
      </c>
      <c r="V67" s="14" t="str">
        <f aca="false">IF(C67&lt;&gt;"Closed","",I67-J67)</f>
        <v/>
      </c>
      <c r="W67" s="8" t="str">
        <f aca="false">IF($A67="","",IFERROR(INDEX(Transactions!$O:$O,MATCH($A67,Transactions!$D:$D,0)),""))</f>
        <v/>
      </c>
    </row>
    <row r="68" customFormat="false" ht="15" hidden="false" customHeight="false" outlineLevel="0" collapsed="false">
      <c r="A68" s="21"/>
      <c r="B68" s="8" t="str">
        <f aca="false">IF($A68="","",IFERROR(INDEX(Transactions!$C:$C,MATCH($A68,Transactions!$D:$D,0)),""))</f>
        <v/>
      </c>
      <c r="C68" s="8" t="str">
        <f aca="false">IF($A68="","",IF(D68&gt;0,"Open","Closed"))</f>
        <v/>
      </c>
      <c r="D68" s="8" t="str">
        <f aca="false">IF($A68="","",-SUMIFS(Transactions!$E:$E,Transactions!$D:$D,$A68,Transactions!$B:$B,"Sell call")-SUMIFS(Transactions!$E:$E,Transactions!$D:$D,$A68,Transactions!$B:$B,"Buy to close")-SUMIFS(Transactions!$E:$E,Transactions!$D:$D,$A68,Transactions!$B:$B,"Expired")-SUMIFS(Transactions!$E:$E,Transactions!$D:$D,$A68,Transactions!$B:$B,"Assigned"))</f>
        <v/>
      </c>
      <c r="E68" s="27" t="str">
        <f aca="false">IF($A68="","",IFERROR(SUMIFS(Transactions!$F:$F,Transactions!$D:$D,$A68,Transactions!$B:$B,"Sell call")/COUNTIFS(Transactions!$D:$D,$A68,Transactions!$B:$B,"Sell call"),""))</f>
        <v/>
      </c>
      <c r="F68" s="10" t="str">
        <f aca="false">IF($A68="","",IFERROR(SUMIFS(Transactions!$G:$G,Transactions!$D:$D,$A68,Transactions!$B:$B,"Sell call")/COUNTIFS(Transactions!$D:$D,$A68,Transactions!$B:$B,"Sell call"),""))</f>
        <v/>
      </c>
      <c r="G68" s="8" t="str">
        <f aca="false">IF($A68="","",-SUMIFS(Transactions!$E:$E,Transactions!$D:$D,$A68,Transactions!$B:$B,"Sell call")*100+SUMIFS(Transactions!$E:$E,Transactions!$D:$D,$A68,Transactions!$B:$B,"Sell shares"))</f>
        <v/>
      </c>
      <c r="H68" s="14" t="str">
        <f aca="false">IF($A68="","",IF(SUMIFS(Transactions!$J:$J,Transactions!$D:$D,$A68,Transactions!$B:$B,"Buy shares")&lt;&gt;0,-SUMIFS(Transactions!$J:$J,Transactions!$D:$D,$A68,Transactions!$B:$B,"Buy shares"),IFERROR(INDEX(Lots!$E:$E,MATCH($W68,Lots!$A:$A,0))*-SUMIFS(Transactions!$E:$E,Transactions!$D:$D,$A68,Transactions!$B:$B,"Sell call")*100,0)))</f>
        <v/>
      </c>
      <c r="I68" s="14" t="str">
        <f aca="false">IF($A68="","",SUMIFS(Transactions!$J:$J,Transactions!$D:$D,$A68,Transactions!$B:$B,"Sell call"))</f>
        <v/>
      </c>
      <c r="J68" s="14" t="str">
        <f aca="false">IF($A68="","",-SUMIFS(Transactions!$J:$J,Transactions!$D:$D,$A68,Transactions!$B:$B,"Buy to close"))</f>
        <v/>
      </c>
      <c r="K68" s="23"/>
      <c r="L68" s="23"/>
      <c r="M68" s="23"/>
      <c r="N68" s="21"/>
      <c r="O68" s="28"/>
      <c r="P68" s="14" t="str">
        <f aca="false">IF(OR(C68&lt;&gt;"Open",L68=""),"",L68*100*D68)</f>
        <v/>
      </c>
      <c r="Q68" s="14" t="str">
        <f aca="false">IF(OR(C68&lt;&gt;"Open",P68=""),"",I68-J68-P68)</f>
        <v/>
      </c>
      <c r="R68" s="14" t="str">
        <f aca="false">IF(OR(C68&lt;&gt;"Open",K68=""),"",K68*G68)</f>
        <v/>
      </c>
      <c r="S68" s="14" t="str">
        <f aca="false">IF(OR(R68="",Q68=""),"",R68-H68+Q68)</f>
        <v/>
      </c>
      <c r="T68" s="13" t="str">
        <f aca="false">IF(OR(R68="",Q68="",N(H68)=0),"",(R68+Q68)/H68)</f>
        <v/>
      </c>
      <c r="U68" s="10" t="str">
        <f aca="false">IF(C68&lt;&gt;"Closed","",_xlfn.MAXIFS(Transactions!$A:$A,Transactions!$D:$D,$A68))</f>
        <v/>
      </c>
      <c r="V68" s="14" t="str">
        <f aca="false">IF(C68&lt;&gt;"Closed","",I68-J68)</f>
        <v/>
      </c>
      <c r="W68" s="8" t="str">
        <f aca="false">IF($A68="","",IFERROR(INDEX(Transactions!$O:$O,MATCH($A68,Transactions!$D:$D,0)),""))</f>
        <v/>
      </c>
    </row>
    <row r="69" customFormat="false" ht="15" hidden="false" customHeight="false" outlineLevel="0" collapsed="false">
      <c r="A69" s="21"/>
      <c r="B69" s="8" t="str">
        <f aca="false">IF($A69="","",IFERROR(INDEX(Transactions!$C:$C,MATCH($A69,Transactions!$D:$D,0)),""))</f>
        <v/>
      </c>
      <c r="C69" s="8" t="str">
        <f aca="false">IF($A69="","",IF(D69&gt;0,"Open","Closed"))</f>
        <v/>
      </c>
      <c r="D69" s="8" t="str">
        <f aca="false">IF($A69="","",-SUMIFS(Transactions!$E:$E,Transactions!$D:$D,$A69,Transactions!$B:$B,"Sell call")-SUMIFS(Transactions!$E:$E,Transactions!$D:$D,$A69,Transactions!$B:$B,"Buy to close")-SUMIFS(Transactions!$E:$E,Transactions!$D:$D,$A69,Transactions!$B:$B,"Expired")-SUMIFS(Transactions!$E:$E,Transactions!$D:$D,$A69,Transactions!$B:$B,"Assigned"))</f>
        <v/>
      </c>
      <c r="E69" s="27" t="str">
        <f aca="false">IF($A69="","",IFERROR(SUMIFS(Transactions!$F:$F,Transactions!$D:$D,$A69,Transactions!$B:$B,"Sell call")/COUNTIFS(Transactions!$D:$D,$A69,Transactions!$B:$B,"Sell call"),""))</f>
        <v/>
      </c>
      <c r="F69" s="10" t="str">
        <f aca="false">IF($A69="","",IFERROR(SUMIFS(Transactions!$G:$G,Transactions!$D:$D,$A69,Transactions!$B:$B,"Sell call")/COUNTIFS(Transactions!$D:$D,$A69,Transactions!$B:$B,"Sell call"),""))</f>
        <v/>
      </c>
      <c r="G69" s="8" t="str">
        <f aca="false">IF($A69="","",-SUMIFS(Transactions!$E:$E,Transactions!$D:$D,$A69,Transactions!$B:$B,"Sell call")*100+SUMIFS(Transactions!$E:$E,Transactions!$D:$D,$A69,Transactions!$B:$B,"Sell shares"))</f>
        <v/>
      </c>
      <c r="H69" s="14" t="str">
        <f aca="false">IF($A69="","",IF(SUMIFS(Transactions!$J:$J,Transactions!$D:$D,$A69,Transactions!$B:$B,"Buy shares")&lt;&gt;0,-SUMIFS(Transactions!$J:$J,Transactions!$D:$D,$A69,Transactions!$B:$B,"Buy shares"),IFERROR(INDEX(Lots!$E:$E,MATCH($W69,Lots!$A:$A,0))*-SUMIFS(Transactions!$E:$E,Transactions!$D:$D,$A69,Transactions!$B:$B,"Sell call")*100,0)))</f>
        <v/>
      </c>
      <c r="I69" s="14" t="str">
        <f aca="false">IF($A69="","",SUMIFS(Transactions!$J:$J,Transactions!$D:$D,$A69,Transactions!$B:$B,"Sell call"))</f>
        <v/>
      </c>
      <c r="J69" s="14" t="str">
        <f aca="false">IF($A69="","",-SUMIFS(Transactions!$J:$J,Transactions!$D:$D,$A69,Transactions!$B:$B,"Buy to close"))</f>
        <v/>
      </c>
      <c r="K69" s="23"/>
      <c r="L69" s="23"/>
      <c r="M69" s="23"/>
      <c r="N69" s="21"/>
      <c r="O69" s="28"/>
      <c r="P69" s="14" t="str">
        <f aca="false">IF(OR(C69&lt;&gt;"Open",L69=""),"",L69*100*D69)</f>
        <v/>
      </c>
      <c r="Q69" s="14" t="str">
        <f aca="false">IF(OR(C69&lt;&gt;"Open",P69=""),"",I69-J69-P69)</f>
        <v/>
      </c>
      <c r="R69" s="14" t="str">
        <f aca="false">IF(OR(C69&lt;&gt;"Open",K69=""),"",K69*G69)</f>
        <v/>
      </c>
      <c r="S69" s="14" t="str">
        <f aca="false">IF(OR(R69="",Q69=""),"",R69-H69+Q69)</f>
        <v/>
      </c>
      <c r="T69" s="13" t="str">
        <f aca="false">IF(OR(R69="",Q69="",N(H69)=0),"",(R69+Q69)/H69)</f>
        <v/>
      </c>
      <c r="U69" s="10" t="str">
        <f aca="false">IF(C69&lt;&gt;"Closed","",_xlfn.MAXIFS(Transactions!$A:$A,Transactions!$D:$D,$A69))</f>
        <v/>
      </c>
      <c r="V69" s="14" t="str">
        <f aca="false">IF(C69&lt;&gt;"Closed","",I69-J69)</f>
        <v/>
      </c>
      <c r="W69" s="8" t="str">
        <f aca="false">IF($A69="","",IFERROR(INDEX(Transactions!$O:$O,MATCH($A69,Transactions!$D:$D,0)),""))</f>
        <v/>
      </c>
    </row>
    <row r="70" customFormat="false" ht="15" hidden="false" customHeight="false" outlineLevel="0" collapsed="false">
      <c r="A70" s="21"/>
      <c r="B70" s="8" t="str">
        <f aca="false">IF($A70="","",IFERROR(INDEX(Transactions!$C:$C,MATCH($A70,Transactions!$D:$D,0)),""))</f>
        <v/>
      </c>
      <c r="C70" s="8" t="str">
        <f aca="false">IF($A70="","",IF(D70&gt;0,"Open","Closed"))</f>
        <v/>
      </c>
      <c r="D70" s="8" t="str">
        <f aca="false">IF($A70="","",-SUMIFS(Transactions!$E:$E,Transactions!$D:$D,$A70,Transactions!$B:$B,"Sell call")-SUMIFS(Transactions!$E:$E,Transactions!$D:$D,$A70,Transactions!$B:$B,"Buy to close")-SUMIFS(Transactions!$E:$E,Transactions!$D:$D,$A70,Transactions!$B:$B,"Expired")-SUMIFS(Transactions!$E:$E,Transactions!$D:$D,$A70,Transactions!$B:$B,"Assigned"))</f>
        <v/>
      </c>
      <c r="E70" s="27" t="str">
        <f aca="false">IF($A70="","",IFERROR(SUMIFS(Transactions!$F:$F,Transactions!$D:$D,$A70,Transactions!$B:$B,"Sell call")/COUNTIFS(Transactions!$D:$D,$A70,Transactions!$B:$B,"Sell call"),""))</f>
        <v/>
      </c>
      <c r="F70" s="10" t="str">
        <f aca="false">IF($A70="","",IFERROR(SUMIFS(Transactions!$G:$G,Transactions!$D:$D,$A70,Transactions!$B:$B,"Sell call")/COUNTIFS(Transactions!$D:$D,$A70,Transactions!$B:$B,"Sell call"),""))</f>
        <v/>
      </c>
      <c r="G70" s="8" t="str">
        <f aca="false">IF($A70="","",-SUMIFS(Transactions!$E:$E,Transactions!$D:$D,$A70,Transactions!$B:$B,"Sell call")*100+SUMIFS(Transactions!$E:$E,Transactions!$D:$D,$A70,Transactions!$B:$B,"Sell shares"))</f>
        <v/>
      </c>
      <c r="H70" s="14" t="str">
        <f aca="false">IF($A70="","",IF(SUMIFS(Transactions!$J:$J,Transactions!$D:$D,$A70,Transactions!$B:$B,"Buy shares")&lt;&gt;0,-SUMIFS(Transactions!$J:$J,Transactions!$D:$D,$A70,Transactions!$B:$B,"Buy shares"),IFERROR(INDEX(Lots!$E:$E,MATCH($W70,Lots!$A:$A,0))*-SUMIFS(Transactions!$E:$E,Transactions!$D:$D,$A70,Transactions!$B:$B,"Sell call")*100,0)))</f>
        <v/>
      </c>
      <c r="I70" s="14" t="str">
        <f aca="false">IF($A70="","",SUMIFS(Transactions!$J:$J,Transactions!$D:$D,$A70,Transactions!$B:$B,"Sell call"))</f>
        <v/>
      </c>
      <c r="J70" s="14" t="str">
        <f aca="false">IF($A70="","",-SUMIFS(Transactions!$J:$J,Transactions!$D:$D,$A70,Transactions!$B:$B,"Buy to close"))</f>
        <v/>
      </c>
      <c r="K70" s="23"/>
      <c r="L70" s="23"/>
      <c r="M70" s="23"/>
      <c r="N70" s="21"/>
      <c r="O70" s="28"/>
      <c r="P70" s="14" t="str">
        <f aca="false">IF(OR(C70&lt;&gt;"Open",L70=""),"",L70*100*D70)</f>
        <v/>
      </c>
      <c r="Q70" s="14" t="str">
        <f aca="false">IF(OR(C70&lt;&gt;"Open",P70=""),"",I70-J70-P70)</f>
        <v/>
      </c>
      <c r="R70" s="14" t="str">
        <f aca="false">IF(OR(C70&lt;&gt;"Open",K70=""),"",K70*G70)</f>
        <v/>
      </c>
      <c r="S70" s="14" t="str">
        <f aca="false">IF(OR(R70="",Q70=""),"",R70-H70+Q70)</f>
        <v/>
      </c>
      <c r="T70" s="13" t="str">
        <f aca="false">IF(OR(R70="",Q70="",N(H70)=0),"",(R70+Q70)/H70)</f>
        <v/>
      </c>
      <c r="U70" s="10" t="str">
        <f aca="false">IF(C70&lt;&gt;"Closed","",_xlfn.MAXIFS(Transactions!$A:$A,Transactions!$D:$D,$A70))</f>
        <v/>
      </c>
      <c r="V70" s="14" t="str">
        <f aca="false">IF(C70&lt;&gt;"Closed","",I70-J70)</f>
        <v/>
      </c>
      <c r="W70" s="8" t="str">
        <f aca="false">IF($A70="","",IFERROR(INDEX(Transactions!$O:$O,MATCH($A70,Transactions!$D:$D,0)),""))</f>
        <v/>
      </c>
    </row>
    <row r="71" customFormat="false" ht="15" hidden="false" customHeight="false" outlineLevel="0" collapsed="false">
      <c r="A71" s="21"/>
      <c r="B71" s="8" t="str">
        <f aca="false">IF($A71="","",IFERROR(INDEX(Transactions!$C:$C,MATCH($A71,Transactions!$D:$D,0)),""))</f>
        <v/>
      </c>
      <c r="C71" s="8" t="str">
        <f aca="false">IF($A71="","",IF(D71&gt;0,"Open","Closed"))</f>
        <v/>
      </c>
      <c r="D71" s="8" t="str">
        <f aca="false">IF($A71="","",-SUMIFS(Transactions!$E:$E,Transactions!$D:$D,$A71,Transactions!$B:$B,"Sell call")-SUMIFS(Transactions!$E:$E,Transactions!$D:$D,$A71,Transactions!$B:$B,"Buy to close")-SUMIFS(Transactions!$E:$E,Transactions!$D:$D,$A71,Transactions!$B:$B,"Expired")-SUMIFS(Transactions!$E:$E,Transactions!$D:$D,$A71,Transactions!$B:$B,"Assigned"))</f>
        <v/>
      </c>
      <c r="E71" s="27" t="str">
        <f aca="false">IF($A71="","",IFERROR(SUMIFS(Transactions!$F:$F,Transactions!$D:$D,$A71,Transactions!$B:$B,"Sell call")/COUNTIFS(Transactions!$D:$D,$A71,Transactions!$B:$B,"Sell call"),""))</f>
        <v/>
      </c>
      <c r="F71" s="10" t="str">
        <f aca="false">IF($A71="","",IFERROR(SUMIFS(Transactions!$G:$G,Transactions!$D:$D,$A71,Transactions!$B:$B,"Sell call")/COUNTIFS(Transactions!$D:$D,$A71,Transactions!$B:$B,"Sell call"),""))</f>
        <v/>
      </c>
      <c r="G71" s="8" t="str">
        <f aca="false">IF($A71="","",-SUMIFS(Transactions!$E:$E,Transactions!$D:$D,$A71,Transactions!$B:$B,"Sell call")*100+SUMIFS(Transactions!$E:$E,Transactions!$D:$D,$A71,Transactions!$B:$B,"Sell shares"))</f>
        <v/>
      </c>
      <c r="H71" s="14" t="str">
        <f aca="false">IF($A71="","",IF(SUMIFS(Transactions!$J:$J,Transactions!$D:$D,$A71,Transactions!$B:$B,"Buy shares")&lt;&gt;0,-SUMIFS(Transactions!$J:$J,Transactions!$D:$D,$A71,Transactions!$B:$B,"Buy shares"),IFERROR(INDEX(Lots!$E:$E,MATCH($W71,Lots!$A:$A,0))*-SUMIFS(Transactions!$E:$E,Transactions!$D:$D,$A71,Transactions!$B:$B,"Sell call")*100,0)))</f>
        <v/>
      </c>
      <c r="I71" s="14" t="str">
        <f aca="false">IF($A71="","",SUMIFS(Transactions!$J:$J,Transactions!$D:$D,$A71,Transactions!$B:$B,"Sell call"))</f>
        <v/>
      </c>
      <c r="J71" s="14" t="str">
        <f aca="false">IF($A71="","",-SUMIFS(Transactions!$J:$J,Transactions!$D:$D,$A71,Transactions!$B:$B,"Buy to close"))</f>
        <v/>
      </c>
      <c r="K71" s="23"/>
      <c r="L71" s="23"/>
      <c r="M71" s="23"/>
      <c r="N71" s="21"/>
      <c r="O71" s="28"/>
      <c r="P71" s="14" t="str">
        <f aca="false">IF(OR(C71&lt;&gt;"Open",L71=""),"",L71*100*D71)</f>
        <v/>
      </c>
      <c r="Q71" s="14" t="str">
        <f aca="false">IF(OR(C71&lt;&gt;"Open",P71=""),"",I71-J71-P71)</f>
        <v/>
      </c>
      <c r="R71" s="14" t="str">
        <f aca="false">IF(OR(C71&lt;&gt;"Open",K71=""),"",K71*G71)</f>
        <v/>
      </c>
      <c r="S71" s="14" t="str">
        <f aca="false">IF(OR(R71="",Q71=""),"",R71-H71+Q71)</f>
        <v/>
      </c>
      <c r="T71" s="13" t="str">
        <f aca="false">IF(OR(R71="",Q71="",N(H71)=0),"",(R71+Q71)/H71)</f>
        <v/>
      </c>
      <c r="U71" s="10" t="str">
        <f aca="false">IF(C71&lt;&gt;"Closed","",_xlfn.MAXIFS(Transactions!$A:$A,Transactions!$D:$D,$A71))</f>
        <v/>
      </c>
      <c r="V71" s="14" t="str">
        <f aca="false">IF(C71&lt;&gt;"Closed","",I71-J71)</f>
        <v/>
      </c>
      <c r="W71" s="8" t="str">
        <f aca="false">IF($A71="","",IFERROR(INDEX(Transactions!$O:$O,MATCH($A71,Transactions!$D:$D,0)),""))</f>
        <v/>
      </c>
    </row>
    <row r="72" customFormat="false" ht="15" hidden="false" customHeight="false" outlineLevel="0" collapsed="false">
      <c r="A72" s="21"/>
      <c r="B72" s="8" t="str">
        <f aca="false">IF($A72="","",IFERROR(INDEX(Transactions!$C:$C,MATCH($A72,Transactions!$D:$D,0)),""))</f>
        <v/>
      </c>
      <c r="C72" s="8" t="str">
        <f aca="false">IF($A72="","",IF(D72&gt;0,"Open","Closed"))</f>
        <v/>
      </c>
      <c r="D72" s="8" t="str">
        <f aca="false">IF($A72="","",-SUMIFS(Transactions!$E:$E,Transactions!$D:$D,$A72,Transactions!$B:$B,"Sell call")-SUMIFS(Transactions!$E:$E,Transactions!$D:$D,$A72,Transactions!$B:$B,"Buy to close")-SUMIFS(Transactions!$E:$E,Transactions!$D:$D,$A72,Transactions!$B:$B,"Expired")-SUMIFS(Transactions!$E:$E,Transactions!$D:$D,$A72,Transactions!$B:$B,"Assigned"))</f>
        <v/>
      </c>
      <c r="E72" s="27" t="str">
        <f aca="false">IF($A72="","",IFERROR(SUMIFS(Transactions!$F:$F,Transactions!$D:$D,$A72,Transactions!$B:$B,"Sell call")/COUNTIFS(Transactions!$D:$D,$A72,Transactions!$B:$B,"Sell call"),""))</f>
        <v/>
      </c>
      <c r="F72" s="10" t="str">
        <f aca="false">IF($A72="","",IFERROR(SUMIFS(Transactions!$G:$G,Transactions!$D:$D,$A72,Transactions!$B:$B,"Sell call")/COUNTIFS(Transactions!$D:$D,$A72,Transactions!$B:$B,"Sell call"),""))</f>
        <v/>
      </c>
      <c r="G72" s="8" t="str">
        <f aca="false">IF($A72="","",-SUMIFS(Transactions!$E:$E,Transactions!$D:$D,$A72,Transactions!$B:$B,"Sell call")*100+SUMIFS(Transactions!$E:$E,Transactions!$D:$D,$A72,Transactions!$B:$B,"Sell shares"))</f>
        <v/>
      </c>
      <c r="H72" s="14" t="str">
        <f aca="false">IF($A72="","",IF(SUMIFS(Transactions!$J:$J,Transactions!$D:$D,$A72,Transactions!$B:$B,"Buy shares")&lt;&gt;0,-SUMIFS(Transactions!$J:$J,Transactions!$D:$D,$A72,Transactions!$B:$B,"Buy shares"),IFERROR(INDEX(Lots!$E:$E,MATCH($W72,Lots!$A:$A,0))*-SUMIFS(Transactions!$E:$E,Transactions!$D:$D,$A72,Transactions!$B:$B,"Sell call")*100,0)))</f>
        <v/>
      </c>
      <c r="I72" s="14" t="str">
        <f aca="false">IF($A72="","",SUMIFS(Transactions!$J:$J,Transactions!$D:$D,$A72,Transactions!$B:$B,"Sell call"))</f>
        <v/>
      </c>
      <c r="J72" s="14" t="str">
        <f aca="false">IF($A72="","",-SUMIFS(Transactions!$J:$J,Transactions!$D:$D,$A72,Transactions!$B:$B,"Buy to close"))</f>
        <v/>
      </c>
      <c r="K72" s="23"/>
      <c r="L72" s="23"/>
      <c r="M72" s="23"/>
      <c r="N72" s="21"/>
      <c r="O72" s="28"/>
      <c r="P72" s="14" t="str">
        <f aca="false">IF(OR(C72&lt;&gt;"Open",L72=""),"",L72*100*D72)</f>
        <v/>
      </c>
      <c r="Q72" s="14" t="str">
        <f aca="false">IF(OR(C72&lt;&gt;"Open",P72=""),"",I72-J72-P72)</f>
        <v/>
      </c>
      <c r="R72" s="14" t="str">
        <f aca="false">IF(OR(C72&lt;&gt;"Open",K72=""),"",K72*G72)</f>
        <v/>
      </c>
      <c r="S72" s="14" t="str">
        <f aca="false">IF(OR(R72="",Q72=""),"",R72-H72+Q72)</f>
        <v/>
      </c>
      <c r="T72" s="13" t="str">
        <f aca="false">IF(OR(R72="",Q72="",N(H72)=0),"",(R72+Q72)/H72)</f>
        <v/>
      </c>
      <c r="U72" s="10" t="str">
        <f aca="false">IF(C72&lt;&gt;"Closed","",_xlfn.MAXIFS(Transactions!$A:$A,Transactions!$D:$D,$A72))</f>
        <v/>
      </c>
      <c r="V72" s="14" t="str">
        <f aca="false">IF(C72&lt;&gt;"Closed","",I72-J72)</f>
        <v/>
      </c>
      <c r="W72" s="8" t="str">
        <f aca="false">IF($A72="","",IFERROR(INDEX(Transactions!$O:$O,MATCH($A72,Transactions!$D:$D,0)),""))</f>
        <v/>
      </c>
    </row>
    <row r="73" customFormat="false" ht="15" hidden="false" customHeight="false" outlineLevel="0" collapsed="false">
      <c r="A73" s="21"/>
      <c r="B73" s="8" t="str">
        <f aca="false">IF($A73="","",IFERROR(INDEX(Transactions!$C:$C,MATCH($A73,Transactions!$D:$D,0)),""))</f>
        <v/>
      </c>
      <c r="C73" s="8" t="str">
        <f aca="false">IF($A73="","",IF(D73&gt;0,"Open","Closed"))</f>
        <v/>
      </c>
      <c r="D73" s="8" t="str">
        <f aca="false">IF($A73="","",-SUMIFS(Transactions!$E:$E,Transactions!$D:$D,$A73,Transactions!$B:$B,"Sell call")-SUMIFS(Transactions!$E:$E,Transactions!$D:$D,$A73,Transactions!$B:$B,"Buy to close")-SUMIFS(Transactions!$E:$E,Transactions!$D:$D,$A73,Transactions!$B:$B,"Expired")-SUMIFS(Transactions!$E:$E,Transactions!$D:$D,$A73,Transactions!$B:$B,"Assigned"))</f>
        <v/>
      </c>
      <c r="E73" s="27" t="str">
        <f aca="false">IF($A73="","",IFERROR(SUMIFS(Transactions!$F:$F,Transactions!$D:$D,$A73,Transactions!$B:$B,"Sell call")/COUNTIFS(Transactions!$D:$D,$A73,Transactions!$B:$B,"Sell call"),""))</f>
        <v/>
      </c>
      <c r="F73" s="10" t="str">
        <f aca="false">IF($A73="","",IFERROR(SUMIFS(Transactions!$G:$G,Transactions!$D:$D,$A73,Transactions!$B:$B,"Sell call")/COUNTIFS(Transactions!$D:$D,$A73,Transactions!$B:$B,"Sell call"),""))</f>
        <v/>
      </c>
      <c r="G73" s="8" t="str">
        <f aca="false">IF($A73="","",-SUMIFS(Transactions!$E:$E,Transactions!$D:$D,$A73,Transactions!$B:$B,"Sell call")*100+SUMIFS(Transactions!$E:$E,Transactions!$D:$D,$A73,Transactions!$B:$B,"Sell shares"))</f>
        <v/>
      </c>
      <c r="H73" s="14" t="str">
        <f aca="false">IF($A73="","",IF(SUMIFS(Transactions!$J:$J,Transactions!$D:$D,$A73,Transactions!$B:$B,"Buy shares")&lt;&gt;0,-SUMIFS(Transactions!$J:$J,Transactions!$D:$D,$A73,Transactions!$B:$B,"Buy shares"),IFERROR(INDEX(Lots!$E:$E,MATCH($W73,Lots!$A:$A,0))*-SUMIFS(Transactions!$E:$E,Transactions!$D:$D,$A73,Transactions!$B:$B,"Sell call")*100,0)))</f>
        <v/>
      </c>
      <c r="I73" s="14" t="str">
        <f aca="false">IF($A73="","",SUMIFS(Transactions!$J:$J,Transactions!$D:$D,$A73,Transactions!$B:$B,"Sell call"))</f>
        <v/>
      </c>
      <c r="J73" s="14" t="str">
        <f aca="false">IF($A73="","",-SUMIFS(Transactions!$J:$J,Transactions!$D:$D,$A73,Transactions!$B:$B,"Buy to close"))</f>
        <v/>
      </c>
      <c r="K73" s="23"/>
      <c r="L73" s="23"/>
      <c r="M73" s="23"/>
      <c r="N73" s="21"/>
      <c r="O73" s="28"/>
      <c r="P73" s="14" t="str">
        <f aca="false">IF(OR(C73&lt;&gt;"Open",L73=""),"",L73*100*D73)</f>
        <v/>
      </c>
      <c r="Q73" s="14" t="str">
        <f aca="false">IF(OR(C73&lt;&gt;"Open",P73=""),"",I73-J73-P73)</f>
        <v/>
      </c>
      <c r="R73" s="14" t="str">
        <f aca="false">IF(OR(C73&lt;&gt;"Open",K73=""),"",K73*G73)</f>
        <v/>
      </c>
      <c r="S73" s="14" t="str">
        <f aca="false">IF(OR(R73="",Q73=""),"",R73-H73+Q73)</f>
        <v/>
      </c>
      <c r="T73" s="13" t="str">
        <f aca="false">IF(OR(R73="",Q73="",N(H73)=0),"",(R73+Q73)/H73)</f>
        <v/>
      </c>
      <c r="U73" s="10" t="str">
        <f aca="false">IF(C73&lt;&gt;"Closed","",_xlfn.MAXIFS(Transactions!$A:$A,Transactions!$D:$D,$A73))</f>
        <v/>
      </c>
      <c r="V73" s="14" t="str">
        <f aca="false">IF(C73&lt;&gt;"Closed","",I73-J73)</f>
        <v/>
      </c>
      <c r="W73" s="8" t="str">
        <f aca="false">IF($A73="","",IFERROR(INDEX(Transactions!$O:$O,MATCH($A73,Transactions!$D:$D,0)),""))</f>
        <v/>
      </c>
    </row>
    <row r="74" customFormat="false" ht="15" hidden="false" customHeight="false" outlineLevel="0" collapsed="false">
      <c r="A74" s="21"/>
      <c r="B74" s="8" t="str">
        <f aca="false">IF($A74="","",IFERROR(INDEX(Transactions!$C:$C,MATCH($A74,Transactions!$D:$D,0)),""))</f>
        <v/>
      </c>
      <c r="C74" s="8" t="str">
        <f aca="false">IF($A74="","",IF(D74&gt;0,"Open","Closed"))</f>
        <v/>
      </c>
      <c r="D74" s="8" t="str">
        <f aca="false">IF($A74="","",-SUMIFS(Transactions!$E:$E,Transactions!$D:$D,$A74,Transactions!$B:$B,"Sell call")-SUMIFS(Transactions!$E:$E,Transactions!$D:$D,$A74,Transactions!$B:$B,"Buy to close")-SUMIFS(Transactions!$E:$E,Transactions!$D:$D,$A74,Transactions!$B:$B,"Expired")-SUMIFS(Transactions!$E:$E,Transactions!$D:$D,$A74,Transactions!$B:$B,"Assigned"))</f>
        <v/>
      </c>
      <c r="E74" s="27" t="str">
        <f aca="false">IF($A74="","",IFERROR(SUMIFS(Transactions!$F:$F,Transactions!$D:$D,$A74,Transactions!$B:$B,"Sell call")/COUNTIFS(Transactions!$D:$D,$A74,Transactions!$B:$B,"Sell call"),""))</f>
        <v/>
      </c>
      <c r="F74" s="10" t="str">
        <f aca="false">IF($A74="","",IFERROR(SUMIFS(Transactions!$G:$G,Transactions!$D:$D,$A74,Transactions!$B:$B,"Sell call")/COUNTIFS(Transactions!$D:$D,$A74,Transactions!$B:$B,"Sell call"),""))</f>
        <v/>
      </c>
      <c r="G74" s="8" t="str">
        <f aca="false">IF($A74="","",-SUMIFS(Transactions!$E:$E,Transactions!$D:$D,$A74,Transactions!$B:$B,"Sell call")*100+SUMIFS(Transactions!$E:$E,Transactions!$D:$D,$A74,Transactions!$B:$B,"Sell shares"))</f>
        <v/>
      </c>
      <c r="H74" s="14" t="str">
        <f aca="false">IF($A74="","",IF(SUMIFS(Transactions!$J:$J,Transactions!$D:$D,$A74,Transactions!$B:$B,"Buy shares")&lt;&gt;0,-SUMIFS(Transactions!$J:$J,Transactions!$D:$D,$A74,Transactions!$B:$B,"Buy shares"),IFERROR(INDEX(Lots!$E:$E,MATCH($W74,Lots!$A:$A,0))*-SUMIFS(Transactions!$E:$E,Transactions!$D:$D,$A74,Transactions!$B:$B,"Sell call")*100,0)))</f>
        <v/>
      </c>
      <c r="I74" s="14" t="str">
        <f aca="false">IF($A74="","",SUMIFS(Transactions!$J:$J,Transactions!$D:$D,$A74,Transactions!$B:$B,"Sell call"))</f>
        <v/>
      </c>
      <c r="J74" s="14" t="str">
        <f aca="false">IF($A74="","",-SUMIFS(Transactions!$J:$J,Transactions!$D:$D,$A74,Transactions!$B:$B,"Buy to close"))</f>
        <v/>
      </c>
      <c r="K74" s="23"/>
      <c r="L74" s="23"/>
      <c r="M74" s="23"/>
      <c r="N74" s="21"/>
      <c r="O74" s="28"/>
      <c r="P74" s="14" t="str">
        <f aca="false">IF(OR(C74&lt;&gt;"Open",L74=""),"",L74*100*D74)</f>
        <v/>
      </c>
      <c r="Q74" s="14" t="str">
        <f aca="false">IF(OR(C74&lt;&gt;"Open",P74=""),"",I74-J74-P74)</f>
        <v/>
      </c>
      <c r="R74" s="14" t="str">
        <f aca="false">IF(OR(C74&lt;&gt;"Open",K74=""),"",K74*G74)</f>
        <v/>
      </c>
      <c r="S74" s="14" t="str">
        <f aca="false">IF(OR(R74="",Q74=""),"",R74-H74+Q74)</f>
        <v/>
      </c>
      <c r="T74" s="13" t="str">
        <f aca="false">IF(OR(R74="",Q74="",N(H74)=0),"",(R74+Q74)/H74)</f>
        <v/>
      </c>
      <c r="U74" s="10" t="str">
        <f aca="false">IF(C74&lt;&gt;"Closed","",_xlfn.MAXIFS(Transactions!$A:$A,Transactions!$D:$D,$A74))</f>
        <v/>
      </c>
      <c r="V74" s="14" t="str">
        <f aca="false">IF(C74&lt;&gt;"Closed","",I74-J74)</f>
        <v/>
      </c>
      <c r="W74" s="8" t="str">
        <f aca="false">IF($A74="","",IFERROR(INDEX(Transactions!$O:$O,MATCH($A74,Transactions!$D:$D,0)),""))</f>
        <v/>
      </c>
    </row>
    <row r="75" customFormat="false" ht="15" hidden="false" customHeight="false" outlineLevel="0" collapsed="false">
      <c r="A75" s="21"/>
      <c r="B75" s="8" t="str">
        <f aca="false">IF($A75="","",IFERROR(INDEX(Transactions!$C:$C,MATCH($A75,Transactions!$D:$D,0)),""))</f>
        <v/>
      </c>
      <c r="C75" s="8" t="str">
        <f aca="false">IF($A75="","",IF(D75&gt;0,"Open","Closed"))</f>
        <v/>
      </c>
      <c r="D75" s="8" t="str">
        <f aca="false">IF($A75="","",-SUMIFS(Transactions!$E:$E,Transactions!$D:$D,$A75,Transactions!$B:$B,"Sell call")-SUMIFS(Transactions!$E:$E,Transactions!$D:$D,$A75,Transactions!$B:$B,"Buy to close")-SUMIFS(Transactions!$E:$E,Transactions!$D:$D,$A75,Transactions!$B:$B,"Expired")-SUMIFS(Transactions!$E:$E,Transactions!$D:$D,$A75,Transactions!$B:$B,"Assigned"))</f>
        <v/>
      </c>
      <c r="E75" s="27" t="str">
        <f aca="false">IF($A75="","",IFERROR(SUMIFS(Transactions!$F:$F,Transactions!$D:$D,$A75,Transactions!$B:$B,"Sell call")/COUNTIFS(Transactions!$D:$D,$A75,Transactions!$B:$B,"Sell call"),""))</f>
        <v/>
      </c>
      <c r="F75" s="10" t="str">
        <f aca="false">IF($A75="","",IFERROR(SUMIFS(Transactions!$G:$G,Transactions!$D:$D,$A75,Transactions!$B:$B,"Sell call")/COUNTIFS(Transactions!$D:$D,$A75,Transactions!$B:$B,"Sell call"),""))</f>
        <v/>
      </c>
      <c r="G75" s="8" t="str">
        <f aca="false">IF($A75="","",-SUMIFS(Transactions!$E:$E,Transactions!$D:$D,$A75,Transactions!$B:$B,"Sell call")*100+SUMIFS(Transactions!$E:$E,Transactions!$D:$D,$A75,Transactions!$B:$B,"Sell shares"))</f>
        <v/>
      </c>
      <c r="H75" s="14" t="str">
        <f aca="false">IF($A75="","",IF(SUMIFS(Transactions!$J:$J,Transactions!$D:$D,$A75,Transactions!$B:$B,"Buy shares")&lt;&gt;0,-SUMIFS(Transactions!$J:$J,Transactions!$D:$D,$A75,Transactions!$B:$B,"Buy shares"),IFERROR(INDEX(Lots!$E:$E,MATCH($W75,Lots!$A:$A,0))*-SUMIFS(Transactions!$E:$E,Transactions!$D:$D,$A75,Transactions!$B:$B,"Sell call")*100,0)))</f>
        <v/>
      </c>
      <c r="I75" s="14" t="str">
        <f aca="false">IF($A75="","",SUMIFS(Transactions!$J:$J,Transactions!$D:$D,$A75,Transactions!$B:$B,"Sell call"))</f>
        <v/>
      </c>
      <c r="J75" s="14" t="str">
        <f aca="false">IF($A75="","",-SUMIFS(Transactions!$J:$J,Transactions!$D:$D,$A75,Transactions!$B:$B,"Buy to close"))</f>
        <v/>
      </c>
      <c r="K75" s="23"/>
      <c r="L75" s="23"/>
      <c r="M75" s="23"/>
      <c r="N75" s="21"/>
      <c r="O75" s="28"/>
      <c r="P75" s="14" t="str">
        <f aca="false">IF(OR(C75&lt;&gt;"Open",L75=""),"",L75*100*D75)</f>
        <v/>
      </c>
      <c r="Q75" s="14" t="str">
        <f aca="false">IF(OR(C75&lt;&gt;"Open",P75=""),"",I75-J75-P75)</f>
        <v/>
      </c>
      <c r="R75" s="14" t="str">
        <f aca="false">IF(OR(C75&lt;&gt;"Open",K75=""),"",K75*G75)</f>
        <v/>
      </c>
      <c r="S75" s="14" t="str">
        <f aca="false">IF(OR(R75="",Q75=""),"",R75-H75+Q75)</f>
        <v/>
      </c>
      <c r="T75" s="13" t="str">
        <f aca="false">IF(OR(R75="",Q75="",N(H75)=0),"",(R75+Q75)/H75)</f>
        <v/>
      </c>
      <c r="U75" s="10" t="str">
        <f aca="false">IF(C75&lt;&gt;"Closed","",_xlfn.MAXIFS(Transactions!$A:$A,Transactions!$D:$D,$A75))</f>
        <v/>
      </c>
      <c r="V75" s="14" t="str">
        <f aca="false">IF(C75&lt;&gt;"Closed","",I75-J75)</f>
        <v/>
      </c>
      <c r="W75" s="8" t="str">
        <f aca="false">IF($A75="","",IFERROR(INDEX(Transactions!$O:$O,MATCH($A75,Transactions!$D:$D,0)),""))</f>
        <v/>
      </c>
    </row>
    <row r="76" customFormat="false" ht="15" hidden="false" customHeight="false" outlineLevel="0" collapsed="false">
      <c r="A76" s="21"/>
      <c r="B76" s="8" t="str">
        <f aca="false">IF($A76="","",IFERROR(INDEX(Transactions!$C:$C,MATCH($A76,Transactions!$D:$D,0)),""))</f>
        <v/>
      </c>
      <c r="C76" s="8" t="str">
        <f aca="false">IF($A76="","",IF(D76&gt;0,"Open","Closed"))</f>
        <v/>
      </c>
      <c r="D76" s="8" t="str">
        <f aca="false">IF($A76="","",-SUMIFS(Transactions!$E:$E,Transactions!$D:$D,$A76,Transactions!$B:$B,"Sell call")-SUMIFS(Transactions!$E:$E,Transactions!$D:$D,$A76,Transactions!$B:$B,"Buy to close")-SUMIFS(Transactions!$E:$E,Transactions!$D:$D,$A76,Transactions!$B:$B,"Expired")-SUMIFS(Transactions!$E:$E,Transactions!$D:$D,$A76,Transactions!$B:$B,"Assigned"))</f>
        <v/>
      </c>
      <c r="E76" s="27" t="str">
        <f aca="false">IF($A76="","",IFERROR(SUMIFS(Transactions!$F:$F,Transactions!$D:$D,$A76,Transactions!$B:$B,"Sell call")/COUNTIFS(Transactions!$D:$D,$A76,Transactions!$B:$B,"Sell call"),""))</f>
        <v/>
      </c>
      <c r="F76" s="10" t="str">
        <f aca="false">IF($A76="","",IFERROR(SUMIFS(Transactions!$G:$G,Transactions!$D:$D,$A76,Transactions!$B:$B,"Sell call")/COUNTIFS(Transactions!$D:$D,$A76,Transactions!$B:$B,"Sell call"),""))</f>
        <v/>
      </c>
      <c r="G76" s="8" t="str">
        <f aca="false">IF($A76="","",-SUMIFS(Transactions!$E:$E,Transactions!$D:$D,$A76,Transactions!$B:$B,"Sell call")*100+SUMIFS(Transactions!$E:$E,Transactions!$D:$D,$A76,Transactions!$B:$B,"Sell shares"))</f>
        <v/>
      </c>
      <c r="H76" s="14" t="str">
        <f aca="false">IF($A76="","",IF(SUMIFS(Transactions!$J:$J,Transactions!$D:$D,$A76,Transactions!$B:$B,"Buy shares")&lt;&gt;0,-SUMIFS(Transactions!$J:$J,Transactions!$D:$D,$A76,Transactions!$B:$B,"Buy shares"),IFERROR(INDEX(Lots!$E:$E,MATCH($W76,Lots!$A:$A,0))*-SUMIFS(Transactions!$E:$E,Transactions!$D:$D,$A76,Transactions!$B:$B,"Sell call")*100,0)))</f>
        <v/>
      </c>
      <c r="I76" s="14" t="str">
        <f aca="false">IF($A76="","",SUMIFS(Transactions!$J:$J,Transactions!$D:$D,$A76,Transactions!$B:$B,"Sell call"))</f>
        <v/>
      </c>
      <c r="J76" s="14" t="str">
        <f aca="false">IF($A76="","",-SUMIFS(Transactions!$J:$J,Transactions!$D:$D,$A76,Transactions!$B:$B,"Buy to close"))</f>
        <v/>
      </c>
      <c r="K76" s="23"/>
      <c r="L76" s="23"/>
      <c r="M76" s="23"/>
      <c r="N76" s="21"/>
      <c r="O76" s="28"/>
      <c r="P76" s="14" t="str">
        <f aca="false">IF(OR(C76&lt;&gt;"Open",L76=""),"",L76*100*D76)</f>
        <v/>
      </c>
      <c r="Q76" s="14" t="str">
        <f aca="false">IF(OR(C76&lt;&gt;"Open",P76=""),"",I76-J76-P76)</f>
        <v/>
      </c>
      <c r="R76" s="14" t="str">
        <f aca="false">IF(OR(C76&lt;&gt;"Open",K76=""),"",K76*G76)</f>
        <v/>
      </c>
      <c r="S76" s="14" t="str">
        <f aca="false">IF(OR(R76="",Q76=""),"",R76-H76+Q76)</f>
        <v/>
      </c>
      <c r="T76" s="13" t="str">
        <f aca="false">IF(OR(R76="",Q76="",N(H76)=0),"",(R76+Q76)/H76)</f>
        <v/>
      </c>
      <c r="U76" s="10" t="str">
        <f aca="false">IF(C76&lt;&gt;"Closed","",_xlfn.MAXIFS(Transactions!$A:$A,Transactions!$D:$D,$A76))</f>
        <v/>
      </c>
      <c r="V76" s="14" t="str">
        <f aca="false">IF(C76&lt;&gt;"Closed","",I76-J76)</f>
        <v/>
      </c>
      <c r="W76" s="8" t="str">
        <f aca="false">IF($A76="","",IFERROR(INDEX(Transactions!$O:$O,MATCH($A76,Transactions!$D:$D,0)),""))</f>
        <v/>
      </c>
    </row>
    <row r="77" customFormat="false" ht="15" hidden="false" customHeight="false" outlineLevel="0" collapsed="false">
      <c r="A77" s="21"/>
      <c r="B77" s="8" t="str">
        <f aca="false">IF($A77="","",IFERROR(INDEX(Transactions!$C:$C,MATCH($A77,Transactions!$D:$D,0)),""))</f>
        <v/>
      </c>
      <c r="C77" s="8" t="str">
        <f aca="false">IF($A77="","",IF(D77&gt;0,"Open","Closed"))</f>
        <v/>
      </c>
      <c r="D77" s="8" t="str">
        <f aca="false">IF($A77="","",-SUMIFS(Transactions!$E:$E,Transactions!$D:$D,$A77,Transactions!$B:$B,"Sell call")-SUMIFS(Transactions!$E:$E,Transactions!$D:$D,$A77,Transactions!$B:$B,"Buy to close")-SUMIFS(Transactions!$E:$E,Transactions!$D:$D,$A77,Transactions!$B:$B,"Expired")-SUMIFS(Transactions!$E:$E,Transactions!$D:$D,$A77,Transactions!$B:$B,"Assigned"))</f>
        <v/>
      </c>
      <c r="E77" s="27" t="str">
        <f aca="false">IF($A77="","",IFERROR(SUMIFS(Transactions!$F:$F,Transactions!$D:$D,$A77,Transactions!$B:$B,"Sell call")/COUNTIFS(Transactions!$D:$D,$A77,Transactions!$B:$B,"Sell call"),""))</f>
        <v/>
      </c>
      <c r="F77" s="10" t="str">
        <f aca="false">IF($A77="","",IFERROR(SUMIFS(Transactions!$G:$G,Transactions!$D:$D,$A77,Transactions!$B:$B,"Sell call")/COUNTIFS(Transactions!$D:$D,$A77,Transactions!$B:$B,"Sell call"),""))</f>
        <v/>
      </c>
      <c r="G77" s="8" t="str">
        <f aca="false">IF($A77="","",-SUMIFS(Transactions!$E:$E,Transactions!$D:$D,$A77,Transactions!$B:$B,"Sell call")*100+SUMIFS(Transactions!$E:$E,Transactions!$D:$D,$A77,Transactions!$B:$B,"Sell shares"))</f>
        <v/>
      </c>
      <c r="H77" s="14" t="str">
        <f aca="false">IF($A77="","",IF(SUMIFS(Transactions!$J:$J,Transactions!$D:$D,$A77,Transactions!$B:$B,"Buy shares")&lt;&gt;0,-SUMIFS(Transactions!$J:$J,Transactions!$D:$D,$A77,Transactions!$B:$B,"Buy shares"),IFERROR(INDEX(Lots!$E:$E,MATCH($W77,Lots!$A:$A,0))*-SUMIFS(Transactions!$E:$E,Transactions!$D:$D,$A77,Transactions!$B:$B,"Sell call")*100,0)))</f>
        <v/>
      </c>
      <c r="I77" s="14" t="str">
        <f aca="false">IF($A77="","",SUMIFS(Transactions!$J:$J,Transactions!$D:$D,$A77,Transactions!$B:$B,"Sell call"))</f>
        <v/>
      </c>
      <c r="J77" s="14" t="str">
        <f aca="false">IF($A77="","",-SUMIFS(Transactions!$J:$J,Transactions!$D:$D,$A77,Transactions!$B:$B,"Buy to close"))</f>
        <v/>
      </c>
      <c r="K77" s="23"/>
      <c r="L77" s="23"/>
      <c r="M77" s="23"/>
      <c r="N77" s="21"/>
      <c r="O77" s="28"/>
      <c r="P77" s="14" t="str">
        <f aca="false">IF(OR(C77&lt;&gt;"Open",L77=""),"",L77*100*D77)</f>
        <v/>
      </c>
      <c r="Q77" s="14" t="str">
        <f aca="false">IF(OR(C77&lt;&gt;"Open",P77=""),"",I77-J77-P77)</f>
        <v/>
      </c>
      <c r="R77" s="14" t="str">
        <f aca="false">IF(OR(C77&lt;&gt;"Open",K77=""),"",K77*G77)</f>
        <v/>
      </c>
      <c r="S77" s="14" t="str">
        <f aca="false">IF(OR(R77="",Q77=""),"",R77-H77+Q77)</f>
        <v/>
      </c>
      <c r="T77" s="13" t="str">
        <f aca="false">IF(OR(R77="",Q77="",N(H77)=0),"",(R77+Q77)/H77)</f>
        <v/>
      </c>
      <c r="U77" s="10" t="str">
        <f aca="false">IF(C77&lt;&gt;"Closed","",_xlfn.MAXIFS(Transactions!$A:$A,Transactions!$D:$D,$A77))</f>
        <v/>
      </c>
      <c r="V77" s="14" t="str">
        <f aca="false">IF(C77&lt;&gt;"Closed","",I77-J77)</f>
        <v/>
      </c>
      <c r="W77" s="8" t="str">
        <f aca="false">IF($A77="","",IFERROR(INDEX(Transactions!$O:$O,MATCH($A77,Transactions!$D:$D,0)),""))</f>
        <v/>
      </c>
    </row>
    <row r="78" customFormat="false" ht="15" hidden="false" customHeight="false" outlineLevel="0" collapsed="false">
      <c r="A78" s="21"/>
      <c r="B78" s="8" t="str">
        <f aca="false">IF($A78="","",IFERROR(INDEX(Transactions!$C:$C,MATCH($A78,Transactions!$D:$D,0)),""))</f>
        <v/>
      </c>
      <c r="C78" s="8" t="str">
        <f aca="false">IF($A78="","",IF(D78&gt;0,"Open","Closed"))</f>
        <v/>
      </c>
      <c r="D78" s="8" t="str">
        <f aca="false">IF($A78="","",-SUMIFS(Transactions!$E:$E,Transactions!$D:$D,$A78,Transactions!$B:$B,"Sell call")-SUMIFS(Transactions!$E:$E,Transactions!$D:$D,$A78,Transactions!$B:$B,"Buy to close")-SUMIFS(Transactions!$E:$E,Transactions!$D:$D,$A78,Transactions!$B:$B,"Expired")-SUMIFS(Transactions!$E:$E,Transactions!$D:$D,$A78,Transactions!$B:$B,"Assigned"))</f>
        <v/>
      </c>
      <c r="E78" s="27" t="str">
        <f aca="false">IF($A78="","",IFERROR(SUMIFS(Transactions!$F:$F,Transactions!$D:$D,$A78,Transactions!$B:$B,"Sell call")/COUNTIFS(Transactions!$D:$D,$A78,Transactions!$B:$B,"Sell call"),""))</f>
        <v/>
      </c>
      <c r="F78" s="10" t="str">
        <f aca="false">IF($A78="","",IFERROR(SUMIFS(Transactions!$G:$G,Transactions!$D:$D,$A78,Transactions!$B:$B,"Sell call")/COUNTIFS(Transactions!$D:$D,$A78,Transactions!$B:$B,"Sell call"),""))</f>
        <v/>
      </c>
      <c r="G78" s="8" t="str">
        <f aca="false">IF($A78="","",-SUMIFS(Transactions!$E:$E,Transactions!$D:$D,$A78,Transactions!$B:$B,"Sell call")*100+SUMIFS(Transactions!$E:$E,Transactions!$D:$D,$A78,Transactions!$B:$B,"Sell shares"))</f>
        <v/>
      </c>
      <c r="H78" s="14" t="str">
        <f aca="false">IF($A78="","",IF(SUMIFS(Transactions!$J:$J,Transactions!$D:$D,$A78,Transactions!$B:$B,"Buy shares")&lt;&gt;0,-SUMIFS(Transactions!$J:$J,Transactions!$D:$D,$A78,Transactions!$B:$B,"Buy shares"),IFERROR(INDEX(Lots!$E:$E,MATCH($W78,Lots!$A:$A,0))*-SUMIFS(Transactions!$E:$E,Transactions!$D:$D,$A78,Transactions!$B:$B,"Sell call")*100,0)))</f>
        <v/>
      </c>
      <c r="I78" s="14" t="str">
        <f aca="false">IF($A78="","",SUMIFS(Transactions!$J:$J,Transactions!$D:$D,$A78,Transactions!$B:$B,"Sell call"))</f>
        <v/>
      </c>
      <c r="J78" s="14" t="str">
        <f aca="false">IF($A78="","",-SUMIFS(Transactions!$J:$J,Transactions!$D:$D,$A78,Transactions!$B:$B,"Buy to close"))</f>
        <v/>
      </c>
      <c r="K78" s="23"/>
      <c r="L78" s="23"/>
      <c r="M78" s="23"/>
      <c r="N78" s="21"/>
      <c r="O78" s="28"/>
      <c r="P78" s="14" t="str">
        <f aca="false">IF(OR(C78&lt;&gt;"Open",L78=""),"",L78*100*D78)</f>
        <v/>
      </c>
      <c r="Q78" s="14" t="str">
        <f aca="false">IF(OR(C78&lt;&gt;"Open",P78=""),"",I78-J78-P78)</f>
        <v/>
      </c>
      <c r="R78" s="14" t="str">
        <f aca="false">IF(OR(C78&lt;&gt;"Open",K78=""),"",K78*G78)</f>
        <v/>
      </c>
      <c r="S78" s="14" t="str">
        <f aca="false">IF(OR(R78="",Q78=""),"",R78-H78+Q78)</f>
        <v/>
      </c>
      <c r="T78" s="13" t="str">
        <f aca="false">IF(OR(R78="",Q78="",N(H78)=0),"",(R78+Q78)/H78)</f>
        <v/>
      </c>
      <c r="U78" s="10" t="str">
        <f aca="false">IF(C78&lt;&gt;"Closed","",_xlfn.MAXIFS(Transactions!$A:$A,Transactions!$D:$D,$A78))</f>
        <v/>
      </c>
      <c r="V78" s="14" t="str">
        <f aca="false">IF(C78&lt;&gt;"Closed","",I78-J78)</f>
        <v/>
      </c>
      <c r="W78" s="8" t="str">
        <f aca="false">IF($A78="","",IFERROR(INDEX(Transactions!$O:$O,MATCH($A78,Transactions!$D:$D,0)),""))</f>
        <v/>
      </c>
    </row>
    <row r="79" customFormat="false" ht="15" hidden="false" customHeight="false" outlineLevel="0" collapsed="false">
      <c r="A79" s="21"/>
      <c r="B79" s="8" t="str">
        <f aca="false">IF($A79="","",IFERROR(INDEX(Transactions!$C:$C,MATCH($A79,Transactions!$D:$D,0)),""))</f>
        <v/>
      </c>
      <c r="C79" s="8" t="str">
        <f aca="false">IF($A79="","",IF(D79&gt;0,"Open","Closed"))</f>
        <v/>
      </c>
      <c r="D79" s="8" t="str">
        <f aca="false">IF($A79="","",-SUMIFS(Transactions!$E:$E,Transactions!$D:$D,$A79,Transactions!$B:$B,"Sell call")-SUMIFS(Transactions!$E:$E,Transactions!$D:$D,$A79,Transactions!$B:$B,"Buy to close")-SUMIFS(Transactions!$E:$E,Transactions!$D:$D,$A79,Transactions!$B:$B,"Expired")-SUMIFS(Transactions!$E:$E,Transactions!$D:$D,$A79,Transactions!$B:$B,"Assigned"))</f>
        <v/>
      </c>
      <c r="E79" s="27" t="str">
        <f aca="false">IF($A79="","",IFERROR(SUMIFS(Transactions!$F:$F,Transactions!$D:$D,$A79,Transactions!$B:$B,"Sell call")/COUNTIFS(Transactions!$D:$D,$A79,Transactions!$B:$B,"Sell call"),""))</f>
        <v/>
      </c>
      <c r="F79" s="10" t="str">
        <f aca="false">IF($A79="","",IFERROR(SUMIFS(Transactions!$G:$G,Transactions!$D:$D,$A79,Transactions!$B:$B,"Sell call")/COUNTIFS(Transactions!$D:$D,$A79,Transactions!$B:$B,"Sell call"),""))</f>
        <v/>
      </c>
      <c r="G79" s="8" t="str">
        <f aca="false">IF($A79="","",-SUMIFS(Transactions!$E:$E,Transactions!$D:$D,$A79,Transactions!$B:$B,"Sell call")*100+SUMIFS(Transactions!$E:$E,Transactions!$D:$D,$A79,Transactions!$B:$B,"Sell shares"))</f>
        <v/>
      </c>
      <c r="H79" s="14" t="str">
        <f aca="false">IF($A79="","",IF(SUMIFS(Transactions!$J:$J,Transactions!$D:$D,$A79,Transactions!$B:$B,"Buy shares")&lt;&gt;0,-SUMIFS(Transactions!$J:$J,Transactions!$D:$D,$A79,Transactions!$B:$B,"Buy shares"),IFERROR(INDEX(Lots!$E:$E,MATCH($W79,Lots!$A:$A,0))*-SUMIFS(Transactions!$E:$E,Transactions!$D:$D,$A79,Transactions!$B:$B,"Sell call")*100,0)))</f>
        <v/>
      </c>
      <c r="I79" s="14" t="str">
        <f aca="false">IF($A79="","",SUMIFS(Transactions!$J:$J,Transactions!$D:$D,$A79,Transactions!$B:$B,"Sell call"))</f>
        <v/>
      </c>
      <c r="J79" s="14" t="str">
        <f aca="false">IF($A79="","",-SUMIFS(Transactions!$J:$J,Transactions!$D:$D,$A79,Transactions!$B:$B,"Buy to close"))</f>
        <v/>
      </c>
      <c r="K79" s="23"/>
      <c r="L79" s="23"/>
      <c r="M79" s="23"/>
      <c r="N79" s="21"/>
      <c r="O79" s="28"/>
      <c r="P79" s="14" t="str">
        <f aca="false">IF(OR(C79&lt;&gt;"Open",L79=""),"",L79*100*D79)</f>
        <v/>
      </c>
      <c r="Q79" s="14" t="str">
        <f aca="false">IF(OR(C79&lt;&gt;"Open",P79=""),"",I79-J79-P79)</f>
        <v/>
      </c>
      <c r="R79" s="14" t="str">
        <f aca="false">IF(OR(C79&lt;&gt;"Open",K79=""),"",K79*G79)</f>
        <v/>
      </c>
      <c r="S79" s="14" t="str">
        <f aca="false">IF(OR(R79="",Q79=""),"",R79-H79+Q79)</f>
        <v/>
      </c>
      <c r="T79" s="13" t="str">
        <f aca="false">IF(OR(R79="",Q79="",N(H79)=0),"",(R79+Q79)/H79)</f>
        <v/>
      </c>
      <c r="U79" s="10" t="str">
        <f aca="false">IF(C79&lt;&gt;"Closed","",_xlfn.MAXIFS(Transactions!$A:$A,Transactions!$D:$D,$A79))</f>
        <v/>
      </c>
      <c r="V79" s="14" t="str">
        <f aca="false">IF(C79&lt;&gt;"Closed","",I79-J79)</f>
        <v/>
      </c>
      <c r="W79" s="8" t="str">
        <f aca="false">IF($A79="","",IFERROR(INDEX(Transactions!$O:$O,MATCH($A79,Transactions!$D:$D,0)),""))</f>
        <v/>
      </c>
    </row>
    <row r="80" customFormat="false" ht="15" hidden="false" customHeight="false" outlineLevel="0" collapsed="false">
      <c r="A80" s="21"/>
      <c r="B80" s="8" t="str">
        <f aca="false">IF($A80="","",IFERROR(INDEX(Transactions!$C:$C,MATCH($A80,Transactions!$D:$D,0)),""))</f>
        <v/>
      </c>
      <c r="C80" s="8" t="str">
        <f aca="false">IF($A80="","",IF(D80&gt;0,"Open","Closed"))</f>
        <v/>
      </c>
      <c r="D80" s="8" t="str">
        <f aca="false">IF($A80="","",-SUMIFS(Transactions!$E:$E,Transactions!$D:$D,$A80,Transactions!$B:$B,"Sell call")-SUMIFS(Transactions!$E:$E,Transactions!$D:$D,$A80,Transactions!$B:$B,"Buy to close")-SUMIFS(Transactions!$E:$E,Transactions!$D:$D,$A80,Transactions!$B:$B,"Expired")-SUMIFS(Transactions!$E:$E,Transactions!$D:$D,$A80,Transactions!$B:$B,"Assigned"))</f>
        <v/>
      </c>
      <c r="E80" s="27" t="str">
        <f aca="false">IF($A80="","",IFERROR(SUMIFS(Transactions!$F:$F,Transactions!$D:$D,$A80,Transactions!$B:$B,"Sell call")/COUNTIFS(Transactions!$D:$D,$A80,Transactions!$B:$B,"Sell call"),""))</f>
        <v/>
      </c>
      <c r="F80" s="10" t="str">
        <f aca="false">IF($A80="","",IFERROR(SUMIFS(Transactions!$G:$G,Transactions!$D:$D,$A80,Transactions!$B:$B,"Sell call")/COUNTIFS(Transactions!$D:$D,$A80,Transactions!$B:$B,"Sell call"),""))</f>
        <v/>
      </c>
      <c r="G80" s="8" t="str">
        <f aca="false">IF($A80="","",-SUMIFS(Transactions!$E:$E,Transactions!$D:$D,$A80,Transactions!$B:$B,"Sell call")*100+SUMIFS(Transactions!$E:$E,Transactions!$D:$D,$A80,Transactions!$B:$B,"Sell shares"))</f>
        <v/>
      </c>
      <c r="H80" s="14" t="str">
        <f aca="false">IF($A80="","",IF(SUMIFS(Transactions!$J:$J,Transactions!$D:$D,$A80,Transactions!$B:$B,"Buy shares")&lt;&gt;0,-SUMIFS(Transactions!$J:$J,Transactions!$D:$D,$A80,Transactions!$B:$B,"Buy shares"),IFERROR(INDEX(Lots!$E:$E,MATCH($W80,Lots!$A:$A,0))*-SUMIFS(Transactions!$E:$E,Transactions!$D:$D,$A80,Transactions!$B:$B,"Sell call")*100,0)))</f>
        <v/>
      </c>
      <c r="I80" s="14" t="str">
        <f aca="false">IF($A80="","",SUMIFS(Transactions!$J:$J,Transactions!$D:$D,$A80,Transactions!$B:$B,"Sell call"))</f>
        <v/>
      </c>
      <c r="J80" s="14" t="str">
        <f aca="false">IF($A80="","",-SUMIFS(Transactions!$J:$J,Transactions!$D:$D,$A80,Transactions!$B:$B,"Buy to close"))</f>
        <v/>
      </c>
      <c r="K80" s="23"/>
      <c r="L80" s="23"/>
      <c r="M80" s="23"/>
      <c r="N80" s="21"/>
      <c r="O80" s="28"/>
      <c r="P80" s="14" t="str">
        <f aca="false">IF(OR(C80&lt;&gt;"Open",L80=""),"",L80*100*D80)</f>
        <v/>
      </c>
      <c r="Q80" s="14" t="str">
        <f aca="false">IF(OR(C80&lt;&gt;"Open",P80=""),"",I80-J80-P80)</f>
        <v/>
      </c>
      <c r="R80" s="14" t="str">
        <f aca="false">IF(OR(C80&lt;&gt;"Open",K80=""),"",K80*G80)</f>
        <v/>
      </c>
      <c r="S80" s="14" t="str">
        <f aca="false">IF(OR(R80="",Q80=""),"",R80-H80+Q80)</f>
        <v/>
      </c>
      <c r="T80" s="13" t="str">
        <f aca="false">IF(OR(R80="",Q80="",N(H80)=0),"",(R80+Q80)/H80)</f>
        <v/>
      </c>
      <c r="U80" s="10" t="str">
        <f aca="false">IF(C80&lt;&gt;"Closed","",_xlfn.MAXIFS(Transactions!$A:$A,Transactions!$D:$D,$A80))</f>
        <v/>
      </c>
      <c r="V80" s="14" t="str">
        <f aca="false">IF(C80&lt;&gt;"Closed","",I80-J80)</f>
        <v/>
      </c>
      <c r="W80" s="8" t="str">
        <f aca="false">IF($A80="","",IFERROR(INDEX(Transactions!$O:$O,MATCH($A80,Transactions!$D:$D,0)),""))</f>
        <v/>
      </c>
    </row>
    <row r="81" customFormat="false" ht="15" hidden="false" customHeight="false" outlineLevel="0" collapsed="false">
      <c r="A81" s="21"/>
      <c r="B81" s="8" t="str">
        <f aca="false">IF($A81="","",IFERROR(INDEX(Transactions!$C:$C,MATCH($A81,Transactions!$D:$D,0)),""))</f>
        <v/>
      </c>
      <c r="C81" s="8" t="str">
        <f aca="false">IF($A81="","",IF(D81&gt;0,"Open","Closed"))</f>
        <v/>
      </c>
      <c r="D81" s="8" t="str">
        <f aca="false">IF($A81="","",-SUMIFS(Transactions!$E:$E,Transactions!$D:$D,$A81,Transactions!$B:$B,"Sell call")-SUMIFS(Transactions!$E:$E,Transactions!$D:$D,$A81,Transactions!$B:$B,"Buy to close")-SUMIFS(Transactions!$E:$E,Transactions!$D:$D,$A81,Transactions!$B:$B,"Expired")-SUMIFS(Transactions!$E:$E,Transactions!$D:$D,$A81,Transactions!$B:$B,"Assigned"))</f>
        <v/>
      </c>
      <c r="E81" s="27" t="str">
        <f aca="false">IF($A81="","",IFERROR(SUMIFS(Transactions!$F:$F,Transactions!$D:$D,$A81,Transactions!$B:$B,"Sell call")/COUNTIFS(Transactions!$D:$D,$A81,Transactions!$B:$B,"Sell call"),""))</f>
        <v/>
      </c>
      <c r="F81" s="10" t="str">
        <f aca="false">IF($A81="","",IFERROR(SUMIFS(Transactions!$G:$G,Transactions!$D:$D,$A81,Transactions!$B:$B,"Sell call")/COUNTIFS(Transactions!$D:$D,$A81,Transactions!$B:$B,"Sell call"),""))</f>
        <v/>
      </c>
      <c r="G81" s="8" t="str">
        <f aca="false">IF($A81="","",-SUMIFS(Transactions!$E:$E,Transactions!$D:$D,$A81,Transactions!$B:$B,"Sell call")*100+SUMIFS(Transactions!$E:$E,Transactions!$D:$D,$A81,Transactions!$B:$B,"Sell shares"))</f>
        <v/>
      </c>
      <c r="H81" s="14" t="str">
        <f aca="false">IF($A81="","",IF(SUMIFS(Transactions!$J:$J,Transactions!$D:$D,$A81,Transactions!$B:$B,"Buy shares")&lt;&gt;0,-SUMIFS(Transactions!$J:$J,Transactions!$D:$D,$A81,Transactions!$B:$B,"Buy shares"),IFERROR(INDEX(Lots!$E:$E,MATCH($W81,Lots!$A:$A,0))*-SUMIFS(Transactions!$E:$E,Transactions!$D:$D,$A81,Transactions!$B:$B,"Sell call")*100,0)))</f>
        <v/>
      </c>
      <c r="I81" s="14" t="str">
        <f aca="false">IF($A81="","",SUMIFS(Transactions!$J:$J,Transactions!$D:$D,$A81,Transactions!$B:$B,"Sell call"))</f>
        <v/>
      </c>
      <c r="J81" s="14" t="str">
        <f aca="false">IF($A81="","",-SUMIFS(Transactions!$J:$J,Transactions!$D:$D,$A81,Transactions!$B:$B,"Buy to close"))</f>
        <v/>
      </c>
      <c r="K81" s="23"/>
      <c r="L81" s="23"/>
      <c r="M81" s="23"/>
      <c r="N81" s="21"/>
      <c r="O81" s="28"/>
      <c r="P81" s="14" t="str">
        <f aca="false">IF(OR(C81&lt;&gt;"Open",L81=""),"",L81*100*D81)</f>
        <v/>
      </c>
      <c r="Q81" s="14" t="str">
        <f aca="false">IF(OR(C81&lt;&gt;"Open",P81=""),"",I81-J81-P81)</f>
        <v/>
      </c>
      <c r="R81" s="14" t="str">
        <f aca="false">IF(OR(C81&lt;&gt;"Open",K81=""),"",K81*G81)</f>
        <v/>
      </c>
      <c r="S81" s="14" t="str">
        <f aca="false">IF(OR(R81="",Q81=""),"",R81-H81+Q81)</f>
        <v/>
      </c>
      <c r="T81" s="13" t="str">
        <f aca="false">IF(OR(R81="",Q81="",N(H81)=0),"",(R81+Q81)/H81)</f>
        <v/>
      </c>
      <c r="U81" s="10" t="str">
        <f aca="false">IF(C81&lt;&gt;"Closed","",_xlfn.MAXIFS(Transactions!$A:$A,Transactions!$D:$D,$A81))</f>
        <v/>
      </c>
      <c r="V81" s="14" t="str">
        <f aca="false">IF(C81&lt;&gt;"Closed","",I81-J81)</f>
        <v/>
      </c>
      <c r="W81" s="8" t="str">
        <f aca="false">IF($A81="","",IFERROR(INDEX(Transactions!$O:$O,MATCH($A81,Transactions!$D:$D,0)),""))</f>
        <v/>
      </c>
    </row>
    <row r="82" customFormat="false" ht="15" hidden="false" customHeight="false" outlineLevel="0" collapsed="false">
      <c r="A82" s="21"/>
      <c r="B82" s="8" t="str">
        <f aca="false">IF($A82="","",IFERROR(INDEX(Transactions!$C:$C,MATCH($A82,Transactions!$D:$D,0)),""))</f>
        <v/>
      </c>
      <c r="C82" s="8" t="str">
        <f aca="false">IF($A82="","",IF(D82&gt;0,"Open","Closed"))</f>
        <v/>
      </c>
      <c r="D82" s="8" t="str">
        <f aca="false">IF($A82="","",-SUMIFS(Transactions!$E:$E,Transactions!$D:$D,$A82,Transactions!$B:$B,"Sell call")-SUMIFS(Transactions!$E:$E,Transactions!$D:$D,$A82,Transactions!$B:$B,"Buy to close")-SUMIFS(Transactions!$E:$E,Transactions!$D:$D,$A82,Transactions!$B:$B,"Expired")-SUMIFS(Transactions!$E:$E,Transactions!$D:$D,$A82,Transactions!$B:$B,"Assigned"))</f>
        <v/>
      </c>
      <c r="E82" s="27" t="str">
        <f aca="false">IF($A82="","",IFERROR(SUMIFS(Transactions!$F:$F,Transactions!$D:$D,$A82,Transactions!$B:$B,"Sell call")/COUNTIFS(Transactions!$D:$D,$A82,Transactions!$B:$B,"Sell call"),""))</f>
        <v/>
      </c>
      <c r="F82" s="10" t="str">
        <f aca="false">IF($A82="","",IFERROR(SUMIFS(Transactions!$G:$G,Transactions!$D:$D,$A82,Transactions!$B:$B,"Sell call")/COUNTIFS(Transactions!$D:$D,$A82,Transactions!$B:$B,"Sell call"),""))</f>
        <v/>
      </c>
      <c r="G82" s="8" t="str">
        <f aca="false">IF($A82="","",-SUMIFS(Transactions!$E:$E,Transactions!$D:$D,$A82,Transactions!$B:$B,"Sell call")*100+SUMIFS(Transactions!$E:$E,Transactions!$D:$D,$A82,Transactions!$B:$B,"Sell shares"))</f>
        <v/>
      </c>
      <c r="H82" s="14" t="str">
        <f aca="false">IF($A82="","",IF(SUMIFS(Transactions!$J:$J,Transactions!$D:$D,$A82,Transactions!$B:$B,"Buy shares")&lt;&gt;0,-SUMIFS(Transactions!$J:$J,Transactions!$D:$D,$A82,Transactions!$B:$B,"Buy shares"),IFERROR(INDEX(Lots!$E:$E,MATCH($W82,Lots!$A:$A,0))*-SUMIFS(Transactions!$E:$E,Transactions!$D:$D,$A82,Transactions!$B:$B,"Sell call")*100,0)))</f>
        <v/>
      </c>
      <c r="I82" s="14" t="str">
        <f aca="false">IF($A82="","",SUMIFS(Transactions!$J:$J,Transactions!$D:$D,$A82,Transactions!$B:$B,"Sell call"))</f>
        <v/>
      </c>
      <c r="J82" s="14" t="str">
        <f aca="false">IF($A82="","",-SUMIFS(Transactions!$J:$J,Transactions!$D:$D,$A82,Transactions!$B:$B,"Buy to close"))</f>
        <v/>
      </c>
      <c r="K82" s="23"/>
      <c r="L82" s="23"/>
      <c r="M82" s="23"/>
      <c r="N82" s="21"/>
      <c r="O82" s="28"/>
      <c r="P82" s="14" t="str">
        <f aca="false">IF(OR(C82&lt;&gt;"Open",L82=""),"",L82*100*D82)</f>
        <v/>
      </c>
      <c r="Q82" s="14" t="str">
        <f aca="false">IF(OR(C82&lt;&gt;"Open",P82=""),"",I82-J82-P82)</f>
        <v/>
      </c>
      <c r="R82" s="14" t="str">
        <f aca="false">IF(OR(C82&lt;&gt;"Open",K82=""),"",K82*G82)</f>
        <v/>
      </c>
      <c r="S82" s="14" t="str">
        <f aca="false">IF(OR(R82="",Q82=""),"",R82-H82+Q82)</f>
        <v/>
      </c>
      <c r="T82" s="13" t="str">
        <f aca="false">IF(OR(R82="",Q82="",N(H82)=0),"",(R82+Q82)/H82)</f>
        <v/>
      </c>
      <c r="U82" s="10" t="str">
        <f aca="false">IF(C82&lt;&gt;"Closed","",_xlfn.MAXIFS(Transactions!$A:$A,Transactions!$D:$D,$A82))</f>
        <v/>
      </c>
      <c r="V82" s="14" t="str">
        <f aca="false">IF(C82&lt;&gt;"Closed","",I82-J82)</f>
        <v/>
      </c>
      <c r="W82" s="8" t="str">
        <f aca="false">IF($A82="","",IFERROR(INDEX(Transactions!$O:$O,MATCH($A82,Transactions!$D:$D,0)),""))</f>
        <v/>
      </c>
    </row>
    <row r="83" customFormat="false" ht="15" hidden="false" customHeight="false" outlineLevel="0" collapsed="false">
      <c r="A83" s="21"/>
      <c r="B83" s="8" t="str">
        <f aca="false">IF($A83="","",IFERROR(INDEX(Transactions!$C:$C,MATCH($A83,Transactions!$D:$D,0)),""))</f>
        <v/>
      </c>
      <c r="C83" s="8" t="str">
        <f aca="false">IF($A83="","",IF(D83&gt;0,"Open","Closed"))</f>
        <v/>
      </c>
      <c r="D83" s="8" t="str">
        <f aca="false">IF($A83="","",-SUMIFS(Transactions!$E:$E,Transactions!$D:$D,$A83,Transactions!$B:$B,"Sell call")-SUMIFS(Transactions!$E:$E,Transactions!$D:$D,$A83,Transactions!$B:$B,"Buy to close")-SUMIFS(Transactions!$E:$E,Transactions!$D:$D,$A83,Transactions!$B:$B,"Expired")-SUMIFS(Transactions!$E:$E,Transactions!$D:$D,$A83,Transactions!$B:$B,"Assigned"))</f>
        <v/>
      </c>
      <c r="E83" s="27" t="str">
        <f aca="false">IF($A83="","",IFERROR(SUMIFS(Transactions!$F:$F,Transactions!$D:$D,$A83,Transactions!$B:$B,"Sell call")/COUNTIFS(Transactions!$D:$D,$A83,Transactions!$B:$B,"Sell call"),""))</f>
        <v/>
      </c>
      <c r="F83" s="10" t="str">
        <f aca="false">IF($A83="","",IFERROR(SUMIFS(Transactions!$G:$G,Transactions!$D:$D,$A83,Transactions!$B:$B,"Sell call")/COUNTIFS(Transactions!$D:$D,$A83,Transactions!$B:$B,"Sell call"),""))</f>
        <v/>
      </c>
      <c r="G83" s="8" t="str">
        <f aca="false">IF($A83="","",-SUMIFS(Transactions!$E:$E,Transactions!$D:$D,$A83,Transactions!$B:$B,"Sell call")*100+SUMIFS(Transactions!$E:$E,Transactions!$D:$D,$A83,Transactions!$B:$B,"Sell shares"))</f>
        <v/>
      </c>
      <c r="H83" s="14" t="str">
        <f aca="false">IF($A83="","",IF(SUMIFS(Transactions!$J:$J,Transactions!$D:$D,$A83,Transactions!$B:$B,"Buy shares")&lt;&gt;0,-SUMIFS(Transactions!$J:$J,Transactions!$D:$D,$A83,Transactions!$B:$B,"Buy shares"),IFERROR(INDEX(Lots!$E:$E,MATCH($W83,Lots!$A:$A,0))*-SUMIFS(Transactions!$E:$E,Transactions!$D:$D,$A83,Transactions!$B:$B,"Sell call")*100,0)))</f>
        <v/>
      </c>
      <c r="I83" s="14" t="str">
        <f aca="false">IF($A83="","",SUMIFS(Transactions!$J:$J,Transactions!$D:$D,$A83,Transactions!$B:$B,"Sell call"))</f>
        <v/>
      </c>
      <c r="J83" s="14" t="str">
        <f aca="false">IF($A83="","",-SUMIFS(Transactions!$J:$J,Transactions!$D:$D,$A83,Transactions!$B:$B,"Buy to close"))</f>
        <v/>
      </c>
      <c r="K83" s="23"/>
      <c r="L83" s="23"/>
      <c r="M83" s="23"/>
      <c r="N83" s="21"/>
      <c r="O83" s="28"/>
      <c r="P83" s="14" t="str">
        <f aca="false">IF(OR(C83&lt;&gt;"Open",L83=""),"",L83*100*D83)</f>
        <v/>
      </c>
      <c r="Q83" s="14" t="str">
        <f aca="false">IF(OR(C83&lt;&gt;"Open",P83=""),"",I83-J83-P83)</f>
        <v/>
      </c>
      <c r="R83" s="14" t="str">
        <f aca="false">IF(OR(C83&lt;&gt;"Open",K83=""),"",K83*G83)</f>
        <v/>
      </c>
      <c r="S83" s="14" t="str">
        <f aca="false">IF(OR(R83="",Q83=""),"",R83-H83+Q83)</f>
        <v/>
      </c>
      <c r="T83" s="13" t="str">
        <f aca="false">IF(OR(R83="",Q83="",N(H83)=0),"",(R83+Q83)/H83)</f>
        <v/>
      </c>
      <c r="U83" s="10" t="str">
        <f aca="false">IF(C83&lt;&gt;"Closed","",_xlfn.MAXIFS(Transactions!$A:$A,Transactions!$D:$D,$A83))</f>
        <v/>
      </c>
      <c r="V83" s="14" t="str">
        <f aca="false">IF(C83&lt;&gt;"Closed","",I83-J83)</f>
        <v/>
      </c>
      <c r="W83" s="8" t="str">
        <f aca="false">IF($A83="","",IFERROR(INDEX(Transactions!$O:$O,MATCH($A83,Transactions!$D:$D,0)),""))</f>
        <v/>
      </c>
    </row>
    <row r="84" customFormat="false" ht="15" hidden="false" customHeight="false" outlineLevel="0" collapsed="false">
      <c r="A84" s="21"/>
      <c r="B84" s="8" t="str">
        <f aca="false">IF($A84="","",IFERROR(INDEX(Transactions!$C:$C,MATCH($A84,Transactions!$D:$D,0)),""))</f>
        <v/>
      </c>
      <c r="C84" s="8" t="str">
        <f aca="false">IF($A84="","",IF(D84&gt;0,"Open","Closed"))</f>
        <v/>
      </c>
      <c r="D84" s="8" t="str">
        <f aca="false">IF($A84="","",-SUMIFS(Transactions!$E:$E,Transactions!$D:$D,$A84,Transactions!$B:$B,"Sell call")-SUMIFS(Transactions!$E:$E,Transactions!$D:$D,$A84,Transactions!$B:$B,"Buy to close")-SUMIFS(Transactions!$E:$E,Transactions!$D:$D,$A84,Transactions!$B:$B,"Expired")-SUMIFS(Transactions!$E:$E,Transactions!$D:$D,$A84,Transactions!$B:$B,"Assigned"))</f>
        <v/>
      </c>
      <c r="E84" s="27" t="str">
        <f aca="false">IF($A84="","",IFERROR(SUMIFS(Transactions!$F:$F,Transactions!$D:$D,$A84,Transactions!$B:$B,"Sell call")/COUNTIFS(Transactions!$D:$D,$A84,Transactions!$B:$B,"Sell call"),""))</f>
        <v/>
      </c>
      <c r="F84" s="10" t="str">
        <f aca="false">IF($A84="","",IFERROR(SUMIFS(Transactions!$G:$G,Transactions!$D:$D,$A84,Transactions!$B:$B,"Sell call")/COUNTIFS(Transactions!$D:$D,$A84,Transactions!$B:$B,"Sell call"),""))</f>
        <v/>
      </c>
      <c r="G84" s="8" t="str">
        <f aca="false">IF($A84="","",-SUMIFS(Transactions!$E:$E,Transactions!$D:$D,$A84,Transactions!$B:$B,"Sell call")*100+SUMIFS(Transactions!$E:$E,Transactions!$D:$D,$A84,Transactions!$B:$B,"Sell shares"))</f>
        <v/>
      </c>
      <c r="H84" s="14" t="str">
        <f aca="false">IF($A84="","",IF(SUMIFS(Transactions!$J:$J,Transactions!$D:$D,$A84,Transactions!$B:$B,"Buy shares")&lt;&gt;0,-SUMIFS(Transactions!$J:$J,Transactions!$D:$D,$A84,Transactions!$B:$B,"Buy shares"),IFERROR(INDEX(Lots!$E:$E,MATCH($W84,Lots!$A:$A,0))*-SUMIFS(Transactions!$E:$E,Transactions!$D:$D,$A84,Transactions!$B:$B,"Sell call")*100,0)))</f>
        <v/>
      </c>
      <c r="I84" s="14" t="str">
        <f aca="false">IF($A84="","",SUMIFS(Transactions!$J:$J,Transactions!$D:$D,$A84,Transactions!$B:$B,"Sell call"))</f>
        <v/>
      </c>
      <c r="J84" s="14" t="str">
        <f aca="false">IF($A84="","",-SUMIFS(Transactions!$J:$J,Transactions!$D:$D,$A84,Transactions!$B:$B,"Buy to close"))</f>
        <v/>
      </c>
      <c r="K84" s="23"/>
      <c r="L84" s="23"/>
      <c r="M84" s="23"/>
      <c r="N84" s="21"/>
      <c r="O84" s="28"/>
      <c r="P84" s="14" t="str">
        <f aca="false">IF(OR(C84&lt;&gt;"Open",L84=""),"",L84*100*D84)</f>
        <v/>
      </c>
      <c r="Q84" s="14" t="str">
        <f aca="false">IF(OR(C84&lt;&gt;"Open",P84=""),"",I84-J84-P84)</f>
        <v/>
      </c>
      <c r="R84" s="14" t="str">
        <f aca="false">IF(OR(C84&lt;&gt;"Open",K84=""),"",K84*G84)</f>
        <v/>
      </c>
      <c r="S84" s="14" t="str">
        <f aca="false">IF(OR(R84="",Q84=""),"",R84-H84+Q84)</f>
        <v/>
      </c>
      <c r="T84" s="13" t="str">
        <f aca="false">IF(OR(R84="",Q84="",N(H84)=0),"",(R84+Q84)/H84)</f>
        <v/>
      </c>
      <c r="U84" s="10" t="str">
        <f aca="false">IF(C84&lt;&gt;"Closed","",_xlfn.MAXIFS(Transactions!$A:$A,Transactions!$D:$D,$A84))</f>
        <v/>
      </c>
      <c r="V84" s="14" t="str">
        <f aca="false">IF(C84&lt;&gt;"Closed","",I84-J84)</f>
        <v/>
      </c>
      <c r="W84" s="8" t="str">
        <f aca="false">IF($A84="","",IFERROR(INDEX(Transactions!$O:$O,MATCH($A84,Transactions!$D:$D,0)),""))</f>
        <v/>
      </c>
    </row>
    <row r="85" customFormat="false" ht="15" hidden="false" customHeight="false" outlineLevel="0" collapsed="false">
      <c r="A85" s="21"/>
      <c r="B85" s="8" t="str">
        <f aca="false">IF($A85="","",IFERROR(INDEX(Transactions!$C:$C,MATCH($A85,Transactions!$D:$D,0)),""))</f>
        <v/>
      </c>
      <c r="C85" s="8" t="str">
        <f aca="false">IF($A85="","",IF(D85&gt;0,"Open","Closed"))</f>
        <v/>
      </c>
      <c r="D85" s="8" t="str">
        <f aca="false">IF($A85="","",-SUMIFS(Transactions!$E:$E,Transactions!$D:$D,$A85,Transactions!$B:$B,"Sell call")-SUMIFS(Transactions!$E:$E,Transactions!$D:$D,$A85,Transactions!$B:$B,"Buy to close")-SUMIFS(Transactions!$E:$E,Transactions!$D:$D,$A85,Transactions!$B:$B,"Expired")-SUMIFS(Transactions!$E:$E,Transactions!$D:$D,$A85,Transactions!$B:$B,"Assigned"))</f>
        <v/>
      </c>
      <c r="E85" s="27" t="str">
        <f aca="false">IF($A85="","",IFERROR(SUMIFS(Transactions!$F:$F,Transactions!$D:$D,$A85,Transactions!$B:$B,"Sell call")/COUNTIFS(Transactions!$D:$D,$A85,Transactions!$B:$B,"Sell call"),""))</f>
        <v/>
      </c>
      <c r="F85" s="10" t="str">
        <f aca="false">IF($A85="","",IFERROR(SUMIFS(Transactions!$G:$G,Transactions!$D:$D,$A85,Transactions!$B:$B,"Sell call")/COUNTIFS(Transactions!$D:$D,$A85,Transactions!$B:$B,"Sell call"),""))</f>
        <v/>
      </c>
      <c r="G85" s="8" t="str">
        <f aca="false">IF($A85="","",-SUMIFS(Transactions!$E:$E,Transactions!$D:$D,$A85,Transactions!$B:$B,"Sell call")*100+SUMIFS(Transactions!$E:$E,Transactions!$D:$D,$A85,Transactions!$B:$B,"Sell shares"))</f>
        <v/>
      </c>
      <c r="H85" s="14" t="str">
        <f aca="false">IF($A85="","",IF(SUMIFS(Transactions!$J:$J,Transactions!$D:$D,$A85,Transactions!$B:$B,"Buy shares")&lt;&gt;0,-SUMIFS(Transactions!$J:$J,Transactions!$D:$D,$A85,Transactions!$B:$B,"Buy shares"),IFERROR(INDEX(Lots!$E:$E,MATCH($W85,Lots!$A:$A,0))*-SUMIFS(Transactions!$E:$E,Transactions!$D:$D,$A85,Transactions!$B:$B,"Sell call")*100,0)))</f>
        <v/>
      </c>
      <c r="I85" s="14" t="str">
        <f aca="false">IF($A85="","",SUMIFS(Transactions!$J:$J,Transactions!$D:$D,$A85,Transactions!$B:$B,"Sell call"))</f>
        <v/>
      </c>
      <c r="J85" s="14" t="str">
        <f aca="false">IF($A85="","",-SUMIFS(Transactions!$J:$J,Transactions!$D:$D,$A85,Transactions!$B:$B,"Buy to close"))</f>
        <v/>
      </c>
      <c r="K85" s="23"/>
      <c r="L85" s="23"/>
      <c r="M85" s="23"/>
      <c r="N85" s="21"/>
      <c r="O85" s="28"/>
      <c r="P85" s="14" t="str">
        <f aca="false">IF(OR(C85&lt;&gt;"Open",L85=""),"",L85*100*D85)</f>
        <v/>
      </c>
      <c r="Q85" s="14" t="str">
        <f aca="false">IF(OR(C85&lt;&gt;"Open",P85=""),"",I85-J85-P85)</f>
        <v/>
      </c>
      <c r="R85" s="14" t="str">
        <f aca="false">IF(OR(C85&lt;&gt;"Open",K85=""),"",K85*G85)</f>
        <v/>
      </c>
      <c r="S85" s="14" t="str">
        <f aca="false">IF(OR(R85="",Q85=""),"",R85-H85+Q85)</f>
        <v/>
      </c>
      <c r="T85" s="13" t="str">
        <f aca="false">IF(OR(R85="",Q85="",N(H85)=0),"",(R85+Q85)/H85)</f>
        <v/>
      </c>
      <c r="U85" s="10" t="str">
        <f aca="false">IF(C85&lt;&gt;"Closed","",_xlfn.MAXIFS(Transactions!$A:$A,Transactions!$D:$D,$A85))</f>
        <v/>
      </c>
      <c r="V85" s="14" t="str">
        <f aca="false">IF(C85&lt;&gt;"Closed","",I85-J85)</f>
        <v/>
      </c>
      <c r="W85" s="8" t="str">
        <f aca="false">IF($A85="","",IFERROR(INDEX(Transactions!$O:$O,MATCH($A85,Transactions!$D:$D,0)),""))</f>
        <v/>
      </c>
    </row>
    <row r="86" customFormat="false" ht="15" hidden="false" customHeight="false" outlineLevel="0" collapsed="false">
      <c r="A86" s="21"/>
      <c r="B86" s="8" t="str">
        <f aca="false">IF($A86="","",IFERROR(INDEX(Transactions!$C:$C,MATCH($A86,Transactions!$D:$D,0)),""))</f>
        <v/>
      </c>
      <c r="C86" s="8" t="str">
        <f aca="false">IF($A86="","",IF(D86&gt;0,"Open","Closed"))</f>
        <v/>
      </c>
      <c r="D86" s="8" t="str">
        <f aca="false">IF($A86="","",-SUMIFS(Transactions!$E:$E,Transactions!$D:$D,$A86,Transactions!$B:$B,"Sell call")-SUMIFS(Transactions!$E:$E,Transactions!$D:$D,$A86,Transactions!$B:$B,"Buy to close")-SUMIFS(Transactions!$E:$E,Transactions!$D:$D,$A86,Transactions!$B:$B,"Expired")-SUMIFS(Transactions!$E:$E,Transactions!$D:$D,$A86,Transactions!$B:$B,"Assigned"))</f>
        <v/>
      </c>
      <c r="E86" s="27" t="str">
        <f aca="false">IF($A86="","",IFERROR(SUMIFS(Transactions!$F:$F,Transactions!$D:$D,$A86,Transactions!$B:$B,"Sell call")/COUNTIFS(Transactions!$D:$D,$A86,Transactions!$B:$B,"Sell call"),""))</f>
        <v/>
      </c>
      <c r="F86" s="10" t="str">
        <f aca="false">IF($A86="","",IFERROR(SUMIFS(Transactions!$G:$G,Transactions!$D:$D,$A86,Transactions!$B:$B,"Sell call")/COUNTIFS(Transactions!$D:$D,$A86,Transactions!$B:$B,"Sell call"),""))</f>
        <v/>
      </c>
      <c r="G86" s="8" t="str">
        <f aca="false">IF($A86="","",-SUMIFS(Transactions!$E:$E,Transactions!$D:$D,$A86,Transactions!$B:$B,"Sell call")*100+SUMIFS(Transactions!$E:$E,Transactions!$D:$D,$A86,Transactions!$B:$B,"Sell shares"))</f>
        <v/>
      </c>
      <c r="H86" s="14" t="str">
        <f aca="false">IF($A86="","",IF(SUMIFS(Transactions!$J:$J,Transactions!$D:$D,$A86,Transactions!$B:$B,"Buy shares")&lt;&gt;0,-SUMIFS(Transactions!$J:$J,Transactions!$D:$D,$A86,Transactions!$B:$B,"Buy shares"),IFERROR(INDEX(Lots!$E:$E,MATCH($W86,Lots!$A:$A,0))*-SUMIFS(Transactions!$E:$E,Transactions!$D:$D,$A86,Transactions!$B:$B,"Sell call")*100,0)))</f>
        <v/>
      </c>
      <c r="I86" s="14" t="str">
        <f aca="false">IF($A86="","",SUMIFS(Transactions!$J:$J,Transactions!$D:$D,$A86,Transactions!$B:$B,"Sell call"))</f>
        <v/>
      </c>
      <c r="J86" s="14" t="str">
        <f aca="false">IF($A86="","",-SUMIFS(Transactions!$J:$J,Transactions!$D:$D,$A86,Transactions!$B:$B,"Buy to close"))</f>
        <v/>
      </c>
      <c r="K86" s="23"/>
      <c r="L86" s="23"/>
      <c r="M86" s="23"/>
      <c r="N86" s="21"/>
      <c r="O86" s="28"/>
      <c r="P86" s="14" t="str">
        <f aca="false">IF(OR(C86&lt;&gt;"Open",L86=""),"",L86*100*D86)</f>
        <v/>
      </c>
      <c r="Q86" s="14" t="str">
        <f aca="false">IF(OR(C86&lt;&gt;"Open",P86=""),"",I86-J86-P86)</f>
        <v/>
      </c>
      <c r="R86" s="14" t="str">
        <f aca="false">IF(OR(C86&lt;&gt;"Open",K86=""),"",K86*G86)</f>
        <v/>
      </c>
      <c r="S86" s="14" t="str">
        <f aca="false">IF(OR(R86="",Q86=""),"",R86-H86+Q86)</f>
        <v/>
      </c>
      <c r="T86" s="13" t="str">
        <f aca="false">IF(OR(R86="",Q86="",N(H86)=0),"",(R86+Q86)/H86)</f>
        <v/>
      </c>
      <c r="U86" s="10" t="str">
        <f aca="false">IF(C86&lt;&gt;"Closed","",_xlfn.MAXIFS(Transactions!$A:$A,Transactions!$D:$D,$A86))</f>
        <v/>
      </c>
      <c r="V86" s="14" t="str">
        <f aca="false">IF(C86&lt;&gt;"Closed","",I86-J86)</f>
        <v/>
      </c>
      <c r="W86" s="8" t="str">
        <f aca="false">IF($A86="","",IFERROR(INDEX(Transactions!$O:$O,MATCH($A86,Transactions!$D:$D,0)),""))</f>
        <v/>
      </c>
    </row>
    <row r="87" customFormat="false" ht="15" hidden="false" customHeight="false" outlineLevel="0" collapsed="false">
      <c r="A87" s="21"/>
      <c r="B87" s="8" t="str">
        <f aca="false">IF($A87="","",IFERROR(INDEX(Transactions!$C:$C,MATCH($A87,Transactions!$D:$D,0)),""))</f>
        <v/>
      </c>
      <c r="C87" s="8" t="str">
        <f aca="false">IF($A87="","",IF(D87&gt;0,"Open","Closed"))</f>
        <v/>
      </c>
      <c r="D87" s="8" t="str">
        <f aca="false">IF($A87="","",-SUMIFS(Transactions!$E:$E,Transactions!$D:$D,$A87,Transactions!$B:$B,"Sell call")-SUMIFS(Transactions!$E:$E,Transactions!$D:$D,$A87,Transactions!$B:$B,"Buy to close")-SUMIFS(Transactions!$E:$E,Transactions!$D:$D,$A87,Transactions!$B:$B,"Expired")-SUMIFS(Transactions!$E:$E,Transactions!$D:$D,$A87,Transactions!$B:$B,"Assigned"))</f>
        <v/>
      </c>
      <c r="E87" s="27" t="str">
        <f aca="false">IF($A87="","",IFERROR(SUMIFS(Transactions!$F:$F,Transactions!$D:$D,$A87,Transactions!$B:$B,"Sell call")/COUNTIFS(Transactions!$D:$D,$A87,Transactions!$B:$B,"Sell call"),""))</f>
        <v/>
      </c>
      <c r="F87" s="10" t="str">
        <f aca="false">IF($A87="","",IFERROR(SUMIFS(Transactions!$G:$G,Transactions!$D:$D,$A87,Transactions!$B:$B,"Sell call")/COUNTIFS(Transactions!$D:$D,$A87,Transactions!$B:$B,"Sell call"),""))</f>
        <v/>
      </c>
      <c r="G87" s="8" t="str">
        <f aca="false">IF($A87="","",-SUMIFS(Transactions!$E:$E,Transactions!$D:$D,$A87,Transactions!$B:$B,"Sell call")*100+SUMIFS(Transactions!$E:$E,Transactions!$D:$D,$A87,Transactions!$B:$B,"Sell shares"))</f>
        <v/>
      </c>
      <c r="H87" s="14" t="str">
        <f aca="false">IF($A87="","",IF(SUMIFS(Transactions!$J:$J,Transactions!$D:$D,$A87,Transactions!$B:$B,"Buy shares")&lt;&gt;0,-SUMIFS(Transactions!$J:$J,Transactions!$D:$D,$A87,Transactions!$B:$B,"Buy shares"),IFERROR(INDEX(Lots!$E:$E,MATCH($W87,Lots!$A:$A,0))*-SUMIFS(Transactions!$E:$E,Transactions!$D:$D,$A87,Transactions!$B:$B,"Sell call")*100,0)))</f>
        <v/>
      </c>
      <c r="I87" s="14" t="str">
        <f aca="false">IF($A87="","",SUMIFS(Transactions!$J:$J,Transactions!$D:$D,$A87,Transactions!$B:$B,"Sell call"))</f>
        <v/>
      </c>
      <c r="J87" s="14" t="str">
        <f aca="false">IF($A87="","",-SUMIFS(Transactions!$J:$J,Transactions!$D:$D,$A87,Transactions!$B:$B,"Buy to close"))</f>
        <v/>
      </c>
      <c r="K87" s="23"/>
      <c r="L87" s="23"/>
      <c r="M87" s="23"/>
      <c r="N87" s="21"/>
      <c r="O87" s="28"/>
      <c r="P87" s="14" t="str">
        <f aca="false">IF(OR(C87&lt;&gt;"Open",L87=""),"",L87*100*D87)</f>
        <v/>
      </c>
      <c r="Q87" s="14" t="str">
        <f aca="false">IF(OR(C87&lt;&gt;"Open",P87=""),"",I87-J87-P87)</f>
        <v/>
      </c>
      <c r="R87" s="14" t="str">
        <f aca="false">IF(OR(C87&lt;&gt;"Open",K87=""),"",K87*G87)</f>
        <v/>
      </c>
      <c r="S87" s="14" t="str">
        <f aca="false">IF(OR(R87="",Q87=""),"",R87-H87+Q87)</f>
        <v/>
      </c>
      <c r="T87" s="13" t="str">
        <f aca="false">IF(OR(R87="",Q87="",N(H87)=0),"",(R87+Q87)/H87)</f>
        <v/>
      </c>
      <c r="U87" s="10" t="str">
        <f aca="false">IF(C87&lt;&gt;"Closed","",_xlfn.MAXIFS(Transactions!$A:$A,Transactions!$D:$D,$A87))</f>
        <v/>
      </c>
      <c r="V87" s="14" t="str">
        <f aca="false">IF(C87&lt;&gt;"Closed","",I87-J87)</f>
        <v/>
      </c>
      <c r="W87" s="8" t="str">
        <f aca="false">IF($A87="","",IFERROR(INDEX(Transactions!$O:$O,MATCH($A87,Transactions!$D:$D,0)),""))</f>
        <v/>
      </c>
    </row>
    <row r="88" customFormat="false" ht="15" hidden="false" customHeight="false" outlineLevel="0" collapsed="false">
      <c r="A88" s="21"/>
      <c r="B88" s="8" t="str">
        <f aca="false">IF($A88="","",IFERROR(INDEX(Transactions!$C:$C,MATCH($A88,Transactions!$D:$D,0)),""))</f>
        <v/>
      </c>
      <c r="C88" s="8" t="str">
        <f aca="false">IF($A88="","",IF(D88&gt;0,"Open","Closed"))</f>
        <v/>
      </c>
      <c r="D88" s="8" t="str">
        <f aca="false">IF($A88="","",-SUMIFS(Transactions!$E:$E,Transactions!$D:$D,$A88,Transactions!$B:$B,"Sell call")-SUMIFS(Transactions!$E:$E,Transactions!$D:$D,$A88,Transactions!$B:$B,"Buy to close")-SUMIFS(Transactions!$E:$E,Transactions!$D:$D,$A88,Transactions!$B:$B,"Expired")-SUMIFS(Transactions!$E:$E,Transactions!$D:$D,$A88,Transactions!$B:$B,"Assigned"))</f>
        <v/>
      </c>
      <c r="E88" s="27" t="str">
        <f aca="false">IF($A88="","",IFERROR(SUMIFS(Transactions!$F:$F,Transactions!$D:$D,$A88,Transactions!$B:$B,"Sell call")/COUNTIFS(Transactions!$D:$D,$A88,Transactions!$B:$B,"Sell call"),""))</f>
        <v/>
      </c>
      <c r="F88" s="10" t="str">
        <f aca="false">IF($A88="","",IFERROR(SUMIFS(Transactions!$G:$G,Transactions!$D:$D,$A88,Transactions!$B:$B,"Sell call")/COUNTIFS(Transactions!$D:$D,$A88,Transactions!$B:$B,"Sell call"),""))</f>
        <v/>
      </c>
      <c r="G88" s="8" t="str">
        <f aca="false">IF($A88="","",-SUMIFS(Transactions!$E:$E,Transactions!$D:$D,$A88,Transactions!$B:$B,"Sell call")*100+SUMIFS(Transactions!$E:$E,Transactions!$D:$D,$A88,Transactions!$B:$B,"Sell shares"))</f>
        <v/>
      </c>
      <c r="H88" s="14" t="str">
        <f aca="false">IF($A88="","",IF(SUMIFS(Transactions!$J:$J,Transactions!$D:$D,$A88,Transactions!$B:$B,"Buy shares")&lt;&gt;0,-SUMIFS(Transactions!$J:$J,Transactions!$D:$D,$A88,Transactions!$B:$B,"Buy shares"),IFERROR(INDEX(Lots!$E:$E,MATCH($W88,Lots!$A:$A,0))*-SUMIFS(Transactions!$E:$E,Transactions!$D:$D,$A88,Transactions!$B:$B,"Sell call")*100,0)))</f>
        <v/>
      </c>
      <c r="I88" s="14" t="str">
        <f aca="false">IF($A88="","",SUMIFS(Transactions!$J:$J,Transactions!$D:$D,$A88,Transactions!$B:$B,"Sell call"))</f>
        <v/>
      </c>
      <c r="J88" s="14" t="str">
        <f aca="false">IF($A88="","",-SUMIFS(Transactions!$J:$J,Transactions!$D:$D,$A88,Transactions!$B:$B,"Buy to close"))</f>
        <v/>
      </c>
      <c r="K88" s="23"/>
      <c r="L88" s="23"/>
      <c r="M88" s="23"/>
      <c r="N88" s="21"/>
      <c r="O88" s="28"/>
      <c r="P88" s="14" t="str">
        <f aca="false">IF(OR(C88&lt;&gt;"Open",L88=""),"",L88*100*D88)</f>
        <v/>
      </c>
      <c r="Q88" s="14" t="str">
        <f aca="false">IF(OR(C88&lt;&gt;"Open",P88=""),"",I88-J88-P88)</f>
        <v/>
      </c>
      <c r="R88" s="14" t="str">
        <f aca="false">IF(OR(C88&lt;&gt;"Open",K88=""),"",K88*G88)</f>
        <v/>
      </c>
      <c r="S88" s="14" t="str">
        <f aca="false">IF(OR(R88="",Q88=""),"",R88-H88+Q88)</f>
        <v/>
      </c>
      <c r="T88" s="13" t="str">
        <f aca="false">IF(OR(R88="",Q88="",N(H88)=0),"",(R88+Q88)/H88)</f>
        <v/>
      </c>
      <c r="U88" s="10" t="str">
        <f aca="false">IF(C88&lt;&gt;"Closed","",_xlfn.MAXIFS(Transactions!$A:$A,Transactions!$D:$D,$A88))</f>
        <v/>
      </c>
      <c r="V88" s="14" t="str">
        <f aca="false">IF(C88&lt;&gt;"Closed","",I88-J88)</f>
        <v/>
      </c>
      <c r="W88" s="8" t="str">
        <f aca="false">IF($A88="","",IFERROR(INDEX(Transactions!$O:$O,MATCH($A88,Transactions!$D:$D,0)),""))</f>
        <v/>
      </c>
    </row>
    <row r="89" customFormat="false" ht="15" hidden="false" customHeight="false" outlineLevel="0" collapsed="false">
      <c r="A89" s="21"/>
      <c r="B89" s="8" t="str">
        <f aca="false">IF($A89="","",IFERROR(INDEX(Transactions!$C:$C,MATCH($A89,Transactions!$D:$D,0)),""))</f>
        <v/>
      </c>
      <c r="C89" s="8" t="str">
        <f aca="false">IF($A89="","",IF(D89&gt;0,"Open","Closed"))</f>
        <v/>
      </c>
      <c r="D89" s="8" t="str">
        <f aca="false">IF($A89="","",-SUMIFS(Transactions!$E:$E,Transactions!$D:$D,$A89,Transactions!$B:$B,"Sell call")-SUMIFS(Transactions!$E:$E,Transactions!$D:$D,$A89,Transactions!$B:$B,"Buy to close")-SUMIFS(Transactions!$E:$E,Transactions!$D:$D,$A89,Transactions!$B:$B,"Expired")-SUMIFS(Transactions!$E:$E,Transactions!$D:$D,$A89,Transactions!$B:$B,"Assigned"))</f>
        <v/>
      </c>
      <c r="E89" s="27" t="str">
        <f aca="false">IF($A89="","",IFERROR(SUMIFS(Transactions!$F:$F,Transactions!$D:$D,$A89,Transactions!$B:$B,"Sell call")/COUNTIFS(Transactions!$D:$D,$A89,Transactions!$B:$B,"Sell call"),""))</f>
        <v/>
      </c>
      <c r="F89" s="10" t="str">
        <f aca="false">IF($A89="","",IFERROR(SUMIFS(Transactions!$G:$G,Transactions!$D:$D,$A89,Transactions!$B:$B,"Sell call")/COUNTIFS(Transactions!$D:$D,$A89,Transactions!$B:$B,"Sell call"),""))</f>
        <v/>
      </c>
      <c r="G89" s="8" t="str">
        <f aca="false">IF($A89="","",-SUMIFS(Transactions!$E:$E,Transactions!$D:$D,$A89,Transactions!$B:$B,"Sell call")*100+SUMIFS(Transactions!$E:$E,Transactions!$D:$D,$A89,Transactions!$B:$B,"Sell shares"))</f>
        <v/>
      </c>
      <c r="H89" s="14" t="str">
        <f aca="false">IF($A89="","",IF(SUMIFS(Transactions!$J:$J,Transactions!$D:$D,$A89,Transactions!$B:$B,"Buy shares")&lt;&gt;0,-SUMIFS(Transactions!$J:$J,Transactions!$D:$D,$A89,Transactions!$B:$B,"Buy shares"),IFERROR(INDEX(Lots!$E:$E,MATCH($W89,Lots!$A:$A,0))*-SUMIFS(Transactions!$E:$E,Transactions!$D:$D,$A89,Transactions!$B:$B,"Sell call")*100,0)))</f>
        <v/>
      </c>
      <c r="I89" s="14" t="str">
        <f aca="false">IF($A89="","",SUMIFS(Transactions!$J:$J,Transactions!$D:$D,$A89,Transactions!$B:$B,"Sell call"))</f>
        <v/>
      </c>
      <c r="J89" s="14" t="str">
        <f aca="false">IF($A89="","",-SUMIFS(Transactions!$J:$J,Transactions!$D:$D,$A89,Transactions!$B:$B,"Buy to close"))</f>
        <v/>
      </c>
      <c r="K89" s="23"/>
      <c r="L89" s="23"/>
      <c r="M89" s="23"/>
      <c r="N89" s="21"/>
      <c r="O89" s="28"/>
      <c r="P89" s="14" t="str">
        <f aca="false">IF(OR(C89&lt;&gt;"Open",L89=""),"",L89*100*D89)</f>
        <v/>
      </c>
      <c r="Q89" s="14" t="str">
        <f aca="false">IF(OR(C89&lt;&gt;"Open",P89=""),"",I89-J89-P89)</f>
        <v/>
      </c>
      <c r="R89" s="14" t="str">
        <f aca="false">IF(OR(C89&lt;&gt;"Open",K89=""),"",K89*G89)</f>
        <v/>
      </c>
      <c r="S89" s="14" t="str">
        <f aca="false">IF(OR(R89="",Q89=""),"",R89-H89+Q89)</f>
        <v/>
      </c>
      <c r="T89" s="13" t="str">
        <f aca="false">IF(OR(R89="",Q89="",N(H89)=0),"",(R89+Q89)/H89)</f>
        <v/>
      </c>
      <c r="U89" s="10" t="str">
        <f aca="false">IF(C89&lt;&gt;"Closed","",_xlfn.MAXIFS(Transactions!$A:$A,Transactions!$D:$D,$A89))</f>
        <v/>
      </c>
      <c r="V89" s="14" t="str">
        <f aca="false">IF(C89&lt;&gt;"Closed","",I89-J89)</f>
        <v/>
      </c>
      <c r="W89" s="8" t="str">
        <f aca="false">IF($A89="","",IFERROR(INDEX(Transactions!$O:$O,MATCH($A89,Transactions!$D:$D,0)),""))</f>
        <v/>
      </c>
    </row>
    <row r="90" customFormat="false" ht="15" hidden="false" customHeight="false" outlineLevel="0" collapsed="false">
      <c r="A90" s="21"/>
      <c r="B90" s="8" t="str">
        <f aca="false">IF($A90="","",IFERROR(INDEX(Transactions!$C:$C,MATCH($A90,Transactions!$D:$D,0)),""))</f>
        <v/>
      </c>
      <c r="C90" s="8" t="str">
        <f aca="false">IF($A90="","",IF(D90&gt;0,"Open","Closed"))</f>
        <v/>
      </c>
      <c r="D90" s="8" t="str">
        <f aca="false">IF($A90="","",-SUMIFS(Transactions!$E:$E,Transactions!$D:$D,$A90,Transactions!$B:$B,"Sell call")-SUMIFS(Transactions!$E:$E,Transactions!$D:$D,$A90,Transactions!$B:$B,"Buy to close")-SUMIFS(Transactions!$E:$E,Transactions!$D:$D,$A90,Transactions!$B:$B,"Expired")-SUMIFS(Transactions!$E:$E,Transactions!$D:$D,$A90,Transactions!$B:$B,"Assigned"))</f>
        <v/>
      </c>
      <c r="E90" s="27" t="str">
        <f aca="false">IF($A90="","",IFERROR(SUMIFS(Transactions!$F:$F,Transactions!$D:$D,$A90,Transactions!$B:$B,"Sell call")/COUNTIFS(Transactions!$D:$D,$A90,Transactions!$B:$B,"Sell call"),""))</f>
        <v/>
      </c>
      <c r="F90" s="10" t="str">
        <f aca="false">IF($A90="","",IFERROR(SUMIFS(Transactions!$G:$G,Transactions!$D:$D,$A90,Transactions!$B:$B,"Sell call")/COUNTIFS(Transactions!$D:$D,$A90,Transactions!$B:$B,"Sell call"),""))</f>
        <v/>
      </c>
      <c r="G90" s="8" t="str">
        <f aca="false">IF($A90="","",-SUMIFS(Transactions!$E:$E,Transactions!$D:$D,$A90,Transactions!$B:$B,"Sell call")*100+SUMIFS(Transactions!$E:$E,Transactions!$D:$D,$A90,Transactions!$B:$B,"Sell shares"))</f>
        <v/>
      </c>
      <c r="H90" s="14" t="str">
        <f aca="false">IF($A90="","",IF(SUMIFS(Transactions!$J:$J,Transactions!$D:$D,$A90,Transactions!$B:$B,"Buy shares")&lt;&gt;0,-SUMIFS(Transactions!$J:$J,Transactions!$D:$D,$A90,Transactions!$B:$B,"Buy shares"),IFERROR(INDEX(Lots!$E:$E,MATCH($W90,Lots!$A:$A,0))*-SUMIFS(Transactions!$E:$E,Transactions!$D:$D,$A90,Transactions!$B:$B,"Sell call")*100,0)))</f>
        <v/>
      </c>
      <c r="I90" s="14" t="str">
        <f aca="false">IF($A90="","",SUMIFS(Transactions!$J:$J,Transactions!$D:$D,$A90,Transactions!$B:$B,"Sell call"))</f>
        <v/>
      </c>
      <c r="J90" s="14" t="str">
        <f aca="false">IF($A90="","",-SUMIFS(Transactions!$J:$J,Transactions!$D:$D,$A90,Transactions!$B:$B,"Buy to close"))</f>
        <v/>
      </c>
      <c r="K90" s="23"/>
      <c r="L90" s="23"/>
      <c r="M90" s="23"/>
      <c r="N90" s="21"/>
      <c r="O90" s="28"/>
      <c r="P90" s="14" t="str">
        <f aca="false">IF(OR(C90&lt;&gt;"Open",L90=""),"",L90*100*D90)</f>
        <v/>
      </c>
      <c r="Q90" s="14" t="str">
        <f aca="false">IF(OR(C90&lt;&gt;"Open",P90=""),"",I90-J90-P90)</f>
        <v/>
      </c>
      <c r="R90" s="14" t="str">
        <f aca="false">IF(OR(C90&lt;&gt;"Open",K90=""),"",K90*G90)</f>
        <v/>
      </c>
      <c r="S90" s="14" t="str">
        <f aca="false">IF(OR(R90="",Q90=""),"",R90-H90+Q90)</f>
        <v/>
      </c>
      <c r="T90" s="13" t="str">
        <f aca="false">IF(OR(R90="",Q90="",N(H90)=0),"",(R90+Q90)/H90)</f>
        <v/>
      </c>
      <c r="U90" s="10" t="str">
        <f aca="false">IF(C90&lt;&gt;"Closed","",_xlfn.MAXIFS(Transactions!$A:$A,Transactions!$D:$D,$A90))</f>
        <v/>
      </c>
      <c r="V90" s="14" t="str">
        <f aca="false">IF(C90&lt;&gt;"Closed","",I90-J90)</f>
        <v/>
      </c>
      <c r="W90" s="8" t="str">
        <f aca="false">IF($A90="","",IFERROR(INDEX(Transactions!$O:$O,MATCH($A90,Transactions!$D:$D,0)),""))</f>
        <v/>
      </c>
    </row>
    <row r="91" customFormat="false" ht="15" hidden="false" customHeight="false" outlineLevel="0" collapsed="false">
      <c r="A91" s="21"/>
      <c r="B91" s="8" t="str">
        <f aca="false">IF($A91="","",IFERROR(INDEX(Transactions!$C:$C,MATCH($A91,Transactions!$D:$D,0)),""))</f>
        <v/>
      </c>
      <c r="C91" s="8" t="str">
        <f aca="false">IF($A91="","",IF(D91&gt;0,"Open","Closed"))</f>
        <v/>
      </c>
      <c r="D91" s="8" t="str">
        <f aca="false">IF($A91="","",-SUMIFS(Transactions!$E:$E,Transactions!$D:$D,$A91,Transactions!$B:$B,"Sell call")-SUMIFS(Transactions!$E:$E,Transactions!$D:$D,$A91,Transactions!$B:$B,"Buy to close")-SUMIFS(Transactions!$E:$E,Transactions!$D:$D,$A91,Transactions!$B:$B,"Expired")-SUMIFS(Transactions!$E:$E,Transactions!$D:$D,$A91,Transactions!$B:$B,"Assigned"))</f>
        <v/>
      </c>
      <c r="E91" s="27" t="str">
        <f aca="false">IF($A91="","",IFERROR(SUMIFS(Transactions!$F:$F,Transactions!$D:$D,$A91,Transactions!$B:$B,"Sell call")/COUNTIFS(Transactions!$D:$D,$A91,Transactions!$B:$B,"Sell call"),""))</f>
        <v/>
      </c>
      <c r="F91" s="10" t="str">
        <f aca="false">IF($A91="","",IFERROR(SUMIFS(Transactions!$G:$G,Transactions!$D:$D,$A91,Transactions!$B:$B,"Sell call")/COUNTIFS(Transactions!$D:$D,$A91,Transactions!$B:$B,"Sell call"),""))</f>
        <v/>
      </c>
      <c r="G91" s="8" t="str">
        <f aca="false">IF($A91="","",-SUMIFS(Transactions!$E:$E,Transactions!$D:$D,$A91,Transactions!$B:$B,"Sell call")*100+SUMIFS(Transactions!$E:$E,Transactions!$D:$D,$A91,Transactions!$B:$B,"Sell shares"))</f>
        <v/>
      </c>
      <c r="H91" s="14" t="str">
        <f aca="false">IF($A91="","",IF(SUMIFS(Transactions!$J:$J,Transactions!$D:$D,$A91,Transactions!$B:$B,"Buy shares")&lt;&gt;0,-SUMIFS(Transactions!$J:$J,Transactions!$D:$D,$A91,Transactions!$B:$B,"Buy shares"),IFERROR(INDEX(Lots!$E:$E,MATCH($W91,Lots!$A:$A,0))*-SUMIFS(Transactions!$E:$E,Transactions!$D:$D,$A91,Transactions!$B:$B,"Sell call")*100,0)))</f>
        <v/>
      </c>
      <c r="I91" s="14" t="str">
        <f aca="false">IF($A91="","",SUMIFS(Transactions!$J:$J,Transactions!$D:$D,$A91,Transactions!$B:$B,"Sell call"))</f>
        <v/>
      </c>
      <c r="J91" s="14" t="str">
        <f aca="false">IF($A91="","",-SUMIFS(Transactions!$J:$J,Transactions!$D:$D,$A91,Transactions!$B:$B,"Buy to close"))</f>
        <v/>
      </c>
      <c r="K91" s="23"/>
      <c r="L91" s="23"/>
      <c r="M91" s="23"/>
      <c r="N91" s="21"/>
      <c r="O91" s="28"/>
      <c r="P91" s="14" t="str">
        <f aca="false">IF(OR(C91&lt;&gt;"Open",L91=""),"",L91*100*D91)</f>
        <v/>
      </c>
      <c r="Q91" s="14" t="str">
        <f aca="false">IF(OR(C91&lt;&gt;"Open",P91=""),"",I91-J91-P91)</f>
        <v/>
      </c>
      <c r="R91" s="14" t="str">
        <f aca="false">IF(OR(C91&lt;&gt;"Open",K91=""),"",K91*G91)</f>
        <v/>
      </c>
      <c r="S91" s="14" t="str">
        <f aca="false">IF(OR(R91="",Q91=""),"",R91-H91+Q91)</f>
        <v/>
      </c>
      <c r="T91" s="13" t="str">
        <f aca="false">IF(OR(R91="",Q91="",N(H91)=0),"",(R91+Q91)/H91)</f>
        <v/>
      </c>
      <c r="U91" s="10" t="str">
        <f aca="false">IF(C91&lt;&gt;"Closed","",_xlfn.MAXIFS(Transactions!$A:$A,Transactions!$D:$D,$A91))</f>
        <v/>
      </c>
      <c r="V91" s="14" t="str">
        <f aca="false">IF(C91&lt;&gt;"Closed","",I91-J91)</f>
        <v/>
      </c>
      <c r="W91" s="8" t="str">
        <f aca="false">IF($A91="","",IFERROR(INDEX(Transactions!$O:$O,MATCH($A91,Transactions!$D:$D,0)),""))</f>
        <v/>
      </c>
    </row>
    <row r="92" customFormat="false" ht="15" hidden="false" customHeight="false" outlineLevel="0" collapsed="false">
      <c r="A92" s="21"/>
      <c r="B92" s="8" t="str">
        <f aca="false">IF($A92="","",IFERROR(INDEX(Transactions!$C:$C,MATCH($A92,Transactions!$D:$D,0)),""))</f>
        <v/>
      </c>
      <c r="C92" s="8" t="str">
        <f aca="false">IF($A92="","",IF(D92&gt;0,"Open","Closed"))</f>
        <v/>
      </c>
      <c r="D92" s="8" t="str">
        <f aca="false">IF($A92="","",-SUMIFS(Transactions!$E:$E,Transactions!$D:$D,$A92,Transactions!$B:$B,"Sell call")-SUMIFS(Transactions!$E:$E,Transactions!$D:$D,$A92,Transactions!$B:$B,"Buy to close")-SUMIFS(Transactions!$E:$E,Transactions!$D:$D,$A92,Transactions!$B:$B,"Expired")-SUMIFS(Transactions!$E:$E,Transactions!$D:$D,$A92,Transactions!$B:$B,"Assigned"))</f>
        <v/>
      </c>
      <c r="E92" s="27" t="str">
        <f aca="false">IF($A92="","",IFERROR(SUMIFS(Transactions!$F:$F,Transactions!$D:$D,$A92,Transactions!$B:$B,"Sell call")/COUNTIFS(Transactions!$D:$D,$A92,Transactions!$B:$B,"Sell call"),""))</f>
        <v/>
      </c>
      <c r="F92" s="10" t="str">
        <f aca="false">IF($A92="","",IFERROR(SUMIFS(Transactions!$G:$G,Transactions!$D:$D,$A92,Transactions!$B:$B,"Sell call")/COUNTIFS(Transactions!$D:$D,$A92,Transactions!$B:$B,"Sell call"),""))</f>
        <v/>
      </c>
      <c r="G92" s="8" t="str">
        <f aca="false">IF($A92="","",-SUMIFS(Transactions!$E:$E,Transactions!$D:$D,$A92,Transactions!$B:$B,"Sell call")*100+SUMIFS(Transactions!$E:$E,Transactions!$D:$D,$A92,Transactions!$B:$B,"Sell shares"))</f>
        <v/>
      </c>
      <c r="H92" s="14" t="str">
        <f aca="false">IF($A92="","",IF(SUMIFS(Transactions!$J:$J,Transactions!$D:$D,$A92,Transactions!$B:$B,"Buy shares")&lt;&gt;0,-SUMIFS(Transactions!$J:$J,Transactions!$D:$D,$A92,Transactions!$B:$B,"Buy shares"),IFERROR(INDEX(Lots!$E:$E,MATCH($W92,Lots!$A:$A,0))*-SUMIFS(Transactions!$E:$E,Transactions!$D:$D,$A92,Transactions!$B:$B,"Sell call")*100,0)))</f>
        <v/>
      </c>
      <c r="I92" s="14" t="str">
        <f aca="false">IF($A92="","",SUMIFS(Transactions!$J:$J,Transactions!$D:$D,$A92,Transactions!$B:$B,"Sell call"))</f>
        <v/>
      </c>
      <c r="J92" s="14" t="str">
        <f aca="false">IF($A92="","",-SUMIFS(Transactions!$J:$J,Transactions!$D:$D,$A92,Transactions!$B:$B,"Buy to close"))</f>
        <v/>
      </c>
      <c r="K92" s="23"/>
      <c r="L92" s="23"/>
      <c r="M92" s="23"/>
      <c r="N92" s="21"/>
      <c r="O92" s="28"/>
      <c r="P92" s="14" t="str">
        <f aca="false">IF(OR(C92&lt;&gt;"Open",L92=""),"",L92*100*D92)</f>
        <v/>
      </c>
      <c r="Q92" s="14" t="str">
        <f aca="false">IF(OR(C92&lt;&gt;"Open",P92=""),"",I92-J92-P92)</f>
        <v/>
      </c>
      <c r="R92" s="14" t="str">
        <f aca="false">IF(OR(C92&lt;&gt;"Open",K92=""),"",K92*G92)</f>
        <v/>
      </c>
      <c r="S92" s="14" t="str">
        <f aca="false">IF(OR(R92="",Q92=""),"",R92-H92+Q92)</f>
        <v/>
      </c>
      <c r="T92" s="13" t="str">
        <f aca="false">IF(OR(R92="",Q92="",N(H92)=0),"",(R92+Q92)/H92)</f>
        <v/>
      </c>
      <c r="U92" s="10" t="str">
        <f aca="false">IF(C92&lt;&gt;"Closed","",_xlfn.MAXIFS(Transactions!$A:$A,Transactions!$D:$D,$A92))</f>
        <v/>
      </c>
      <c r="V92" s="14" t="str">
        <f aca="false">IF(C92&lt;&gt;"Closed","",I92-J92)</f>
        <v/>
      </c>
      <c r="W92" s="8" t="str">
        <f aca="false">IF($A92="","",IFERROR(INDEX(Transactions!$O:$O,MATCH($A92,Transactions!$D:$D,0)),""))</f>
        <v/>
      </c>
    </row>
    <row r="93" customFormat="false" ht="15" hidden="false" customHeight="false" outlineLevel="0" collapsed="false">
      <c r="A93" s="21"/>
      <c r="B93" s="8" t="str">
        <f aca="false">IF($A93="","",IFERROR(INDEX(Transactions!$C:$C,MATCH($A93,Transactions!$D:$D,0)),""))</f>
        <v/>
      </c>
      <c r="C93" s="8" t="str">
        <f aca="false">IF($A93="","",IF(D93&gt;0,"Open","Closed"))</f>
        <v/>
      </c>
      <c r="D93" s="8" t="str">
        <f aca="false">IF($A93="","",-SUMIFS(Transactions!$E:$E,Transactions!$D:$D,$A93,Transactions!$B:$B,"Sell call")-SUMIFS(Transactions!$E:$E,Transactions!$D:$D,$A93,Transactions!$B:$B,"Buy to close")-SUMIFS(Transactions!$E:$E,Transactions!$D:$D,$A93,Transactions!$B:$B,"Expired")-SUMIFS(Transactions!$E:$E,Transactions!$D:$D,$A93,Transactions!$B:$B,"Assigned"))</f>
        <v/>
      </c>
      <c r="E93" s="27" t="str">
        <f aca="false">IF($A93="","",IFERROR(SUMIFS(Transactions!$F:$F,Transactions!$D:$D,$A93,Transactions!$B:$B,"Sell call")/COUNTIFS(Transactions!$D:$D,$A93,Transactions!$B:$B,"Sell call"),""))</f>
        <v/>
      </c>
      <c r="F93" s="10" t="str">
        <f aca="false">IF($A93="","",IFERROR(SUMIFS(Transactions!$G:$G,Transactions!$D:$D,$A93,Transactions!$B:$B,"Sell call")/COUNTIFS(Transactions!$D:$D,$A93,Transactions!$B:$B,"Sell call"),""))</f>
        <v/>
      </c>
      <c r="G93" s="8" t="str">
        <f aca="false">IF($A93="","",-SUMIFS(Transactions!$E:$E,Transactions!$D:$D,$A93,Transactions!$B:$B,"Sell call")*100+SUMIFS(Transactions!$E:$E,Transactions!$D:$D,$A93,Transactions!$B:$B,"Sell shares"))</f>
        <v/>
      </c>
      <c r="H93" s="14" t="str">
        <f aca="false">IF($A93="","",IF(SUMIFS(Transactions!$J:$J,Transactions!$D:$D,$A93,Transactions!$B:$B,"Buy shares")&lt;&gt;0,-SUMIFS(Transactions!$J:$J,Transactions!$D:$D,$A93,Transactions!$B:$B,"Buy shares"),IFERROR(INDEX(Lots!$E:$E,MATCH($W93,Lots!$A:$A,0))*-SUMIFS(Transactions!$E:$E,Transactions!$D:$D,$A93,Transactions!$B:$B,"Sell call")*100,0)))</f>
        <v/>
      </c>
      <c r="I93" s="14" t="str">
        <f aca="false">IF($A93="","",SUMIFS(Transactions!$J:$J,Transactions!$D:$D,$A93,Transactions!$B:$B,"Sell call"))</f>
        <v/>
      </c>
      <c r="J93" s="14" t="str">
        <f aca="false">IF($A93="","",-SUMIFS(Transactions!$J:$J,Transactions!$D:$D,$A93,Transactions!$B:$B,"Buy to close"))</f>
        <v/>
      </c>
      <c r="K93" s="23"/>
      <c r="L93" s="23"/>
      <c r="M93" s="23"/>
      <c r="N93" s="21"/>
      <c r="O93" s="28"/>
      <c r="P93" s="14" t="str">
        <f aca="false">IF(OR(C93&lt;&gt;"Open",L93=""),"",L93*100*D93)</f>
        <v/>
      </c>
      <c r="Q93" s="14" t="str">
        <f aca="false">IF(OR(C93&lt;&gt;"Open",P93=""),"",I93-J93-P93)</f>
        <v/>
      </c>
      <c r="R93" s="14" t="str">
        <f aca="false">IF(OR(C93&lt;&gt;"Open",K93=""),"",K93*G93)</f>
        <v/>
      </c>
      <c r="S93" s="14" t="str">
        <f aca="false">IF(OR(R93="",Q93=""),"",R93-H93+Q93)</f>
        <v/>
      </c>
      <c r="T93" s="13" t="str">
        <f aca="false">IF(OR(R93="",Q93="",N(H93)=0),"",(R93+Q93)/H93)</f>
        <v/>
      </c>
      <c r="U93" s="10" t="str">
        <f aca="false">IF(C93&lt;&gt;"Closed","",_xlfn.MAXIFS(Transactions!$A:$A,Transactions!$D:$D,$A93))</f>
        <v/>
      </c>
      <c r="V93" s="14" t="str">
        <f aca="false">IF(C93&lt;&gt;"Closed","",I93-J93)</f>
        <v/>
      </c>
      <c r="W93" s="8" t="str">
        <f aca="false">IF($A93="","",IFERROR(INDEX(Transactions!$O:$O,MATCH($A93,Transactions!$D:$D,0)),""))</f>
        <v/>
      </c>
    </row>
    <row r="94" customFormat="false" ht="15" hidden="false" customHeight="false" outlineLevel="0" collapsed="false">
      <c r="A94" s="21"/>
      <c r="B94" s="8" t="str">
        <f aca="false">IF($A94="","",IFERROR(INDEX(Transactions!$C:$C,MATCH($A94,Transactions!$D:$D,0)),""))</f>
        <v/>
      </c>
      <c r="C94" s="8" t="str">
        <f aca="false">IF($A94="","",IF(D94&gt;0,"Open","Closed"))</f>
        <v/>
      </c>
      <c r="D94" s="8" t="str">
        <f aca="false">IF($A94="","",-SUMIFS(Transactions!$E:$E,Transactions!$D:$D,$A94,Transactions!$B:$B,"Sell call")-SUMIFS(Transactions!$E:$E,Transactions!$D:$D,$A94,Transactions!$B:$B,"Buy to close")-SUMIFS(Transactions!$E:$E,Transactions!$D:$D,$A94,Transactions!$B:$B,"Expired")-SUMIFS(Transactions!$E:$E,Transactions!$D:$D,$A94,Transactions!$B:$B,"Assigned"))</f>
        <v/>
      </c>
      <c r="E94" s="27" t="str">
        <f aca="false">IF($A94="","",IFERROR(SUMIFS(Transactions!$F:$F,Transactions!$D:$D,$A94,Transactions!$B:$B,"Sell call")/COUNTIFS(Transactions!$D:$D,$A94,Transactions!$B:$B,"Sell call"),""))</f>
        <v/>
      </c>
      <c r="F94" s="10" t="str">
        <f aca="false">IF($A94="","",IFERROR(SUMIFS(Transactions!$G:$G,Transactions!$D:$D,$A94,Transactions!$B:$B,"Sell call")/COUNTIFS(Transactions!$D:$D,$A94,Transactions!$B:$B,"Sell call"),""))</f>
        <v/>
      </c>
      <c r="G94" s="8" t="str">
        <f aca="false">IF($A94="","",-SUMIFS(Transactions!$E:$E,Transactions!$D:$D,$A94,Transactions!$B:$B,"Sell call")*100+SUMIFS(Transactions!$E:$E,Transactions!$D:$D,$A94,Transactions!$B:$B,"Sell shares"))</f>
        <v/>
      </c>
      <c r="H94" s="14" t="str">
        <f aca="false">IF($A94="","",IF(SUMIFS(Transactions!$J:$J,Transactions!$D:$D,$A94,Transactions!$B:$B,"Buy shares")&lt;&gt;0,-SUMIFS(Transactions!$J:$J,Transactions!$D:$D,$A94,Transactions!$B:$B,"Buy shares"),IFERROR(INDEX(Lots!$E:$E,MATCH($W94,Lots!$A:$A,0))*-SUMIFS(Transactions!$E:$E,Transactions!$D:$D,$A94,Transactions!$B:$B,"Sell call")*100,0)))</f>
        <v/>
      </c>
      <c r="I94" s="14" t="str">
        <f aca="false">IF($A94="","",SUMIFS(Transactions!$J:$J,Transactions!$D:$D,$A94,Transactions!$B:$B,"Sell call"))</f>
        <v/>
      </c>
      <c r="J94" s="14" t="str">
        <f aca="false">IF($A94="","",-SUMIFS(Transactions!$J:$J,Transactions!$D:$D,$A94,Transactions!$B:$B,"Buy to close"))</f>
        <v/>
      </c>
      <c r="K94" s="23"/>
      <c r="L94" s="23"/>
      <c r="M94" s="23"/>
      <c r="N94" s="21"/>
      <c r="O94" s="28"/>
      <c r="P94" s="14" t="str">
        <f aca="false">IF(OR(C94&lt;&gt;"Open",L94=""),"",L94*100*D94)</f>
        <v/>
      </c>
      <c r="Q94" s="14" t="str">
        <f aca="false">IF(OR(C94&lt;&gt;"Open",P94=""),"",I94-J94-P94)</f>
        <v/>
      </c>
      <c r="R94" s="14" t="str">
        <f aca="false">IF(OR(C94&lt;&gt;"Open",K94=""),"",K94*G94)</f>
        <v/>
      </c>
      <c r="S94" s="14" t="str">
        <f aca="false">IF(OR(R94="",Q94=""),"",R94-H94+Q94)</f>
        <v/>
      </c>
      <c r="T94" s="13" t="str">
        <f aca="false">IF(OR(R94="",Q94="",N(H94)=0),"",(R94+Q94)/H94)</f>
        <v/>
      </c>
      <c r="U94" s="10" t="str">
        <f aca="false">IF(C94&lt;&gt;"Closed","",_xlfn.MAXIFS(Transactions!$A:$A,Transactions!$D:$D,$A94))</f>
        <v/>
      </c>
      <c r="V94" s="14" t="str">
        <f aca="false">IF(C94&lt;&gt;"Closed","",I94-J94)</f>
        <v/>
      </c>
      <c r="W94" s="8" t="str">
        <f aca="false">IF($A94="","",IFERROR(INDEX(Transactions!$O:$O,MATCH($A94,Transactions!$D:$D,0)),""))</f>
        <v/>
      </c>
    </row>
    <row r="95" customFormat="false" ht="15" hidden="false" customHeight="false" outlineLevel="0" collapsed="false">
      <c r="A95" s="21"/>
      <c r="B95" s="8" t="str">
        <f aca="false">IF($A95="","",IFERROR(INDEX(Transactions!$C:$C,MATCH($A95,Transactions!$D:$D,0)),""))</f>
        <v/>
      </c>
      <c r="C95" s="8" t="str">
        <f aca="false">IF($A95="","",IF(D95&gt;0,"Open","Closed"))</f>
        <v/>
      </c>
      <c r="D95" s="8" t="str">
        <f aca="false">IF($A95="","",-SUMIFS(Transactions!$E:$E,Transactions!$D:$D,$A95,Transactions!$B:$B,"Sell call")-SUMIFS(Transactions!$E:$E,Transactions!$D:$D,$A95,Transactions!$B:$B,"Buy to close")-SUMIFS(Transactions!$E:$E,Transactions!$D:$D,$A95,Transactions!$B:$B,"Expired")-SUMIFS(Transactions!$E:$E,Transactions!$D:$D,$A95,Transactions!$B:$B,"Assigned"))</f>
        <v/>
      </c>
      <c r="E95" s="27" t="str">
        <f aca="false">IF($A95="","",IFERROR(SUMIFS(Transactions!$F:$F,Transactions!$D:$D,$A95,Transactions!$B:$B,"Sell call")/COUNTIFS(Transactions!$D:$D,$A95,Transactions!$B:$B,"Sell call"),""))</f>
        <v/>
      </c>
      <c r="F95" s="10" t="str">
        <f aca="false">IF($A95="","",IFERROR(SUMIFS(Transactions!$G:$G,Transactions!$D:$D,$A95,Transactions!$B:$B,"Sell call")/COUNTIFS(Transactions!$D:$D,$A95,Transactions!$B:$B,"Sell call"),""))</f>
        <v/>
      </c>
      <c r="G95" s="8" t="str">
        <f aca="false">IF($A95="","",-SUMIFS(Transactions!$E:$E,Transactions!$D:$D,$A95,Transactions!$B:$B,"Sell call")*100+SUMIFS(Transactions!$E:$E,Transactions!$D:$D,$A95,Transactions!$B:$B,"Sell shares"))</f>
        <v/>
      </c>
      <c r="H95" s="14" t="str">
        <f aca="false">IF($A95="","",IF(SUMIFS(Transactions!$J:$J,Transactions!$D:$D,$A95,Transactions!$B:$B,"Buy shares")&lt;&gt;0,-SUMIFS(Transactions!$J:$J,Transactions!$D:$D,$A95,Transactions!$B:$B,"Buy shares"),IFERROR(INDEX(Lots!$E:$E,MATCH($W95,Lots!$A:$A,0))*-SUMIFS(Transactions!$E:$E,Transactions!$D:$D,$A95,Transactions!$B:$B,"Sell call")*100,0)))</f>
        <v/>
      </c>
      <c r="I95" s="14" t="str">
        <f aca="false">IF($A95="","",SUMIFS(Transactions!$J:$J,Transactions!$D:$D,$A95,Transactions!$B:$B,"Sell call"))</f>
        <v/>
      </c>
      <c r="J95" s="14" t="str">
        <f aca="false">IF($A95="","",-SUMIFS(Transactions!$J:$J,Transactions!$D:$D,$A95,Transactions!$B:$B,"Buy to close"))</f>
        <v/>
      </c>
      <c r="K95" s="23"/>
      <c r="L95" s="23"/>
      <c r="M95" s="23"/>
      <c r="N95" s="21"/>
      <c r="O95" s="28"/>
      <c r="P95" s="14" t="str">
        <f aca="false">IF(OR(C95&lt;&gt;"Open",L95=""),"",L95*100*D95)</f>
        <v/>
      </c>
      <c r="Q95" s="14" t="str">
        <f aca="false">IF(OR(C95&lt;&gt;"Open",P95=""),"",I95-J95-P95)</f>
        <v/>
      </c>
      <c r="R95" s="14" t="str">
        <f aca="false">IF(OR(C95&lt;&gt;"Open",K95=""),"",K95*G95)</f>
        <v/>
      </c>
      <c r="S95" s="14" t="str">
        <f aca="false">IF(OR(R95="",Q95=""),"",R95-H95+Q95)</f>
        <v/>
      </c>
      <c r="T95" s="13" t="str">
        <f aca="false">IF(OR(R95="",Q95="",N(H95)=0),"",(R95+Q95)/H95)</f>
        <v/>
      </c>
      <c r="U95" s="10" t="str">
        <f aca="false">IF(C95&lt;&gt;"Closed","",_xlfn.MAXIFS(Transactions!$A:$A,Transactions!$D:$D,$A95))</f>
        <v/>
      </c>
      <c r="V95" s="14" t="str">
        <f aca="false">IF(C95&lt;&gt;"Closed","",I95-J95)</f>
        <v/>
      </c>
      <c r="W95" s="8" t="str">
        <f aca="false">IF($A95="","",IFERROR(INDEX(Transactions!$O:$O,MATCH($A95,Transactions!$D:$D,0)),""))</f>
        <v/>
      </c>
    </row>
    <row r="96" customFormat="false" ht="15" hidden="false" customHeight="false" outlineLevel="0" collapsed="false">
      <c r="A96" s="21"/>
      <c r="B96" s="8" t="str">
        <f aca="false">IF($A96="","",IFERROR(INDEX(Transactions!$C:$C,MATCH($A96,Transactions!$D:$D,0)),""))</f>
        <v/>
      </c>
      <c r="C96" s="8" t="str">
        <f aca="false">IF($A96="","",IF(D96&gt;0,"Open","Closed"))</f>
        <v/>
      </c>
      <c r="D96" s="8" t="str">
        <f aca="false">IF($A96="","",-SUMIFS(Transactions!$E:$E,Transactions!$D:$D,$A96,Transactions!$B:$B,"Sell call")-SUMIFS(Transactions!$E:$E,Transactions!$D:$D,$A96,Transactions!$B:$B,"Buy to close")-SUMIFS(Transactions!$E:$E,Transactions!$D:$D,$A96,Transactions!$B:$B,"Expired")-SUMIFS(Transactions!$E:$E,Transactions!$D:$D,$A96,Transactions!$B:$B,"Assigned"))</f>
        <v/>
      </c>
      <c r="E96" s="27" t="str">
        <f aca="false">IF($A96="","",IFERROR(SUMIFS(Transactions!$F:$F,Transactions!$D:$D,$A96,Transactions!$B:$B,"Sell call")/COUNTIFS(Transactions!$D:$D,$A96,Transactions!$B:$B,"Sell call"),""))</f>
        <v/>
      </c>
      <c r="F96" s="10" t="str">
        <f aca="false">IF($A96="","",IFERROR(SUMIFS(Transactions!$G:$G,Transactions!$D:$D,$A96,Transactions!$B:$B,"Sell call")/COUNTIFS(Transactions!$D:$D,$A96,Transactions!$B:$B,"Sell call"),""))</f>
        <v/>
      </c>
      <c r="G96" s="8" t="str">
        <f aca="false">IF($A96="","",-SUMIFS(Transactions!$E:$E,Transactions!$D:$D,$A96,Transactions!$B:$B,"Sell call")*100+SUMIFS(Transactions!$E:$E,Transactions!$D:$D,$A96,Transactions!$B:$B,"Sell shares"))</f>
        <v/>
      </c>
      <c r="H96" s="14" t="str">
        <f aca="false">IF($A96="","",IF(SUMIFS(Transactions!$J:$J,Transactions!$D:$D,$A96,Transactions!$B:$B,"Buy shares")&lt;&gt;0,-SUMIFS(Transactions!$J:$J,Transactions!$D:$D,$A96,Transactions!$B:$B,"Buy shares"),IFERROR(INDEX(Lots!$E:$E,MATCH($W96,Lots!$A:$A,0))*-SUMIFS(Transactions!$E:$E,Transactions!$D:$D,$A96,Transactions!$B:$B,"Sell call")*100,0)))</f>
        <v/>
      </c>
      <c r="I96" s="14" t="str">
        <f aca="false">IF($A96="","",SUMIFS(Transactions!$J:$J,Transactions!$D:$D,$A96,Transactions!$B:$B,"Sell call"))</f>
        <v/>
      </c>
      <c r="J96" s="14" t="str">
        <f aca="false">IF($A96="","",-SUMIFS(Transactions!$J:$J,Transactions!$D:$D,$A96,Transactions!$B:$B,"Buy to close"))</f>
        <v/>
      </c>
      <c r="K96" s="23"/>
      <c r="L96" s="23"/>
      <c r="M96" s="23"/>
      <c r="N96" s="21"/>
      <c r="O96" s="28"/>
      <c r="P96" s="14" t="str">
        <f aca="false">IF(OR(C96&lt;&gt;"Open",L96=""),"",L96*100*D96)</f>
        <v/>
      </c>
      <c r="Q96" s="14" t="str">
        <f aca="false">IF(OR(C96&lt;&gt;"Open",P96=""),"",I96-J96-P96)</f>
        <v/>
      </c>
      <c r="R96" s="14" t="str">
        <f aca="false">IF(OR(C96&lt;&gt;"Open",K96=""),"",K96*G96)</f>
        <v/>
      </c>
      <c r="S96" s="14" t="str">
        <f aca="false">IF(OR(R96="",Q96=""),"",R96-H96+Q96)</f>
        <v/>
      </c>
      <c r="T96" s="13" t="str">
        <f aca="false">IF(OR(R96="",Q96="",N(H96)=0),"",(R96+Q96)/H96)</f>
        <v/>
      </c>
      <c r="U96" s="10" t="str">
        <f aca="false">IF(C96&lt;&gt;"Closed","",_xlfn.MAXIFS(Transactions!$A:$A,Transactions!$D:$D,$A96))</f>
        <v/>
      </c>
      <c r="V96" s="14" t="str">
        <f aca="false">IF(C96&lt;&gt;"Closed","",I96-J96)</f>
        <v/>
      </c>
      <c r="W96" s="8" t="str">
        <f aca="false">IF($A96="","",IFERROR(INDEX(Transactions!$O:$O,MATCH($A96,Transactions!$D:$D,0)),""))</f>
        <v/>
      </c>
    </row>
    <row r="97" customFormat="false" ht="15" hidden="false" customHeight="false" outlineLevel="0" collapsed="false">
      <c r="A97" s="21"/>
      <c r="B97" s="8" t="str">
        <f aca="false">IF($A97="","",IFERROR(INDEX(Transactions!$C:$C,MATCH($A97,Transactions!$D:$D,0)),""))</f>
        <v/>
      </c>
      <c r="C97" s="8" t="str">
        <f aca="false">IF($A97="","",IF(D97&gt;0,"Open","Closed"))</f>
        <v/>
      </c>
      <c r="D97" s="8" t="str">
        <f aca="false">IF($A97="","",-SUMIFS(Transactions!$E:$E,Transactions!$D:$D,$A97,Transactions!$B:$B,"Sell call")-SUMIFS(Transactions!$E:$E,Transactions!$D:$D,$A97,Transactions!$B:$B,"Buy to close")-SUMIFS(Transactions!$E:$E,Transactions!$D:$D,$A97,Transactions!$B:$B,"Expired")-SUMIFS(Transactions!$E:$E,Transactions!$D:$D,$A97,Transactions!$B:$B,"Assigned"))</f>
        <v/>
      </c>
      <c r="E97" s="27" t="str">
        <f aca="false">IF($A97="","",IFERROR(SUMIFS(Transactions!$F:$F,Transactions!$D:$D,$A97,Transactions!$B:$B,"Sell call")/COUNTIFS(Transactions!$D:$D,$A97,Transactions!$B:$B,"Sell call"),""))</f>
        <v/>
      </c>
      <c r="F97" s="10" t="str">
        <f aca="false">IF($A97="","",IFERROR(SUMIFS(Transactions!$G:$G,Transactions!$D:$D,$A97,Transactions!$B:$B,"Sell call")/COUNTIFS(Transactions!$D:$D,$A97,Transactions!$B:$B,"Sell call"),""))</f>
        <v/>
      </c>
      <c r="G97" s="8" t="str">
        <f aca="false">IF($A97="","",-SUMIFS(Transactions!$E:$E,Transactions!$D:$D,$A97,Transactions!$B:$B,"Sell call")*100+SUMIFS(Transactions!$E:$E,Transactions!$D:$D,$A97,Transactions!$B:$B,"Sell shares"))</f>
        <v/>
      </c>
      <c r="H97" s="14" t="str">
        <f aca="false">IF($A97="","",IF(SUMIFS(Transactions!$J:$J,Transactions!$D:$D,$A97,Transactions!$B:$B,"Buy shares")&lt;&gt;0,-SUMIFS(Transactions!$J:$J,Transactions!$D:$D,$A97,Transactions!$B:$B,"Buy shares"),IFERROR(INDEX(Lots!$E:$E,MATCH($W97,Lots!$A:$A,0))*-SUMIFS(Transactions!$E:$E,Transactions!$D:$D,$A97,Transactions!$B:$B,"Sell call")*100,0)))</f>
        <v/>
      </c>
      <c r="I97" s="14" t="str">
        <f aca="false">IF($A97="","",SUMIFS(Transactions!$J:$J,Transactions!$D:$D,$A97,Transactions!$B:$B,"Sell call"))</f>
        <v/>
      </c>
      <c r="J97" s="14" t="str">
        <f aca="false">IF($A97="","",-SUMIFS(Transactions!$J:$J,Transactions!$D:$D,$A97,Transactions!$B:$B,"Buy to close"))</f>
        <v/>
      </c>
      <c r="K97" s="23"/>
      <c r="L97" s="23"/>
      <c r="M97" s="23"/>
      <c r="N97" s="21"/>
      <c r="O97" s="28"/>
      <c r="P97" s="14" t="str">
        <f aca="false">IF(OR(C97&lt;&gt;"Open",L97=""),"",L97*100*D97)</f>
        <v/>
      </c>
      <c r="Q97" s="14" t="str">
        <f aca="false">IF(OR(C97&lt;&gt;"Open",P97=""),"",I97-J97-P97)</f>
        <v/>
      </c>
      <c r="R97" s="14" t="str">
        <f aca="false">IF(OR(C97&lt;&gt;"Open",K97=""),"",K97*G97)</f>
        <v/>
      </c>
      <c r="S97" s="14" t="str">
        <f aca="false">IF(OR(R97="",Q97=""),"",R97-H97+Q97)</f>
        <v/>
      </c>
      <c r="T97" s="13" t="str">
        <f aca="false">IF(OR(R97="",Q97="",N(H97)=0),"",(R97+Q97)/H97)</f>
        <v/>
      </c>
      <c r="U97" s="10" t="str">
        <f aca="false">IF(C97&lt;&gt;"Closed","",_xlfn.MAXIFS(Transactions!$A:$A,Transactions!$D:$D,$A97))</f>
        <v/>
      </c>
      <c r="V97" s="14" t="str">
        <f aca="false">IF(C97&lt;&gt;"Closed","",I97-J97)</f>
        <v/>
      </c>
      <c r="W97" s="8" t="str">
        <f aca="false">IF($A97="","",IFERROR(INDEX(Transactions!$O:$O,MATCH($A97,Transactions!$D:$D,0)),""))</f>
        <v/>
      </c>
    </row>
    <row r="98" customFormat="false" ht="15" hidden="false" customHeight="false" outlineLevel="0" collapsed="false">
      <c r="A98" s="21"/>
      <c r="B98" s="8" t="str">
        <f aca="false">IF($A98="","",IFERROR(INDEX(Transactions!$C:$C,MATCH($A98,Transactions!$D:$D,0)),""))</f>
        <v/>
      </c>
      <c r="C98" s="8" t="str">
        <f aca="false">IF($A98="","",IF(D98&gt;0,"Open","Closed"))</f>
        <v/>
      </c>
      <c r="D98" s="8" t="str">
        <f aca="false">IF($A98="","",-SUMIFS(Transactions!$E:$E,Transactions!$D:$D,$A98,Transactions!$B:$B,"Sell call")-SUMIFS(Transactions!$E:$E,Transactions!$D:$D,$A98,Transactions!$B:$B,"Buy to close")-SUMIFS(Transactions!$E:$E,Transactions!$D:$D,$A98,Transactions!$B:$B,"Expired")-SUMIFS(Transactions!$E:$E,Transactions!$D:$D,$A98,Transactions!$B:$B,"Assigned"))</f>
        <v/>
      </c>
      <c r="E98" s="27" t="str">
        <f aca="false">IF($A98="","",IFERROR(SUMIFS(Transactions!$F:$F,Transactions!$D:$D,$A98,Transactions!$B:$B,"Sell call")/COUNTIFS(Transactions!$D:$D,$A98,Transactions!$B:$B,"Sell call"),""))</f>
        <v/>
      </c>
      <c r="F98" s="10" t="str">
        <f aca="false">IF($A98="","",IFERROR(SUMIFS(Transactions!$G:$G,Transactions!$D:$D,$A98,Transactions!$B:$B,"Sell call")/COUNTIFS(Transactions!$D:$D,$A98,Transactions!$B:$B,"Sell call"),""))</f>
        <v/>
      </c>
      <c r="G98" s="8" t="str">
        <f aca="false">IF($A98="","",-SUMIFS(Transactions!$E:$E,Transactions!$D:$D,$A98,Transactions!$B:$B,"Sell call")*100+SUMIFS(Transactions!$E:$E,Transactions!$D:$D,$A98,Transactions!$B:$B,"Sell shares"))</f>
        <v/>
      </c>
      <c r="H98" s="14" t="str">
        <f aca="false">IF($A98="","",IF(SUMIFS(Transactions!$J:$J,Transactions!$D:$D,$A98,Transactions!$B:$B,"Buy shares")&lt;&gt;0,-SUMIFS(Transactions!$J:$J,Transactions!$D:$D,$A98,Transactions!$B:$B,"Buy shares"),IFERROR(INDEX(Lots!$E:$E,MATCH($W98,Lots!$A:$A,0))*-SUMIFS(Transactions!$E:$E,Transactions!$D:$D,$A98,Transactions!$B:$B,"Sell call")*100,0)))</f>
        <v/>
      </c>
      <c r="I98" s="14" t="str">
        <f aca="false">IF($A98="","",SUMIFS(Transactions!$J:$J,Transactions!$D:$D,$A98,Transactions!$B:$B,"Sell call"))</f>
        <v/>
      </c>
      <c r="J98" s="14" t="str">
        <f aca="false">IF($A98="","",-SUMIFS(Transactions!$J:$J,Transactions!$D:$D,$A98,Transactions!$B:$B,"Buy to close"))</f>
        <v/>
      </c>
      <c r="K98" s="23"/>
      <c r="L98" s="23"/>
      <c r="M98" s="23"/>
      <c r="N98" s="21"/>
      <c r="O98" s="28"/>
      <c r="P98" s="14" t="str">
        <f aca="false">IF(OR(C98&lt;&gt;"Open",L98=""),"",L98*100*D98)</f>
        <v/>
      </c>
      <c r="Q98" s="14" t="str">
        <f aca="false">IF(OR(C98&lt;&gt;"Open",P98=""),"",I98-J98-P98)</f>
        <v/>
      </c>
      <c r="R98" s="14" t="str">
        <f aca="false">IF(OR(C98&lt;&gt;"Open",K98=""),"",K98*G98)</f>
        <v/>
      </c>
      <c r="S98" s="14" t="str">
        <f aca="false">IF(OR(R98="",Q98=""),"",R98-H98+Q98)</f>
        <v/>
      </c>
      <c r="T98" s="13" t="str">
        <f aca="false">IF(OR(R98="",Q98="",N(H98)=0),"",(R98+Q98)/H98)</f>
        <v/>
      </c>
      <c r="U98" s="10" t="str">
        <f aca="false">IF(C98&lt;&gt;"Closed","",_xlfn.MAXIFS(Transactions!$A:$A,Transactions!$D:$D,$A98))</f>
        <v/>
      </c>
      <c r="V98" s="14" t="str">
        <f aca="false">IF(C98&lt;&gt;"Closed","",I98-J98)</f>
        <v/>
      </c>
      <c r="W98" s="8" t="str">
        <f aca="false">IF($A98="","",IFERROR(INDEX(Transactions!$O:$O,MATCH($A98,Transactions!$D:$D,0)),""))</f>
        <v/>
      </c>
    </row>
    <row r="99" customFormat="false" ht="15" hidden="false" customHeight="false" outlineLevel="0" collapsed="false">
      <c r="A99" s="21"/>
      <c r="B99" s="8" t="str">
        <f aca="false">IF($A99="","",IFERROR(INDEX(Transactions!$C:$C,MATCH($A99,Transactions!$D:$D,0)),""))</f>
        <v/>
      </c>
      <c r="C99" s="8" t="str">
        <f aca="false">IF($A99="","",IF(D99&gt;0,"Open","Closed"))</f>
        <v/>
      </c>
      <c r="D99" s="8" t="str">
        <f aca="false">IF($A99="","",-SUMIFS(Transactions!$E:$E,Transactions!$D:$D,$A99,Transactions!$B:$B,"Sell call")-SUMIFS(Transactions!$E:$E,Transactions!$D:$D,$A99,Transactions!$B:$B,"Buy to close")-SUMIFS(Transactions!$E:$E,Transactions!$D:$D,$A99,Transactions!$B:$B,"Expired")-SUMIFS(Transactions!$E:$E,Transactions!$D:$D,$A99,Transactions!$B:$B,"Assigned"))</f>
        <v/>
      </c>
      <c r="E99" s="27" t="str">
        <f aca="false">IF($A99="","",IFERROR(SUMIFS(Transactions!$F:$F,Transactions!$D:$D,$A99,Transactions!$B:$B,"Sell call")/COUNTIFS(Transactions!$D:$D,$A99,Transactions!$B:$B,"Sell call"),""))</f>
        <v/>
      </c>
      <c r="F99" s="10" t="str">
        <f aca="false">IF($A99="","",IFERROR(SUMIFS(Transactions!$G:$G,Transactions!$D:$D,$A99,Transactions!$B:$B,"Sell call")/COUNTIFS(Transactions!$D:$D,$A99,Transactions!$B:$B,"Sell call"),""))</f>
        <v/>
      </c>
      <c r="G99" s="8" t="str">
        <f aca="false">IF($A99="","",-SUMIFS(Transactions!$E:$E,Transactions!$D:$D,$A99,Transactions!$B:$B,"Sell call")*100+SUMIFS(Transactions!$E:$E,Transactions!$D:$D,$A99,Transactions!$B:$B,"Sell shares"))</f>
        <v/>
      </c>
      <c r="H99" s="14" t="str">
        <f aca="false">IF($A99="","",IF(SUMIFS(Transactions!$J:$J,Transactions!$D:$D,$A99,Transactions!$B:$B,"Buy shares")&lt;&gt;0,-SUMIFS(Transactions!$J:$J,Transactions!$D:$D,$A99,Transactions!$B:$B,"Buy shares"),IFERROR(INDEX(Lots!$E:$E,MATCH($W99,Lots!$A:$A,0))*-SUMIFS(Transactions!$E:$E,Transactions!$D:$D,$A99,Transactions!$B:$B,"Sell call")*100,0)))</f>
        <v/>
      </c>
      <c r="I99" s="14" t="str">
        <f aca="false">IF($A99="","",SUMIFS(Transactions!$J:$J,Transactions!$D:$D,$A99,Transactions!$B:$B,"Sell call"))</f>
        <v/>
      </c>
      <c r="J99" s="14" t="str">
        <f aca="false">IF($A99="","",-SUMIFS(Transactions!$J:$J,Transactions!$D:$D,$A99,Transactions!$B:$B,"Buy to close"))</f>
        <v/>
      </c>
      <c r="K99" s="23"/>
      <c r="L99" s="23"/>
      <c r="M99" s="23"/>
      <c r="N99" s="21"/>
      <c r="O99" s="28"/>
      <c r="P99" s="14" t="str">
        <f aca="false">IF(OR(C99&lt;&gt;"Open",L99=""),"",L99*100*D99)</f>
        <v/>
      </c>
      <c r="Q99" s="14" t="str">
        <f aca="false">IF(OR(C99&lt;&gt;"Open",P99=""),"",I99-J99-P99)</f>
        <v/>
      </c>
      <c r="R99" s="14" t="str">
        <f aca="false">IF(OR(C99&lt;&gt;"Open",K99=""),"",K99*G99)</f>
        <v/>
      </c>
      <c r="S99" s="14" t="str">
        <f aca="false">IF(OR(R99="",Q99=""),"",R99-H99+Q99)</f>
        <v/>
      </c>
      <c r="T99" s="13" t="str">
        <f aca="false">IF(OR(R99="",Q99="",N(H99)=0),"",(R99+Q99)/H99)</f>
        <v/>
      </c>
      <c r="U99" s="10" t="str">
        <f aca="false">IF(C99&lt;&gt;"Closed","",_xlfn.MAXIFS(Transactions!$A:$A,Transactions!$D:$D,$A99))</f>
        <v/>
      </c>
      <c r="V99" s="14" t="str">
        <f aca="false">IF(C99&lt;&gt;"Closed","",I99-J99)</f>
        <v/>
      </c>
      <c r="W99" s="8" t="str">
        <f aca="false">IF($A99="","",IFERROR(INDEX(Transactions!$O:$O,MATCH($A99,Transactions!$D:$D,0)),""))</f>
        <v/>
      </c>
    </row>
    <row r="100" customFormat="false" ht="15" hidden="false" customHeight="false" outlineLevel="0" collapsed="false">
      <c r="A100" s="21"/>
      <c r="B100" s="8" t="str">
        <f aca="false">IF($A100="","",IFERROR(INDEX(Transactions!$C:$C,MATCH($A100,Transactions!$D:$D,0)),""))</f>
        <v/>
      </c>
      <c r="C100" s="8" t="str">
        <f aca="false">IF($A100="","",IF(D100&gt;0,"Open","Closed"))</f>
        <v/>
      </c>
      <c r="D100" s="8" t="str">
        <f aca="false">IF($A100="","",-SUMIFS(Transactions!$E:$E,Transactions!$D:$D,$A100,Transactions!$B:$B,"Sell call")-SUMIFS(Transactions!$E:$E,Transactions!$D:$D,$A100,Transactions!$B:$B,"Buy to close")-SUMIFS(Transactions!$E:$E,Transactions!$D:$D,$A100,Transactions!$B:$B,"Expired")-SUMIFS(Transactions!$E:$E,Transactions!$D:$D,$A100,Transactions!$B:$B,"Assigned"))</f>
        <v/>
      </c>
      <c r="E100" s="27" t="str">
        <f aca="false">IF($A100="","",IFERROR(SUMIFS(Transactions!$F:$F,Transactions!$D:$D,$A100,Transactions!$B:$B,"Sell call")/COUNTIFS(Transactions!$D:$D,$A100,Transactions!$B:$B,"Sell call"),""))</f>
        <v/>
      </c>
      <c r="F100" s="10" t="str">
        <f aca="false">IF($A100="","",IFERROR(SUMIFS(Transactions!$G:$G,Transactions!$D:$D,$A100,Transactions!$B:$B,"Sell call")/COUNTIFS(Transactions!$D:$D,$A100,Transactions!$B:$B,"Sell call"),""))</f>
        <v/>
      </c>
      <c r="G100" s="8" t="str">
        <f aca="false">IF($A100="","",-SUMIFS(Transactions!$E:$E,Transactions!$D:$D,$A100,Transactions!$B:$B,"Sell call")*100+SUMIFS(Transactions!$E:$E,Transactions!$D:$D,$A100,Transactions!$B:$B,"Sell shares"))</f>
        <v/>
      </c>
      <c r="H100" s="14" t="str">
        <f aca="false">IF($A100="","",IF(SUMIFS(Transactions!$J:$J,Transactions!$D:$D,$A100,Transactions!$B:$B,"Buy shares")&lt;&gt;0,-SUMIFS(Transactions!$J:$J,Transactions!$D:$D,$A100,Transactions!$B:$B,"Buy shares"),IFERROR(INDEX(Lots!$E:$E,MATCH($W100,Lots!$A:$A,0))*-SUMIFS(Transactions!$E:$E,Transactions!$D:$D,$A100,Transactions!$B:$B,"Sell call")*100,0)))</f>
        <v/>
      </c>
      <c r="I100" s="14" t="str">
        <f aca="false">IF($A100="","",SUMIFS(Transactions!$J:$J,Transactions!$D:$D,$A100,Transactions!$B:$B,"Sell call"))</f>
        <v/>
      </c>
      <c r="J100" s="14" t="str">
        <f aca="false">IF($A100="","",-SUMIFS(Transactions!$J:$J,Transactions!$D:$D,$A100,Transactions!$B:$B,"Buy to close"))</f>
        <v/>
      </c>
      <c r="K100" s="23"/>
      <c r="L100" s="23"/>
      <c r="M100" s="23"/>
      <c r="N100" s="21"/>
      <c r="O100" s="28"/>
      <c r="P100" s="14" t="str">
        <f aca="false">IF(OR(C100&lt;&gt;"Open",L100=""),"",L100*100*D100)</f>
        <v/>
      </c>
      <c r="Q100" s="14" t="str">
        <f aca="false">IF(OR(C100&lt;&gt;"Open",P100=""),"",I100-J100-P100)</f>
        <v/>
      </c>
      <c r="R100" s="14" t="str">
        <f aca="false">IF(OR(C100&lt;&gt;"Open",K100=""),"",K100*G100)</f>
        <v/>
      </c>
      <c r="S100" s="14" t="str">
        <f aca="false">IF(OR(R100="",Q100=""),"",R100-H100+Q100)</f>
        <v/>
      </c>
      <c r="T100" s="13" t="str">
        <f aca="false">IF(OR(R100="",Q100="",N(H100)=0),"",(R100+Q100)/H100)</f>
        <v/>
      </c>
      <c r="U100" s="10" t="str">
        <f aca="false">IF(C100&lt;&gt;"Closed","",_xlfn.MAXIFS(Transactions!$A:$A,Transactions!$D:$D,$A100))</f>
        <v/>
      </c>
      <c r="V100" s="14" t="str">
        <f aca="false">IF(C100&lt;&gt;"Closed","",I100-J100)</f>
        <v/>
      </c>
      <c r="W100" s="8" t="str">
        <f aca="false">IF($A100="","",IFERROR(INDEX(Transactions!$O:$O,MATCH($A100,Transactions!$D:$D,0)),""))</f>
        <v/>
      </c>
    </row>
    <row r="101" customFormat="false" ht="15" hidden="false" customHeight="false" outlineLevel="0" collapsed="false">
      <c r="A101" s="21"/>
      <c r="B101" s="8" t="str">
        <f aca="false">IF($A101="","",IFERROR(INDEX(Transactions!$C:$C,MATCH($A101,Transactions!$D:$D,0)),""))</f>
        <v/>
      </c>
      <c r="C101" s="8" t="str">
        <f aca="false">IF($A101="","",IF(D101&gt;0,"Open","Closed"))</f>
        <v/>
      </c>
      <c r="D101" s="8" t="str">
        <f aca="false">IF($A101="","",-SUMIFS(Transactions!$E:$E,Transactions!$D:$D,$A101,Transactions!$B:$B,"Sell call")-SUMIFS(Transactions!$E:$E,Transactions!$D:$D,$A101,Transactions!$B:$B,"Buy to close")-SUMIFS(Transactions!$E:$E,Transactions!$D:$D,$A101,Transactions!$B:$B,"Expired")-SUMIFS(Transactions!$E:$E,Transactions!$D:$D,$A101,Transactions!$B:$B,"Assigned"))</f>
        <v/>
      </c>
      <c r="E101" s="27" t="str">
        <f aca="false">IF($A101="","",IFERROR(SUMIFS(Transactions!$F:$F,Transactions!$D:$D,$A101,Transactions!$B:$B,"Sell call")/COUNTIFS(Transactions!$D:$D,$A101,Transactions!$B:$B,"Sell call"),""))</f>
        <v/>
      </c>
      <c r="F101" s="10" t="str">
        <f aca="false">IF($A101="","",IFERROR(SUMIFS(Transactions!$G:$G,Transactions!$D:$D,$A101,Transactions!$B:$B,"Sell call")/COUNTIFS(Transactions!$D:$D,$A101,Transactions!$B:$B,"Sell call"),""))</f>
        <v/>
      </c>
      <c r="G101" s="8" t="str">
        <f aca="false">IF($A101="","",-SUMIFS(Transactions!$E:$E,Transactions!$D:$D,$A101,Transactions!$B:$B,"Sell call")*100+SUMIFS(Transactions!$E:$E,Transactions!$D:$D,$A101,Transactions!$B:$B,"Sell shares"))</f>
        <v/>
      </c>
      <c r="H101" s="14" t="str">
        <f aca="false">IF($A101="","",IF(SUMIFS(Transactions!$J:$J,Transactions!$D:$D,$A101,Transactions!$B:$B,"Buy shares")&lt;&gt;0,-SUMIFS(Transactions!$J:$J,Transactions!$D:$D,$A101,Transactions!$B:$B,"Buy shares"),IFERROR(INDEX(Lots!$E:$E,MATCH($W101,Lots!$A:$A,0))*-SUMIFS(Transactions!$E:$E,Transactions!$D:$D,$A101,Transactions!$B:$B,"Sell call")*100,0)))</f>
        <v/>
      </c>
      <c r="I101" s="14" t="str">
        <f aca="false">IF($A101="","",SUMIFS(Transactions!$J:$J,Transactions!$D:$D,$A101,Transactions!$B:$B,"Sell call"))</f>
        <v/>
      </c>
      <c r="J101" s="14" t="str">
        <f aca="false">IF($A101="","",-SUMIFS(Transactions!$J:$J,Transactions!$D:$D,$A101,Transactions!$B:$B,"Buy to close"))</f>
        <v/>
      </c>
      <c r="K101" s="23"/>
      <c r="L101" s="23"/>
      <c r="M101" s="23"/>
      <c r="N101" s="21"/>
      <c r="O101" s="28"/>
      <c r="P101" s="14" t="str">
        <f aca="false">IF(OR(C101&lt;&gt;"Open",L101=""),"",L101*100*D101)</f>
        <v/>
      </c>
      <c r="Q101" s="14" t="str">
        <f aca="false">IF(OR(C101&lt;&gt;"Open",P101=""),"",I101-J101-P101)</f>
        <v/>
      </c>
      <c r="R101" s="14" t="str">
        <f aca="false">IF(OR(C101&lt;&gt;"Open",K101=""),"",K101*G101)</f>
        <v/>
      </c>
      <c r="S101" s="14" t="str">
        <f aca="false">IF(OR(R101="",Q101=""),"",R101-H101+Q101)</f>
        <v/>
      </c>
      <c r="T101" s="13" t="str">
        <f aca="false">IF(OR(R101="",Q101="",N(H101)=0),"",(R101+Q101)/H101)</f>
        <v/>
      </c>
      <c r="U101" s="10" t="str">
        <f aca="false">IF(C101&lt;&gt;"Closed","",_xlfn.MAXIFS(Transactions!$A:$A,Transactions!$D:$D,$A101))</f>
        <v/>
      </c>
      <c r="V101" s="14" t="str">
        <f aca="false">IF(C101&lt;&gt;"Closed","",I101-J101)</f>
        <v/>
      </c>
      <c r="W101" s="8" t="str">
        <f aca="false">IF($A101="","",IFERROR(INDEX(Transactions!$O:$O,MATCH($A101,Transactions!$D:$D,0)),""))</f>
        <v/>
      </c>
    </row>
    <row r="102" customFormat="false" ht="15" hidden="false" customHeight="false" outlineLevel="0" collapsed="false">
      <c r="A102" s="21"/>
      <c r="B102" s="8" t="str">
        <f aca="false">IF($A102="","",IFERROR(INDEX(Transactions!$C:$C,MATCH($A102,Transactions!$D:$D,0)),""))</f>
        <v/>
      </c>
      <c r="C102" s="8" t="str">
        <f aca="false">IF($A102="","",IF(D102&gt;0,"Open","Closed"))</f>
        <v/>
      </c>
      <c r="D102" s="8" t="str">
        <f aca="false">IF($A102="","",-SUMIFS(Transactions!$E:$E,Transactions!$D:$D,$A102,Transactions!$B:$B,"Sell call")-SUMIFS(Transactions!$E:$E,Transactions!$D:$D,$A102,Transactions!$B:$B,"Buy to close")-SUMIFS(Transactions!$E:$E,Transactions!$D:$D,$A102,Transactions!$B:$B,"Expired")-SUMIFS(Transactions!$E:$E,Transactions!$D:$D,$A102,Transactions!$B:$B,"Assigned"))</f>
        <v/>
      </c>
      <c r="E102" s="27" t="str">
        <f aca="false">IF($A102="","",IFERROR(SUMIFS(Transactions!$F:$F,Transactions!$D:$D,$A102,Transactions!$B:$B,"Sell call")/COUNTIFS(Transactions!$D:$D,$A102,Transactions!$B:$B,"Sell call"),""))</f>
        <v/>
      </c>
      <c r="F102" s="10" t="str">
        <f aca="false">IF($A102="","",IFERROR(SUMIFS(Transactions!$G:$G,Transactions!$D:$D,$A102,Transactions!$B:$B,"Sell call")/COUNTIFS(Transactions!$D:$D,$A102,Transactions!$B:$B,"Sell call"),""))</f>
        <v/>
      </c>
      <c r="G102" s="8" t="str">
        <f aca="false">IF($A102="","",-SUMIFS(Transactions!$E:$E,Transactions!$D:$D,$A102,Transactions!$B:$B,"Sell call")*100+SUMIFS(Transactions!$E:$E,Transactions!$D:$D,$A102,Transactions!$B:$B,"Sell shares"))</f>
        <v/>
      </c>
      <c r="H102" s="14" t="str">
        <f aca="false">IF($A102="","",IF(SUMIFS(Transactions!$J:$J,Transactions!$D:$D,$A102,Transactions!$B:$B,"Buy shares")&lt;&gt;0,-SUMIFS(Transactions!$J:$J,Transactions!$D:$D,$A102,Transactions!$B:$B,"Buy shares"),IFERROR(INDEX(Lots!$E:$E,MATCH($W102,Lots!$A:$A,0))*-SUMIFS(Transactions!$E:$E,Transactions!$D:$D,$A102,Transactions!$B:$B,"Sell call")*100,0)))</f>
        <v/>
      </c>
      <c r="I102" s="14" t="str">
        <f aca="false">IF($A102="","",SUMIFS(Transactions!$J:$J,Transactions!$D:$D,$A102,Transactions!$B:$B,"Sell call"))</f>
        <v/>
      </c>
      <c r="J102" s="14" t="str">
        <f aca="false">IF($A102="","",-SUMIFS(Transactions!$J:$J,Transactions!$D:$D,$A102,Transactions!$B:$B,"Buy to close"))</f>
        <v/>
      </c>
      <c r="K102" s="23"/>
      <c r="L102" s="23"/>
      <c r="M102" s="23"/>
      <c r="N102" s="21"/>
      <c r="O102" s="28"/>
      <c r="P102" s="14" t="str">
        <f aca="false">IF(OR(C102&lt;&gt;"Open",L102=""),"",L102*100*D102)</f>
        <v/>
      </c>
      <c r="Q102" s="14" t="str">
        <f aca="false">IF(OR(C102&lt;&gt;"Open",P102=""),"",I102-J102-P102)</f>
        <v/>
      </c>
      <c r="R102" s="14" t="str">
        <f aca="false">IF(OR(C102&lt;&gt;"Open",K102=""),"",K102*G102)</f>
        <v/>
      </c>
      <c r="S102" s="14" t="str">
        <f aca="false">IF(OR(R102="",Q102=""),"",R102-H102+Q102)</f>
        <v/>
      </c>
      <c r="T102" s="13" t="str">
        <f aca="false">IF(OR(R102="",Q102="",N(H102)=0),"",(R102+Q102)/H102)</f>
        <v/>
      </c>
      <c r="U102" s="10" t="str">
        <f aca="false">IF(C102&lt;&gt;"Closed","",_xlfn.MAXIFS(Transactions!$A:$A,Transactions!$D:$D,$A102))</f>
        <v/>
      </c>
      <c r="V102" s="14" t="str">
        <f aca="false">IF(C102&lt;&gt;"Closed","",I102-J102)</f>
        <v/>
      </c>
      <c r="W102" s="8" t="str">
        <f aca="false">IF($A102="","",IFERROR(INDEX(Transactions!$O:$O,MATCH($A102,Transactions!$D:$D,0)),""))</f>
        <v/>
      </c>
    </row>
    <row r="103" customFormat="false" ht="15" hidden="false" customHeight="false" outlineLevel="0" collapsed="false">
      <c r="A103" s="21"/>
      <c r="B103" s="8" t="str">
        <f aca="false">IF($A103="","",IFERROR(INDEX(Transactions!$C:$C,MATCH($A103,Transactions!$D:$D,0)),""))</f>
        <v/>
      </c>
      <c r="C103" s="8" t="str">
        <f aca="false">IF($A103="","",IF(D103&gt;0,"Open","Closed"))</f>
        <v/>
      </c>
      <c r="D103" s="8" t="str">
        <f aca="false">IF($A103="","",-SUMIFS(Transactions!$E:$E,Transactions!$D:$D,$A103,Transactions!$B:$B,"Sell call")-SUMIFS(Transactions!$E:$E,Transactions!$D:$D,$A103,Transactions!$B:$B,"Buy to close")-SUMIFS(Transactions!$E:$E,Transactions!$D:$D,$A103,Transactions!$B:$B,"Expired")-SUMIFS(Transactions!$E:$E,Transactions!$D:$D,$A103,Transactions!$B:$B,"Assigned"))</f>
        <v/>
      </c>
      <c r="E103" s="27" t="str">
        <f aca="false">IF($A103="","",IFERROR(SUMIFS(Transactions!$F:$F,Transactions!$D:$D,$A103,Transactions!$B:$B,"Sell call")/COUNTIFS(Transactions!$D:$D,$A103,Transactions!$B:$B,"Sell call"),""))</f>
        <v/>
      </c>
      <c r="F103" s="10" t="str">
        <f aca="false">IF($A103="","",IFERROR(SUMIFS(Transactions!$G:$G,Transactions!$D:$D,$A103,Transactions!$B:$B,"Sell call")/COUNTIFS(Transactions!$D:$D,$A103,Transactions!$B:$B,"Sell call"),""))</f>
        <v/>
      </c>
      <c r="G103" s="8" t="str">
        <f aca="false">IF($A103="","",-SUMIFS(Transactions!$E:$E,Transactions!$D:$D,$A103,Transactions!$B:$B,"Sell call")*100+SUMIFS(Transactions!$E:$E,Transactions!$D:$D,$A103,Transactions!$B:$B,"Sell shares"))</f>
        <v/>
      </c>
      <c r="H103" s="14" t="str">
        <f aca="false">IF($A103="","",IF(SUMIFS(Transactions!$J:$J,Transactions!$D:$D,$A103,Transactions!$B:$B,"Buy shares")&lt;&gt;0,-SUMIFS(Transactions!$J:$J,Transactions!$D:$D,$A103,Transactions!$B:$B,"Buy shares"),IFERROR(INDEX(Lots!$E:$E,MATCH($W103,Lots!$A:$A,0))*-SUMIFS(Transactions!$E:$E,Transactions!$D:$D,$A103,Transactions!$B:$B,"Sell call")*100,0)))</f>
        <v/>
      </c>
      <c r="I103" s="14" t="str">
        <f aca="false">IF($A103="","",SUMIFS(Transactions!$J:$J,Transactions!$D:$D,$A103,Transactions!$B:$B,"Sell call"))</f>
        <v/>
      </c>
      <c r="J103" s="14" t="str">
        <f aca="false">IF($A103="","",-SUMIFS(Transactions!$J:$J,Transactions!$D:$D,$A103,Transactions!$B:$B,"Buy to close"))</f>
        <v/>
      </c>
      <c r="K103" s="23"/>
      <c r="L103" s="23"/>
      <c r="M103" s="23"/>
      <c r="N103" s="21"/>
      <c r="O103" s="28"/>
      <c r="P103" s="14" t="str">
        <f aca="false">IF(OR(C103&lt;&gt;"Open",L103=""),"",L103*100*D103)</f>
        <v/>
      </c>
      <c r="Q103" s="14" t="str">
        <f aca="false">IF(OR(C103&lt;&gt;"Open",P103=""),"",I103-J103-P103)</f>
        <v/>
      </c>
      <c r="R103" s="14" t="str">
        <f aca="false">IF(OR(C103&lt;&gt;"Open",K103=""),"",K103*G103)</f>
        <v/>
      </c>
      <c r="S103" s="14" t="str">
        <f aca="false">IF(OR(R103="",Q103=""),"",R103-H103+Q103)</f>
        <v/>
      </c>
      <c r="T103" s="13" t="str">
        <f aca="false">IF(OR(R103="",Q103="",N(H103)=0),"",(R103+Q103)/H103)</f>
        <v/>
      </c>
      <c r="U103" s="10" t="str">
        <f aca="false">IF(C103&lt;&gt;"Closed","",_xlfn.MAXIFS(Transactions!$A:$A,Transactions!$D:$D,$A103))</f>
        <v/>
      </c>
      <c r="V103" s="14" t="str">
        <f aca="false">IF(C103&lt;&gt;"Closed","",I103-J103)</f>
        <v/>
      </c>
      <c r="W103" s="8" t="str">
        <f aca="false">IF($A103="","",IFERROR(INDEX(Transactions!$O:$O,MATCH($A103,Transactions!$D:$D,0)),""))</f>
        <v/>
      </c>
    </row>
    <row r="104" customFormat="false" ht="15" hidden="false" customHeight="false" outlineLevel="0" collapsed="false">
      <c r="A104" s="21"/>
      <c r="B104" s="8" t="str">
        <f aca="false">IF($A104="","",IFERROR(INDEX(Transactions!$C:$C,MATCH($A104,Transactions!$D:$D,0)),""))</f>
        <v/>
      </c>
      <c r="C104" s="8" t="str">
        <f aca="false">IF($A104="","",IF(D104&gt;0,"Open","Closed"))</f>
        <v/>
      </c>
      <c r="D104" s="8" t="str">
        <f aca="false">IF($A104="","",-SUMIFS(Transactions!$E:$E,Transactions!$D:$D,$A104,Transactions!$B:$B,"Sell call")-SUMIFS(Transactions!$E:$E,Transactions!$D:$D,$A104,Transactions!$B:$B,"Buy to close")-SUMIFS(Transactions!$E:$E,Transactions!$D:$D,$A104,Transactions!$B:$B,"Expired")-SUMIFS(Transactions!$E:$E,Transactions!$D:$D,$A104,Transactions!$B:$B,"Assigned"))</f>
        <v/>
      </c>
      <c r="E104" s="27" t="str">
        <f aca="false">IF($A104="","",IFERROR(SUMIFS(Transactions!$F:$F,Transactions!$D:$D,$A104,Transactions!$B:$B,"Sell call")/COUNTIFS(Transactions!$D:$D,$A104,Transactions!$B:$B,"Sell call"),""))</f>
        <v/>
      </c>
      <c r="F104" s="10" t="str">
        <f aca="false">IF($A104="","",IFERROR(SUMIFS(Transactions!$G:$G,Transactions!$D:$D,$A104,Transactions!$B:$B,"Sell call")/COUNTIFS(Transactions!$D:$D,$A104,Transactions!$B:$B,"Sell call"),""))</f>
        <v/>
      </c>
      <c r="G104" s="8" t="str">
        <f aca="false">IF($A104="","",-SUMIFS(Transactions!$E:$E,Transactions!$D:$D,$A104,Transactions!$B:$B,"Sell call")*100+SUMIFS(Transactions!$E:$E,Transactions!$D:$D,$A104,Transactions!$B:$B,"Sell shares"))</f>
        <v/>
      </c>
      <c r="H104" s="14" t="str">
        <f aca="false">IF($A104="","",IF(SUMIFS(Transactions!$J:$J,Transactions!$D:$D,$A104,Transactions!$B:$B,"Buy shares")&lt;&gt;0,-SUMIFS(Transactions!$J:$J,Transactions!$D:$D,$A104,Transactions!$B:$B,"Buy shares"),IFERROR(INDEX(Lots!$E:$E,MATCH($W104,Lots!$A:$A,0))*-SUMIFS(Transactions!$E:$E,Transactions!$D:$D,$A104,Transactions!$B:$B,"Sell call")*100,0)))</f>
        <v/>
      </c>
      <c r="I104" s="14" t="str">
        <f aca="false">IF($A104="","",SUMIFS(Transactions!$J:$J,Transactions!$D:$D,$A104,Transactions!$B:$B,"Sell call"))</f>
        <v/>
      </c>
      <c r="J104" s="14" t="str">
        <f aca="false">IF($A104="","",-SUMIFS(Transactions!$J:$J,Transactions!$D:$D,$A104,Transactions!$B:$B,"Buy to close"))</f>
        <v/>
      </c>
      <c r="K104" s="23"/>
      <c r="L104" s="23"/>
      <c r="M104" s="23"/>
      <c r="N104" s="21"/>
      <c r="O104" s="28"/>
      <c r="P104" s="14" t="str">
        <f aca="false">IF(OR(C104&lt;&gt;"Open",L104=""),"",L104*100*D104)</f>
        <v/>
      </c>
      <c r="Q104" s="14" t="str">
        <f aca="false">IF(OR(C104&lt;&gt;"Open",P104=""),"",I104-J104-P104)</f>
        <v/>
      </c>
      <c r="R104" s="14" t="str">
        <f aca="false">IF(OR(C104&lt;&gt;"Open",K104=""),"",K104*G104)</f>
        <v/>
      </c>
      <c r="S104" s="14" t="str">
        <f aca="false">IF(OR(R104="",Q104=""),"",R104-H104+Q104)</f>
        <v/>
      </c>
      <c r="T104" s="13" t="str">
        <f aca="false">IF(OR(R104="",Q104="",N(H104)=0),"",(R104+Q104)/H104)</f>
        <v/>
      </c>
      <c r="U104" s="10" t="str">
        <f aca="false">IF(C104&lt;&gt;"Closed","",_xlfn.MAXIFS(Transactions!$A:$A,Transactions!$D:$D,$A104))</f>
        <v/>
      </c>
      <c r="V104" s="14" t="str">
        <f aca="false">IF(C104&lt;&gt;"Closed","",I104-J104)</f>
        <v/>
      </c>
      <c r="W104" s="8" t="str">
        <f aca="false">IF($A104="","",IFERROR(INDEX(Transactions!$O:$O,MATCH($A104,Transactions!$D:$D,0)),""))</f>
        <v/>
      </c>
    </row>
    <row r="105" customFormat="false" ht="15" hidden="false" customHeight="false" outlineLevel="0" collapsed="false">
      <c r="A105" s="21"/>
      <c r="B105" s="8" t="str">
        <f aca="false">IF($A105="","",IFERROR(INDEX(Transactions!$C:$C,MATCH($A105,Transactions!$D:$D,0)),""))</f>
        <v/>
      </c>
      <c r="C105" s="8" t="str">
        <f aca="false">IF($A105="","",IF(D105&gt;0,"Open","Closed"))</f>
        <v/>
      </c>
      <c r="D105" s="8" t="str">
        <f aca="false">IF($A105="","",-SUMIFS(Transactions!$E:$E,Transactions!$D:$D,$A105,Transactions!$B:$B,"Sell call")-SUMIFS(Transactions!$E:$E,Transactions!$D:$D,$A105,Transactions!$B:$B,"Buy to close")-SUMIFS(Transactions!$E:$E,Transactions!$D:$D,$A105,Transactions!$B:$B,"Expired")-SUMIFS(Transactions!$E:$E,Transactions!$D:$D,$A105,Transactions!$B:$B,"Assigned"))</f>
        <v/>
      </c>
      <c r="E105" s="27" t="str">
        <f aca="false">IF($A105="","",IFERROR(SUMIFS(Transactions!$F:$F,Transactions!$D:$D,$A105,Transactions!$B:$B,"Sell call")/COUNTIFS(Transactions!$D:$D,$A105,Transactions!$B:$B,"Sell call"),""))</f>
        <v/>
      </c>
      <c r="F105" s="10" t="str">
        <f aca="false">IF($A105="","",IFERROR(SUMIFS(Transactions!$G:$G,Transactions!$D:$D,$A105,Transactions!$B:$B,"Sell call")/COUNTIFS(Transactions!$D:$D,$A105,Transactions!$B:$B,"Sell call"),""))</f>
        <v/>
      </c>
      <c r="G105" s="8" t="str">
        <f aca="false">IF($A105="","",-SUMIFS(Transactions!$E:$E,Transactions!$D:$D,$A105,Transactions!$B:$B,"Sell call")*100+SUMIFS(Transactions!$E:$E,Transactions!$D:$D,$A105,Transactions!$B:$B,"Sell shares"))</f>
        <v/>
      </c>
      <c r="H105" s="14" t="str">
        <f aca="false">IF($A105="","",IF(SUMIFS(Transactions!$J:$J,Transactions!$D:$D,$A105,Transactions!$B:$B,"Buy shares")&lt;&gt;0,-SUMIFS(Transactions!$J:$J,Transactions!$D:$D,$A105,Transactions!$B:$B,"Buy shares"),IFERROR(INDEX(Lots!$E:$E,MATCH($W105,Lots!$A:$A,0))*-SUMIFS(Transactions!$E:$E,Transactions!$D:$D,$A105,Transactions!$B:$B,"Sell call")*100,0)))</f>
        <v/>
      </c>
      <c r="I105" s="14" t="str">
        <f aca="false">IF($A105="","",SUMIFS(Transactions!$J:$J,Transactions!$D:$D,$A105,Transactions!$B:$B,"Sell call"))</f>
        <v/>
      </c>
      <c r="J105" s="14" t="str">
        <f aca="false">IF($A105="","",-SUMIFS(Transactions!$J:$J,Transactions!$D:$D,$A105,Transactions!$B:$B,"Buy to close"))</f>
        <v/>
      </c>
      <c r="K105" s="23"/>
      <c r="L105" s="23"/>
      <c r="M105" s="23"/>
      <c r="N105" s="21"/>
      <c r="O105" s="28"/>
      <c r="P105" s="14" t="str">
        <f aca="false">IF(OR(C105&lt;&gt;"Open",L105=""),"",L105*100*D105)</f>
        <v/>
      </c>
      <c r="Q105" s="14" t="str">
        <f aca="false">IF(OR(C105&lt;&gt;"Open",P105=""),"",I105-J105-P105)</f>
        <v/>
      </c>
      <c r="R105" s="14" t="str">
        <f aca="false">IF(OR(C105&lt;&gt;"Open",K105=""),"",K105*G105)</f>
        <v/>
      </c>
      <c r="S105" s="14" t="str">
        <f aca="false">IF(OR(R105="",Q105=""),"",R105-H105+Q105)</f>
        <v/>
      </c>
      <c r="T105" s="13" t="str">
        <f aca="false">IF(OR(R105="",Q105="",N(H105)=0),"",(R105+Q105)/H105)</f>
        <v/>
      </c>
      <c r="U105" s="10" t="str">
        <f aca="false">IF(C105&lt;&gt;"Closed","",_xlfn.MAXIFS(Transactions!$A:$A,Transactions!$D:$D,$A105))</f>
        <v/>
      </c>
      <c r="V105" s="14" t="str">
        <f aca="false">IF(C105&lt;&gt;"Closed","",I105-J105)</f>
        <v/>
      </c>
      <c r="W105" s="8" t="str">
        <f aca="false">IF($A105="","",IFERROR(INDEX(Transactions!$O:$O,MATCH($A105,Transactions!$D:$D,0)),""))</f>
        <v/>
      </c>
    </row>
    <row r="106" customFormat="false" ht="15" hidden="false" customHeight="false" outlineLevel="0" collapsed="false">
      <c r="A106" s="21"/>
      <c r="B106" s="8" t="str">
        <f aca="false">IF($A106="","",IFERROR(INDEX(Transactions!$C:$C,MATCH($A106,Transactions!$D:$D,0)),""))</f>
        <v/>
      </c>
      <c r="C106" s="8" t="str">
        <f aca="false">IF($A106="","",IF(D106&gt;0,"Open","Closed"))</f>
        <v/>
      </c>
      <c r="D106" s="8" t="str">
        <f aca="false">IF($A106="","",-SUMIFS(Transactions!$E:$E,Transactions!$D:$D,$A106,Transactions!$B:$B,"Sell call")-SUMIFS(Transactions!$E:$E,Transactions!$D:$D,$A106,Transactions!$B:$B,"Buy to close")-SUMIFS(Transactions!$E:$E,Transactions!$D:$D,$A106,Transactions!$B:$B,"Expired")-SUMIFS(Transactions!$E:$E,Transactions!$D:$D,$A106,Transactions!$B:$B,"Assigned"))</f>
        <v/>
      </c>
      <c r="E106" s="27" t="str">
        <f aca="false">IF($A106="","",IFERROR(SUMIFS(Transactions!$F:$F,Transactions!$D:$D,$A106,Transactions!$B:$B,"Sell call")/COUNTIFS(Transactions!$D:$D,$A106,Transactions!$B:$B,"Sell call"),""))</f>
        <v/>
      </c>
      <c r="F106" s="10" t="str">
        <f aca="false">IF($A106="","",IFERROR(SUMIFS(Transactions!$G:$G,Transactions!$D:$D,$A106,Transactions!$B:$B,"Sell call")/COUNTIFS(Transactions!$D:$D,$A106,Transactions!$B:$B,"Sell call"),""))</f>
        <v/>
      </c>
      <c r="G106" s="8" t="str">
        <f aca="false">IF($A106="","",-SUMIFS(Transactions!$E:$E,Transactions!$D:$D,$A106,Transactions!$B:$B,"Sell call")*100+SUMIFS(Transactions!$E:$E,Transactions!$D:$D,$A106,Transactions!$B:$B,"Sell shares"))</f>
        <v/>
      </c>
      <c r="H106" s="14" t="str">
        <f aca="false">IF($A106="","",IF(SUMIFS(Transactions!$J:$J,Transactions!$D:$D,$A106,Transactions!$B:$B,"Buy shares")&lt;&gt;0,-SUMIFS(Transactions!$J:$J,Transactions!$D:$D,$A106,Transactions!$B:$B,"Buy shares"),IFERROR(INDEX(Lots!$E:$E,MATCH($W106,Lots!$A:$A,0))*-SUMIFS(Transactions!$E:$E,Transactions!$D:$D,$A106,Transactions!$B:$B,"Sell call")*100,0)))</f>
        <v/>
      </c>
      <c r="I106" s="14" t="str">
        <f aca="false">IF($A106="","",SUMIFS(Transactions!$J:$J,Transactions!$D:$D,$A106,Transactions!$B:$B,"Sell call"))</f>
        <v/>
      </c>
      <c r="J106" s="14" t="str">
        <f aca="false">IF($A106="","",-SUMIFS(Transactions!$J:$J,Transactions!$D:$D,$A106,Transactions!$B:$B,"Buy to close"))</f>
        <v/>
      </c>
      <c r="K106" s="23"/>
      <c r="L106" s="23"/>
      <c r="M106" s="23"/>
      <c r="N106" s="21"/>
      <c r="O106" s="28"/>
      <c r="P106" s="14" t="str">
        <f aca="false">IF(OR(C106&lt;&gt;"Open",L106=""),"",L106*100*D106)</f>
        <v/>
      </c>
      <c r="Q106" s="14" t="str">
        <f aca="false">IF(OR(C106&lt;&gt;"Open",P106=""),"",I106-J106-P106)</f>
        <v/>
      </c>
      <c r="R106" s="14" t="str">
        <f aca="false">IF(OR(C106&lt;&gt;"Open",K106=""),"",K106*G106)</f>
        <v/>
      </c>
      <c r="S106" s="14" t="str">
        <f aca="false">IF(OR(R106="",Q106=""),"",R106-H106+Q106)</f>
        <v/>
      </c>
      <c r="T106" s="13" t="str">
        <f aca="false">IF(OR(R106="",Q106="",N(H106)=0),"",(R106+Q106)/H106)</f>
        <v/>
      </c>
      <c r="U106" s="10" t="str">
        <f aca="false">IF(C106&lt;&gt;"Closed","",_xlfn.MAXIFS(Transactions!$A:$A,Transactions!$D:$D,$A106))</f>
        <v/>
      </c>
      <c r="V106" s="14" t="str">
        <f aca="false">IF(C106&lt;&gt;"Closed","",I106-J106)</f>
        <v/>
      </c>
      <c r="W106" s="8" t="str">
        <f aca="false">IF($A106="","",IFERROR(INDEX(Transactions!$O:$O,MATCH($A106,Transactions!$D:$D,0)),""))</f>
        <v/>
      </c>
    </row>
    <row r="107" customFormat="false" ht="15" hidden="false" customHeight="false" outlineLevel="0" collapsed="false">
      <c r="A107" s="21"/>
      <c r="B107" s="8" t="str">
        <f aca="false">IF($A107="","",IFERROR(INDEX(Transactions!$C:$C,MATCH($A107,Transactions!$D:$D,0)),""))</f>
        <v/>
      </c>
      <c r="C107" s="8" t="str">
        <f aca="false">IF($A107="","",IF(D107&gt;0,"Open","Closed"))</f>
        <v/>
      </c>
      <c r="D107" s="8" t="str">
        <f aca="false">IF($A107="","",-SUMIFS(Transactions!$E:$E,Transactions!$D:$D,$A107,Transactions!$B:$B,"Sell call")-SUMIFS(Transactions!$E:$E,Transactions!$D:$D,$A107,Transactions!$B:$B,"Buy to close")-SUMIFS(Transactions!$E:$E,Transactions!$D:$D,$A107,Transactions!$B:$B,"Expired")-SUMIFS(Transactions!$E:$E,Transactions!$D:$D,$A107,Transactions!$B:$B,"Assigned"))</f>
        <v/>
      </c>
      <c r="E107" s="27" t="str">
        <f aca="false">IF($A107="","",IFERROR(SUMIFS(Transactions!$F:$F,Transactions!$D:$D,$A107,Transactions!$B:$B,"Sell call")/COUNTIFS(Transactions!$D:$D,$A107,Transactions!$B:$B,"Sell call"),""))</f>
        <v/>
      </c>
      <c r="F107" s="10" t="str">
        <f aca="false">IF($A107="","",IFERROR(SUMIFS(Transactions!$G:$G,Transactions!$D:$D,$A107,Transactions!$B:$B,"Sell call")/COUNTIFS(Transactions!$D:$D,$A107,Transactions!$B:$B,"Sell call"),""))</f>
        <v/>
      </c>
      <c r="G107" s="8" t="str">
        <f aca="false">IF($A107="","",-SUMIFS(Transactions!$E:$E,Transactions!$D:$D,$A107,Transactions!$B:$B,"Sell call")*100+SUMIFS(Transactions!$E:$E,Transactions!$D:$D,$A107,Transactions!$B:$B,"Sell shares"))</f>
        <v/>
      </c>
      <c r="H107" s="14" t="str">
        <f aca="false">IF($A107="","",IF(SUMIFS(Transactions!$J:$J,Transactions!$D:$D,$A107,Transactions!$B:$B,"Buy shares")&lt;&gt;0,-SUMIFS(Transactions!$J:$J,Transactions!$D:$D,$A107,Transactions!$B:$B,"Buy shares"),IFERROR(INDEX(Lots!$E:$E,MATCH($W107,Lots!$A:$A,0))*-SUMIFS(Transactions!$E:$E,Transactions!$D:$D,$A107,Transactions!$B:$B,"Sell call")*100,0)))</f>
        <v/>
      </c>
      <c r="I107" s="14" t="str">
        <f aca="false">IF($A107="","",SUMIFS(Transactions!$J:$J,Transactions!$D:$D,$A107,Transactions!$B:$B,"Sell call"))</f>
        <v/>
      </c>
      <c r="J107" s="14" t="str">
        <f aca="false">IF($A107="","",-SUMIFS(Transactions!$J:$J,Transactions!$D:$D,$A107,Transactions!$B:$B,"Buy to close"))</f>
        <v/>
      </c>
      <c r="K107" s="23"/>
      <c r="L107" s="23"/>
      <c r="M107" s="23"/>
      <c r="N107" s="21"/>
      <c r="O107" s="28"/>
      <c r="P107" s="14" t="str">
        <f aca="false">IF(OR(C107&lt;&gt;"Open",L107=""),"",L107*100*D107)</f>
        <v/>
      </c>
      <c r="Q107" s="14" t="str">
        <f aca="false">IF(OR(C107&lt;&gt;"Open",P107=""),"",I107-J107-P107)</f>
        <v/>
      </c>
      <c r="R107" s="14" t="str">
        <f aca="false">IF(OR(C107&lt;&gt;"Open",K107=""),"",K107*G107)</f>
        <v/>
      </c>
      <c r="S107" s="14" t="str">
        <f aca="false">IF(OR(R107="",Q107=""),"",R107-H107+Q107)</f>
        <v/>
      </c>
      <c r="T107" s="13" t="str">
        <f aca="false">IF(OR(R107="",Q107="",N(H107)=0),"",(R107+Q107)/H107)</f>
        <v/>
      </c>
      <c r="U107" s="10" t="str">
        <f aca="false">IF(C107&lt;&gt;"Closed","",_xlfn.MAXIFS(Transactions!$A:$A,Transactions!$D:$D,$A107))</f>
        <v/>
      </c>
      <c r="V107" s="14" t="str">
        <f aca="false">IF(C107&lt;&gt;"Closed","",I107-J107)</f>
        <v/>
      </c>
      <c r="W107" s="8" t="str">
        <f aca="false">IF($A107="","",IFERROR(INDEX(Transactions!$O:$O,MATCH($A107,Transactions!$D:$D,0)),""))</f>
        <v/>
      </c>
    </row>
    <row r="108" customFormat="false" ht="15" hidden="false" customHeight="false" outlineLevel="0" collapsed="false">
      <c r="A108" s="21"/>
      <c r="B108" s="8" t="str">
        <f aca="false">IF($A108="","",IFERROR(INDEX(Transactions!$C:$C,MATCH($A108,Transactions!$D:$D,0)),""))</f>
        <v/>
      </c>
      <c r="C108" s="8" t="str">
        <f aca="false">IF($A108="","",IF(D108&gt;0,"Open","Closed"))</f>
        <v/>
      </c>
      <c r="D108" s="8" t="str">
        <f aca="false">IF($A108="","",-SUMIFS(Transactions!$E:$E,Transactions!$D:$D,$A108,Transactions!$B:$B,"Sell call")-SUMIFS(Transactions!$E:$E,Transactions!$D:$D,$A108,Transactions!$B:$B,"Buy to close")-SUMIFS(Transactions!$E:$E,Transactions!$D:$D,$A108,Transactions!$B:$B,"Expired")-SUMIFS(Transactions!$E:$E,Transactions!$D:$D,$A108,Transactions!$B:$B,"Assigned"))</f>
        <v/>
      </c>
      <c r="E108" s="27" t="str">
        <f aca="false">IF($A108="","",IFERROR(SUMIFS(Transactions!$F:$F,Transactions!$D:$D,$A108,Transactions!$B:$B,"Sell call")/COUNTIFS(Transactions!$D:$D,$A108,Transactions!$B:$B,"Sell call"),""))</f>
        <v/>
      </c>
      <c r="F108" s="10" t="str">
        <f aca="false">IF($A108="","",IFERROR(SUMIFS(Transactions!$G:$G,Transactions!$D:$D,$A108,Transactions!$B:$B,"Sell call")/COUNTIFS(Transactions!$D:$D,$A108,Transactions!$B:$B,"Sell call"),""))</f>
        <v/>
      </c>
      <c r="G108" s="8" t="str">
        <f aca="false">IF($A108="","",-SUMIFS(Transactions!$E:$E,Transactions!$D:$D,$A108,Transactions!$B:$B,"Sell call")*100+SUMIFS(Transactions!$E:$E,Transactions!$D:$D,$A108,Transactions!$B:$B,"Sell shares"))</f>
        <v/>
      </c>
      <c r="H108" s="14" t="str">
        <f aca="false">IF($A108="","",IF(SUMIFS(Transactions!$J:$J,Transactions!$D:$D,$A108,Transactions!$B:$B,"Buy shares")&lt;&gt;0,-SUMIFS(Transactions!$J:$J,Transactions!$D:$D,$A108,Transactions!$B:$B,"Buy shares"),IFERROR(INDEX(Lots!$E:$E,MATCH($W108,Lots!$A:$A,0))*-SUMIFS(Transactions!$E:$E,Transactions!$D:$D,$A108,Transactions!$B:$B,"Sell call")*100,0)))</f>
        <v/>
      </c>
      <c r="I108" s="14" t="str">
        <f aca="false">IF($A108="","",SUMIFS(Transactions!$J:$J,Transactions!$D:$D,$A108,Transactions!$B:$B,"Sell call"))</f>
        <v/>
      </c>
      <c r="J108" s="14" t="str">
        <f aca="false">IF($A108="","",-SUMIFS(Transactions!$J:$J,Transactions!$D:$D,$A108,Transactions!$B:$B,"Buy to close"))</f>
        <v/>
      </c>
      <c r="K108" s="23"/>
      <c r="L108" s="23"/>
      <c r="M108" s="23"/>
      <c r="N108" s="21"/>
      <c r="O108" s="28"/>
      <c r="P108" s="14" t="str">
        <f aca="false">IF(OR(C108&lt;&gt;"Open",L108=""),"",L108*100*D108)</f>
        <v/>
      </c>
      <c r="Q108" s="14" t="str">
        <f aca="false">IF(OR(C108&lt;&gt;"Open",P108=""),"",I108-J108-P108)</f>
        <v/>
      </c>
      <c r="R108" s="14" t="str">
        <f aca="false">IF(OR(C108&lt;&gt;"Open",K108=""),"",K108*G108)</f>
        <v/>
      </c>
      <c r="S108" s="14" t="str">
        <f aca="false">IF(OR(R108="",Q108=""),"",R108-H108+Q108)</f>
        <v/>
      </c>
      <c r="T108" s="13" t="str">
        <f aca="false">IF(OR(R108="",Q108="",N(H108)=0),"",(R108+Q108)/H108)</f>
        <v/>
      </c>
      <c r="U108" s="10" t="str">
        <f aca="false">IF(C108&lt;&gt;"Closed","",_xlfn.MAXIFS(Transactions!$A:$A,Transactions!$D:$D,$A108))</f>
        <v/>
      </c>
      <c r="V108" s="14" t="str">
        <f aca="false">IF(C108&lt;&gt;"Closed","",I108-J108)</f>
        <v/>
      </c>
      <c r="W108" s="8" t="str">
        <f aca="false">IF($A108="","",IFERROR(INDEX(Transactions!$O:$O,MATCH($A108,Transactions!$D:$D,0)),""))</f>
        <v/>
      </c>
    </row>
    <row r="109" customFormat="false" ht="15" hidden="false" customHeight="false" outlineLevel="0" collapsed="false">
      <c r="A109" s="21"/>
      <c r="B109" s="8" t="str">
        <f aca="false">IF($A109="","",IFERROR(INDEX(Transactions!$C:$C,MATCH($A109,Transactions!$D:$D,0)),""))</f>
        <v/>
      </c>
      <c r="C109" s="8" t="str">
        <f aca="false">IF($A109="","",IF(D109&gt;0,"Open","Closed"))</f>
        <v/>
      </c>
      <c r="D109" s="8" t="str">
        <f aca="false">IF($A109="","",-SUMIFS(Transactions!$E:$E,Transactions!$D:$D,$A109,Transactions!$B:$B,"Sell call")-SUMIFS(Transactions!$E:$E,Transactions!$D:$D,$A109,Transactions!$B:$B,"Buy to close")-SUMIFS(Transactions!$E:$E,Transactions!$D:$D,$A109,Transactions!$B:$B,"Expired")-SUMIFS(Transactions!$E:$E,Transactions!$D:$D,$A109,Transactions!$B:$B,"Assigned"))</f>
        <v/>
      </c>
      <c r="E109" s="27" t="str">
        <f aca="false">IF($A109="","",IFERROR(SUMIFS(Transactions!$F:$F,Transactions!$D:$D,$A109,Transactions!$B:$B,"Sell call")/COUNTIFS(Transactions!$D:$D,$A109,Transactions!$B:$B,"Sell call"),""))</f>
        <v/>
      </c>
      <c r="F109" s="10" t="str">
        <f aca="false">IF($A109="","",IFERROR(SUMIFS(Transactions!$G:$G,Transactions!$D:$D,$A109,Transactions!$B:$B,"Sell call")/COUNTIFS(Transactions!$D:$D,$A109,Transactions!$B:$B,"Sell call"),""))</f>
        <v/>
      </c>
      <c r="G109" s="8" t="str">
        <f aca="false">IF($A109="","",-SUMIFS(Transactions!$E:$E,Transactions!$D:$D,$A109,Transactions!$B:$B,"Sell call")*100+SUMIFS(Transactions!$E:$E,Transactions!$D:$D,$A109,Transactions!$B:$B,"Sell shares"))</f>
        <v/>
      </c>
      <c r="H109" s="14" t="str">
        <f aca="false">IF($A109="","",IF(SUMIFS(Transactions!$J:$J,Transactions!$D:$D,$A109,Transactions!$B:$B,"Buy shares")&lt;&gt;0,-SUMIFS(Transactions!$J:$J,Transactions!$D:$D,$A109,Transactions!$B:$B,"Buy shares"),IFERROR(INDEX(Lots!$E:$E,MATCH($W109,Lots!$A:$A,0))*-SUMIFS(Transactions!$E:$E,Transactions!$D:$D,$A109,Transactions!$B:$B,"Sell call")*100,0)))</f>
        <v/>
      </c>
      <c r="I109" s="14" t="str">
        <f aca="false">IF($A109="","",SUMIFS(Transactions!$J:$J,Transactions!$D:$D,$A109,Transactions!$B:$B,"Sell call"))</f>
        <v/>
      </c>
      <c r="J109" s="14" t="str">
        <f aca="false">IF($A109="","",-SUMIFS(Transactions!$J:$J,Transactions!$D:$D,$A109,Transactions!$B:$B,"Buy to close"))</f>
        <v/>
      </c>
      <c r="K109" s="23"/>
      <c r="L109" s="23"/>
      <c r="M109" s="23"/>
      <c r="N109" s="21"/>
      <c r="O109" s="28"/>
      <c r="P109" s="14" t="str">
        <f aca="false">IF(OR(C109&lt;&gt;"Open",L109=""),"",L109*100*D109)</f>
        <v/>
      </c>
      <c r="Q109" s="14" t="str">
        <f aca="false">IF(OR(C109&lt;&gt;"Open",P109=""),"",I109-J109-P109)</f>
        <v/>
      </c>
      <c r="R109" s="14" t="str">
        <f aca="false">IF(OR(C109&lt;&gt;"Open",K109=""),"",K109*G109)</f>
        <v/>
      </c>
      <c r="S109" s="14" t="str">
        <f aca="false">IF(OR(R109="",Q109=""),"",R109-H109+Q109)</f>
        <v/>
      </c>
      <c r="T109" s="13" t="str">
        <f aca="false">IF(OR(R109="",Q109="",N(H109)=0),"",(R109+Q109)/H109)</f>
        <v/>
      </c>
      <c r="U109" s="10" t="str">
        <f aca="false">IF(C109&lt;&gt;"Closed","",_xlfn.MAXIFS(Transactions!$A:$A,Transactions!$D:$D,$A109))</f>
        <v/>
      </c>
      <c r="V109" s="14" t="str">
        <f aca="false">IF(C109&lt;&gt;"Closed","",I109-J109)</f>
        <v/>
      </c>
      <c r="W109" s="8" t="str">
        <f aca="false">IF($A109="","",IFERROR(INDEX(Transactions!$O:$O,MATCH($A109,Transactions!$D:$D,0)),""))</f>
        <v/>
      </c>
    </row>
    <row r="110" customFormat="false" ht="15" hidden="false" customHeight="false" outlineLevel="0" collapsed="false">
      <c r="A110" s="21"/>
      <c r="B110" s="8" t="str">
        <f aca="false">IF($A110="","",IFERROR(INDEX(Transactions!$C:$C,MATCH($A110,Transactions!$D:$D,0)),""))</f>
        <v/>
      </c>
      <c r="C110" s="8" t="str">
        <f aca="false">IF($A110="","",IF(D110&gt;0,"Open","Closed"))</f>
        <v/>
      </c>
      <c r="D110" s="8" t="str">
        <f aca="false">IF($A110="","",-SUMIFS(Transactions!$E:$E,Transactions!$D:$D,$A110,Transactions!$B:$B,"Sell call")-SUMIFS(Transactions!$E:$E,Transactions!$D:$D,$A110,Transactions!$B:$B,"Buy to close")-SUMIFS(Transactions!$E:$E,Transactions!$D:$D,$A110,Transactions!$B:$B,"Expired")-SUMIFS(Transactions!$E:$E,Transactions!$D:$D,$A110,Transactions!$B:$B,"Assigned"))</f>
        <v/>
      </c>
      <c r="E110" s="27" t="str">
        <f aca="false">IF($A110="","",IFERROR(SUMIFS(Transactions!$F:$F,Transactions!$D:$D,$A110,Transactions!$B:$B,"Sell call")/COUNTIFS(Transactions!$D:$D,$A110,Transactions!$B:$B,"Sell call"),""))</f>
        <v/>
      </c>
      <c r="F110" s="10" t="str">
        <f aca="false">IF($A110="","",IFERROR(SUMIFS(Transactions!$G:$G,Transactions!$D:$D,$A110,Transactions!$B:$B,"Sell call")/COUNTIFS(Transactions!$D:$D,$A110,Transactions!$B:$B,"Sell call"),""))</f>
        <v/>
      </c>
      <c r="G110" s="8" t="str">
        <f aca="false">IF($A110="","",-SUMIFS(Transactions!$E:$E,Transactions!$D:$D,$A110,Transactions!$B:$B,"Sell call")*100+SUMIFS(Transactions!$E:$E,Transactions!$D:$D,$A110,Transactions!$B:$B,"Sell shares"))</f>
        <v/>
      </c>
      <c r="H110" s="14" t="str">
        <f aca="false">IF($A110="","",IF(SUMIFS(Transactions!$J:$J,Transactions!$D:$D,$A110,Transactions!$B:$B,"Buy shares")&lt;&gt;0,-SUMIFS(Transactions!$J:$J,Transactions!$D:$D,$A110,Transactions!$B:$B,"Buy shares"),IFERROR(INDEX(Lots!$E:$E,MATCH($W110,Lots!$A:$A,0))*-SUMIFS(Transactions!$E:$E,Transactions!$D:$D,$A110,Transactions!$B:$B,"Sell call")*100,0)))</f>
        <v/>
      </c>
      <c r="I110" s="14" t="str">
        <f aca="false">IF($A110="","",SUMIFS(Transactions!$J:$J,Transactions!$D:$D,$A110,Transactions!$B:$B,"Sell call"))</f>
        <v/>
      </c>
      <c r="J110" s="14" t="str">
        <f aca="false">IF($A110="","",-SUMIFS(Transactions!$J:$J,Transactions!$D:$D,$A110,Transactions!$B:$B,"Buy to close"))</f>
        <v/>
      </c>
      <c r="K110" s="23"/>
      <c r="L110" s="23"/>
      <c r="M110" s="23"/>
      <c r="N110" s="21"/>
      <c r="O110" s="28"/>
      <c r="P110" s="14" t="str">
        <f aca="false">IF(OR(C110&lt;&gt;"Open",L110=""),"",L110*100*D110)</f>
        <v/>
      </c>
      <c r="Q110" s="14" t="str">
        <f aca="false">IF(OR(C110&lt;&gt;"Open",P110=""),"",I110-J110-P110)</f>
        <v/>
      </c>
      <c r="R110" s="14" t="str">
        <f aca="false">IF(OR(C110&lt;&gt;"Open",K110=""),"",K110*G110)</f>
        <v/>
      </c>
      <c r="S110" s="14" t="str">
        <f aca="false">IF(OR(R110="",Q110=""),"",R110-H110+Q110)</f>
        <v/>
      </c>
      <c r="T110" s="13" t="str">
        <f aca="false">IF(OR(R110="",Q110="",N(H110)=0),"",(R110+Q110)/H110)</f>
        <v/>
      </c>
      <c r="U110" s="10" t="str">
        <f aca="false">IF(C110&lt;&gt;"Closed","",_xlfn.MAXIFS(Transactions!$A:$A,Transactions!$D:$D,$A110))</f>
        <v/>
      </c>
      <c r="V110" s="14" t="str">
        <f aca="false">IF(C110&lt;&gt;"Closed","",I110-J110)</f>
        <v/>
      </c>
      <c r="W110" s="8" t="str">
        <f aca="false">IF($A110="","",IFERROR(INDEX(Transactions!$O:$O,MATCH($A110,Transactions!$D:$D,0)),""))</f>
        <v/>
      </c>
    </row>
    <row r="111" customFormat="false" ht="15" hidden="false" customHeight="false" outlineLevel="0" collapsed="false">
      <c r="A111" s="21"/>
      <c r="B111" s="8" t="str">
        <f aca="false">IF($A111="","",IFERROR(INDEX(Transactions!$C:$C,MATCH($A111,Transactions!$D:$D,0)),""))</f>
        <v/>
      </c>
      <c r="C111" s="8" t="str">
        <f aca="false">IF($A111="","",IF(D111&gt;0,"Open","Closed"))</f>
        <v/>
      </c>
      <c r="D111" s="8" t="str">
        <f aca="false">IF($A111="","",-SUMIFS(Transactions!$E:$E,Transactions!$D:$D,$A111,Transactions!$B:$B,"Sell call")-SUMIFS(Transactions!$E:$E,Transactions!$D:$D,$A111,Transactions!$B:$B,"Buy to close")-SUMIFS(Transactions!$E:$E,Transactions!$D:$D,$A111,Transactions!$B:$B,"Expired")-SUMIFS(Transactions!$E:$E,Transactions!$D:$D,$A111,Transactions!$B:$B,"Assigned"))</f>
        <v/>
      </c>
      <c r="E111" s="27" t="str">
        <f aca="false">IF($A111="","",IFERROR(SUMIFS(Transactions!$F:$F,Transactions!$D:$D,$A111,Transactions!$B:$B,"Sell call")/COUNTIFS(Transactions!$D:$D,$A111,Transactions!$B:$B,"Sell call"),""))</f>
        <v/>
      </c>
      <c r="F111" s="10" t="str">
        <f aca="false">IF($A111="","",IFERROR(SUMIFS(Transactions!$G:$G,Transactions!$D:$D,$A111,Transactions!$B:$B,"Sell call")/COUNTIFS(Transactions!$D:$D,$A111,Transactions!$B:$B,"Sell call"),""))</f>
        <v/>
      </c>
      <c r="G111" s="8" t="str">
        <f aca="false">IF($A111="","",-SUMIFS(Transactions!$E:$E,Transactions!$D:$D,$A111,Transactions!$B:$B,"Sell call")*100+SUMIFS(Transactions!$E:$E,Transactions!$D:$D,$A111,Transactions!$B:$B,"Sell shares"))</f>
        <v/>
      </c>
      <c r="H111" s="14" t="str">
        <f aca="false">IF($A111="","",IF(SUMIFS(Transactions!$J:$J,Transactions!$D:$D,$A111,Transactions!$B:$B,"Buy shares")&lt;&gt;0,-SUMIFS(Transactions!$J:$J,Transactions!$D:$D,$A111,Transactions!$B:$B,"Buy shares"),IFERROR(INDEX(Lots!$E:$E,MATCH($W111,Lots!$A:$A,0))*-SUMIFS(Transactions!$E:$E,Transactions!$D:$D,$A111,Transactions!$B:$B,"Sell call")*100,0)))</f>
        <v/>
      </c>
      <c r="I111" s="14" t="str">
        <f aca="false">IF($A111="","",SUMIFS(Transactions!$J:$J,Transactions!$D:$D,$A111,Transactions!$B:$B,"Sell call"))</f>
        <v/>
      </c>
      <c r="J111" s="14" t="str">
        <f aca="false">IF($A111="","",-SUMIFS(Transactions!$J:$J,Transactions!$D:$D,$A111,Transactions!$B:$B,"Buy to close"))</f>
        <v/>
      </c>
      <c r="K111" s="23"/>
      <c r="L111" s="23"/>
      <c r="M111" s="23"/>
      <c r="N111" s="21"/>
      <c r="O111" s="28"/>
      <c r="P111" s="14" t="str">
        <f aca="false">IF(OR(C111&lt;&gt;"Open",L111=""),"",L111*100*D111)</f>
        <v/>
      </c>
      <c r="Q111" s="14" t="str">
        <f aca="false">IF(OR(C111&lt;&gt;"Open",P111=""),"",I111-J111-P111)</f>
        <v/>
      </c>
      <c r="R111" s="14" t="str">
        <f aca="false">IF(OR(C111&lt;&gt;"Open",K111=""),"",K111*G111)</f>
        <v/>
      </c>
      <c r="S111" s="14" t="str">
        <f aca="false">IF(OR(R111="",Q111=""),"",R111-H111+Q111)</f>
        <v/>
      </c>
      <c r="T111" s="13" t="str">
        <f aca="false">IF(OR(R111="",Q111="",N(H111)=0),"",(R111+Q111)/H111)</f>
        <v/>
      </c>
      <c r="U111" s="10" t="str">
        <f aca="false">IF(C111&lt;&gt;"Closed","",_xlfn.MAXIFS(Transactions!$A:$A,Transactions!$D:$D,$A111))</f>
        <v/>
      </c>
      <c r="V111" s="14" t="str">
        <f aca="false">IF(C111&lt;&gt;"Closed","",I111-J111)</f>
        <v/>
      </c>
      <c r="W111" s="8" t="str">
        <f aca="false">IF($A111="","",IFERROR(INDEX(Transactions!$O:$O,MATCH($A111,Transactions!$D:$D,0)),""))</f>
        <v/>
      </c>
    </row>
    <row r="112" customFormat="false" ht="15" hidden="false" customHeight="false" outlineLevel="0" collapsed="false">
      <c r="A112" s="21"/>
      <c r="B112" s="8" t="str">
        <f aca="false">IF($A112="","",IFERROR(INDEX(Transactions!$C:$C,MATCH($A112,Transactions!$D:$D,0)),""))</f>
        <v/>
      </c>
      <c r="C112" s="8" t="str">
        <f aca="false">IF($A112="","",IF(D112&gt;0,"Open","Closed"))</f>
        <v/>
      </c>
      <c r="D112" s="8" t="str">
        <f aca="false">IF($A112="","",-SUMIFS(Transactions!$E:$E,Transactions!$D:$D,$A112,Transactions!$B:$B,"Sell call")-SUMIFS(Transactions!$E:$E,Transactions!$D:$D,$A112,Transactions!$B:$B,"Buy to close")-SUMIFS(Transactions!$E:$E,Transactions!$D:$D,$A112,Transactions!$B:$B,"Expired")-SUMIFS(Transactions!$E:$E,Transactions!$D:$D,$A112,Transactions!$B:$B,"Assigned"))</f>
        <v/>
      </c>
      <c r="E112" s="27" t="str">
        <f aca="false">IF($A112="","",IFERROR(SUMIFS(Transactions!$F:$F,Transactions!$D:$D,$A112,Transactions!$B:$B,"Sell call")/COUNTIFS(Transactions!$D:$D,$A112,Transactions!$B:$B,"Sell call"),""))</f>
        <v/>
      </c>
      <c r="F112" s="10" t="str">
        <f aca="false">IF($A112="","",IFERROR(SUMIFS(Transactions!$G:$G,Transactions!$D:$D,$A112,Transactions!$B:$B,"Sell call")/COUNTIFS(Transactions!$D:$D,$A112,Transactions!$B:$B,"Sell call"),""))</f>
        <v/>
      </c>
      <c r="G112" s="8" t="str">
        <f aca="false">IF($A112="","",-SUMIFS(Transactions!$E:$E,Transactions!$D:$D,$A112,Transactions!$B:$B,"Sell call")*100+SUMIFS(Transactions!$E:$E,Transactions!$D:$D,$A112,Transactions!$B:$B,"Sell shares"))</f>
        <v/>
      </c>
      <c r="H112" s="14" t="str">
        <f aca="false">IF($A112="","",IF(SUMIFS(Transactions!$J:$J,Transactions!$D:$D,$A112,Transactions!$B:$B,"Buy shares")&lt;&gt;0,-SUMIFS(Transactions!$J:$J,Transactions!$D:$D,$A112,Transactions!$B:$B,"Buy shares"),IFERROR(INDEX(Lots!$E:$E,MATCH($W112,Lots!$A:$A,0))*-SUMIFS(Transactions!$E:$E,Transactions!$D:$D,$A112,Transactions!$B:$B,"Sell call")*100,0)))</f>
        <v/>
      </c>
      <c r="I112" s="14" t="str">
        <f aca="false">IF($A112="","",SUMIFS(Transactions!$J:$J,Transactions!$D:$D,$A112,Transactions!$B:$B,"Sell call"))</f>
        <v/>
      </c>
      <c r="J112" s="14" t="str">
        <f aca="false">IF($A112="","",-SUMIFS(Transactions!$J:$J,Transactions!$D:$D,$A112,Transactions!$B:$B,"Buy to close"))</f>
        <v/>
      </c>
      <c r="K112" s="23"/>
      <c r="L112" s="23"/>
      <c r="M112" s="23"/>
      <c r="N112" s="21"/>
      <c r="O112" s="28"/>
      <c r="P112" s="14" t="str">
        <f aca="false">IF(OR(C112&lt;&gt;"Open",L112=""),"",L112*100*D112)</f>
        <v/>
      </c>
      <c r="Q112" s="14" t="str">
        <f aca="false">IF(OR(C112&lt;&gt;"Open",P112=""),"",I112-J112-P112)</f>
        <v/>
      </c>
      <c r="R112" s="14" t="str">
        <f aca="false">IF(OR(C112&lt;&gt;"Open",K112=""),"",K112*G112)</f>
        <v/>
      </c>
      <c r="S112" s="14" t="str">
        <f aca="false">IF(OR(R112="",Q112=""),"",R112-H112+Q112)</f>
        <v/>
      </c>
      <c r="T112" s="13" t="str">
        <f aca="false">IF(OR(R112="",Q112="",N(H112)=0),"",(R112+Q112)/H112)</f>
        <v/>
      </c>
      <c r="U112" s="10" t="str">
        <f aca="false">IF(C112&lt;&gt;"Closed","",_xlfn.MAXIFS(Transactions!$A:$A,Transactions!$D:$D,$A112))</f>
        <v/>
      </c>
      <c r="V112" s="14" t="str">
        <f aca="false">IF(C112&lt;&gt;"Closed","",I112-J112)</f>
        <v/>
      </c>
      <c r="W112" s="8" t="str">
        <f aca="false">IF($A112="","",IFERROR(INDEX(Transactions!$O:$O,MATCH($A112,Transactions!$D:$D,0)),""))</f>
        <v/>
      </c>
    </row>
    <row r="113" customFormat="false" ht="15" hidden="false" customHeight="false" outlineLevel="0" collapsed="false">
      <c r="A113" s="21"/>
      <c r="B113" s="8" t="str">
        <f aca="false">IF($A113="","",IFERROR(INDEX(Transactions!$C:$C,MATCH($A113,Transactions!$D:$D,0)),""))</f>
        <v/>
      </c>
      <c r="C113" s="8" t="str">
        <f aca="false">IF($A113="","",IF(D113&gt;0,"Open","Closed"))</f>
        <v/>
      </c>
      <c r="D113" s="8" t="str">
        <f aca="false">IF($A113="","",-SUMIFS(Transactions!$E:$E,Transactions!$D:$D,$A113,Transactions!$B:$B,"Sell call")-SUMIFS(Transactions!$E:$E,Transactions!$D:$D,$A113,Transactions!$B:$B,"Buy to close")-SUMIFS(Transactions!$E:$E,Transactions!$D:$D,$A113,Transactions!$B:$B,"Expired")-SUMIFS(Transactions!$E:$E,Transactions!$D:$D,$A113,Transactions!$B:$B,"Assigned"))</f>
        <v/>
      </c>
      <c r="E113" s="27" t="str">
        <f aca="false">IF($A113="","",IFERROR(SUMIFS(Transactions!$F:$F,Transactions!$D:$D,$A113,Transactions!$B:$B,"Sell call")/COUNTIFS(Transactions!$D:$D,$A113,Transactions!$B:$B,"Sell call"),""))</f>
        <v/>
      </c>
      <c r="F113" s="10" t="str">
        <f aca="false">IF($A113="","",IFERROR(SUMIFS(Transactions!$G:$G,Transactions!$D:$D,$A113,Transactions!$B:$B,"Sell call")/COUNTIFS(Transactions!$D:$D,$A113,Transactions!$B:$B,"Sell call"),""))</f>
        <v/>
      </c>
      <c r="G113" s="8" t="str">
        <f aca="false">IF($A113="","",-SUMIFS(Transactions!$E:$E,Transactions!$D:$D,$A113,Transactions!$B:$B,"Sell call")*100+SUMIFS(Transactions!$E:$E,Transactions!$D:$D,$A113,Transactions!$B:$B,"Sell shares"))</f>
        <v/>
      </c>
      <c r="H113" s="14" t="str">
        <f aca="false">IF($A113="","",IF(SUMIFS(Transactions!$J:$J,Transactions!$D:$D,$A113,Transactions!$B:$B,"Buy shares")&lt;&gt;0,-SUMIFS(Transactions!$J:$J,Transactions!$D:$D,$A113,Transactions!$B:$B,"Buy shares"),IFERROR(INDEX(Lots!$E:$E,MATCH($W113,Lots!$A:$A,0))*-SUMIFS(Transactions!$E:$E,Transactions!$D:$D,$A113,Transactions!$B:$B,"Sell call")*100,0)))</f>
        <v/>
      </c>
      <c r="I113" s="14" t="str">
        <f aca="false">IF($A113="","",SUMIFS(Transactions!$J:$J,Transactions!$D:$D,$A113,Transactions!$B:$B,"Sell call"))</f>
        <v/>
      </c>
      <c r="J113" s="14" t="str">
        <f aca="false">IF($A113="","",-SUMIFS(Transactions!$J:$J,Transactions!$D:$D,$A113,Transactions!$B:$B,"Buy to close"))</f>
        <v/>
      </c>
      <c r="K113" s="23"/>
      <c r="L113" s="23"/>
      <c r="M113" s="23"/>
      <c r="N113" s="21"/>
      <c r="O113" s="28"/>
      <c r="P113" s="14" t="str">
        <f aca="false">IF(OR(C113&lt;&gt;"Open",L113=""),"",L113*100*D113)</f>
        <v/>
      </c>
      <c r="Q113" s="14" t="str">
        <f aca="false">IF(OR(C113&lt;&gt;"Open",P113=""),"",I113-J113-P113)</f>
        <v/>
      </c>
      <c r="R113" s="14" t="str">
        <f aca="false">IF(OR(C113&lt;&gt;"Open",K113=""),"",K113*G113)</f>
        <v/>
      </c>
      <c r="S113" s="14" t="str">
        <f aca="false">IF(OR(R113="",Q113=""),"",R113-H113+Q113)</f>
        <v/>
      </c>
      <c r="T113" s="13" t="str">
        <f aca="false">IF(OR(R113="",Q113="",N(H113)=0),"",(R113+Q113)/H113)</f>
        <v/>
      </c>
      <c r="U113" s="10" t="str">
        <f aca="false">IF(C113&lt;&gt;"Closed","",_xlfn.MAXIFS(Transactions!$A:$A,Transactions!$D:$D,$A113))</f>
        <v/>
      </c>
      <c r="V113" s="14" t="str">
        <f aca="false">IF(C113&lt;&gt;"Closed","",I113-J113)</f>
        <v/>
      </c>
      <c r="W113" s="8" t="str">
        <f aca="false">IF($A113="","",IFERROR(INDEX(Transactions!$O:$O,MATCH($A113,Transactions!$D:$D,0)),""))</f>
        <v/>
      </c>
    </row>
    <row r="114" customFormat="false" ht="15" hidden="false" customHeight="false" outlineLevel="0" collapsed="false">
      <c r="A114" s="21"/>
      <c r="B114" s="8" t="str">
        <f aca="false">IF($A114="","",IFERROR(INDEX(Transactions!$C:$C,MATCH($A114,Transactions!$D:$D,0)),""))</f>
        <v/>
      </c>
      <c r="C114" s="8" t="str">
        <f aca="false">IF($A114="","",IF(D114&gt;0,"Open","Closed"))</f>
        <v/>
      </c>
      <c r="D114" s="8" t="str">
        <f aca="false">IF($A114="","",-SUMIFS(Transactions!$E:$E,Transactions!$D:$D,$A114,Transactions!$B:$B,"Sell call")-SUMIFS(Transactions!$E:$E,Transactions!$D:$D,$A114,Transactions!$B:$B,"Buy to close")-SUMIFS(Transactions!$E:$E,Transactions!$D:$D,$A114,Transactions!$B:$B,"Expired")-SUMIFS(Transactions!$E:$E,Transactions!$D:$D,$A114,Transactions!$B:$B,"Assigned"))</f>
        <v/>
      </c>
      <c r="E114" s="27" t="str">
        <f aca="false">IF($A114="","",IFERROR(SUMIFS(Transactions!$F:$F,Transactions!$D:$D,$A114,Transactions!$B:$B,"Sell call")/COUNTIFS(Transactions!$D:$D,$A114,Transactions!$B:$B,"Sell call"),""))</f>
        <v/>
      </c>
      <c r="F114" s="10" t="str">
        <f aca="false">IF($A114="","",IFERROR(SUMIFS(Transactions!$G:$G,Transactions!$D:$D,$A114,Transactions!$B:$B,"Sell call")/COUNTIFS(Transactions!$D:$D,$A114,Transactions!$B:$B,"Sell call"),""))</f>
        <v/>
      </c>
      <c r="G114" s="8" t="str">
        <f aca="false">IF($A114="","",-SUMIFS(Transactions!$E:$E,Transactions!$D:$D,$A114,Transactions!$B:$B,"Sell call")*100+SUMIFS(Transactions!$E:$E,Transactions!$D:$D,$A114,Transactions!$B:$B,"Sell shares"))</f>
        <v/>
      </c>
      <c r="H114" s="14" t="str">
        <f aca="false">IF($A114="","",IF(SUMIFS(Transactions!$J:$J,Transactions!$D:$D,$A114,Transactions!$B:$B,"Buy shares")&lt;&gt;0,-SUMIFS(Transactions!$J:$J,Transactions!$D:$D,$A114,Transactions!$B:$B,"Buy shares"),IFERROR(INDEX(Lots!$E:$E,MATCH($W114,Lots!$A:$A,0))*-SUMIFS(Transactions!$E:$E,Transactions!$D:$D,$A114,Transactions!$B:$B,"Sell call")*100,0)))</f>
        <v/>
      </c>
      <c r="I114" s="14" t="str">
        <f aca="false">IF($A114="","",SUMIFS(Transactions!$J:$J,Transactions!$D:$D,$A114,Transactions!$B:$B,"Sell call"))</f>
        <v/>
      </c>
      <c r="J114" s="14" t="str">
        <f aca="false">IF($A114="","",-SUMIFS(Transactions!$J:$J,Transactions!$D:$D,$A114,Transactions!$B:$B,"Buy to close"))</f>
        <v/>
      </c>
      <c r="K114" s="23"/>
      <c r="L114" s="23"/>
      <c r="M114" s="23"/>
      <c r="N114" s="21"/>
      <c r="O114" s="28"/>
      <c r="P114" s="14" t="str">
        <f aca="false">IF(OR(C114&lt;&gt;"Open",L114=""),"",L114*100*D114)</f>
        <v/>
      </c>
      <c r="Q114" s="14" t="str">
        <f aca="false">IF(OR(C114&lt;&gt;"Open",P114=""),"",I114-J114-P114)</f>
        <v/>
      </c>
      <c r="R114" s="14" t="str">
        <f aca="false">IF(OR(C114&lt;&gt;"Open",K114=""),"",K114*G114)</f>
        <v/>
      </c>
      <c r="S114" s="14" t="str">
        <f aca="false">IF(OR(R114="",Q114=""),"",R114-H114+Q114)</f>
        <v/>
      </c>
      <c r="T114" s="13" t="str">
        <f aca="false">IF(OR(R114="",Q114="",N(H114)=0),"",(R114+Q114)/H114)</f>
        <v/>
      </c>
      <c r="U114" s="10" t="str">
        <f aca="false">IF(C114&lt;&gt;"Closed","",_xlfn.MAXIFS(Transactions!$A:$A,Transactions!$D:$D,$A114))</f>
        <v/>
      </c>
      <c r="V114" s="14" t="str">
        <f aca="false">IF(C114&lt;&gt;"Closed","",I114-J114)</f>
        <v/>
      </c>
      <c r="W114" s="8" t="str">
        <f aca="false">IF($A114="","",IFERROR(INDEX(Transactions!$O:$O,MATCH($A114,Transactions!$D:$D,0)),""))</f>
        <v/>
      </c>
    </row>
    <row r="115" customFormat="false" ht="15" hidden="false" customHeight="false" outlineLevel="0" collapsed="false">
      <c r="A115" s="21"/>
      <c r="B115" s="8" t="str">
        <f aca="false">IF($A115="","",IFERROR(INDEX(Transactions!$C:$C,MATCH($A115,Transactions!$D:$D,0)),""))</f>
        <v/>
      </c>
      <c r="C115" s="8" t="str">
        <f aca="false">IF($A115="","",IF(D115&gt;0,"Open","Closed"))</f>
        <v/>
      </c>
      <c r="D115" s="8" t="str">
        <f aca="false">IF($A115="","",-SUMIFS(Transactions!$E:$E,Transactions!$D:$D,$A115,Transactions!$B:$B,"Sell call")-SUMIFS(Transactions!$E:$E,Transactions!$D:$D,$A115,Transactions!$B:$B,"Buy to close")-SUMIFS(Transactions!$E:$E,Transactions!$D:$D,$A115,Transactions!$B:$B,"Expired")-SUMIFS(Transactions!$E:$E,Transactions!$D:$D,$A115,Transactions!$B:$B,"Assigned"))</f>
        <v/>
      </c>
      <c r="E115" s="27" t="str">
        <f aca="false">IF($A115="","",IFERROR(SUMIFS(Transactions!$F:$F,Transactions!$D:$D,$A115,Transactions!$B:$B,"Sell call")/COUNTIFS(Transactions!$D:$D,$A115,Transactions!$B:$B,"Sell call"),""))</f>
        <v/>
      </c>
      <c r="F115" s="10" t="str">
        <f aca="false">IF($A115="","",IFERROR(SUMIFS(Transactions!$G:$G,Transactions!$D:$D,$A115,Transactions!$B:$B,"Sell call")/COUNTIFS(Transactions!$D:$D,$A115,Transactions!$B:$B,"Sell call"),""))</f>
        <v/>
      </c>
      <c r="G115" s="8" t="str">
        <f aca="false">IF($A115="","",-SUMIFS(Transactions!$E:$E,Transactions!$D:$D,$A115,Transactions!$B:$B,"Sell call")*100+SUMIFS(Transactions!$E:$E,Transactions!$D:$D,$A115,Transactions!$B:$B,"Sell shares"))</f>
        <v/>
      </c>
      <c r="H115" s="14" t="str">
        <f aca="false">IF($A115="","",IF(SUMIFS(Transactions!$J:$J,Transactions!$D:$D,$A115,Transactions!$B:$B,"Buy shares")&lt;&gt;0,-SUMIFS(Transactions!$J:$J,Transactions!$D:$D,$A115,Transactions!$B:$B,"Buy shares"),IFERROR(INDEX(Lots!$E:$E,MATCH($W115,Lots!$A:$A,0))*-SUMIFS(Transactions!$E:$E,Transactions!$D:$D,$A115,Transactions!$B:$B,"Sell call")*100,0)))</f>
        <v/>
      </c>
      <c r="I115" s="14" t="str">
        <f aca="false">IF($A115="","",SUMIFS(Transactions!$J:$J,Transactions!$D:$D,$A115,Transactions!$B:$B,"Sell call"))</f>
        <v/>
      </c>
      <c r="J115" s="14" t="str">
        <f aca="false">IF($A115="","",-SUMIFS(Transactions!$J:$J,Transactions!$D:$D,$A115,Transactions!$B:$B,"Buy to close"))</f>
        <v/>
      </c>
      <c r="K115" s="23"/>
      <c r="L115" s="23"/>
      <c r="M115" s="23"/>
      <c r="N115" s="21"/>
      <c r="O115" s="28"/>
      <c r="P115" s="14" t="str">
        <f aca="false">IF(OR(C115&lt;&gt;"Open",L115=""),"",L115*100*D115)</f>
        <v/>
      </c>
      <c r="Q115" s="14" t="str">
        <f aca="false">IF(OR(C115&lt;&gt;"Open",P115=""),"",I115-J115-P115)</f>
        <v/>
      </c>
      <c r="R115" s="14" t="str">
        <f aca="false">IF(OR(C115&lt;&gt;"Open",K115=""),"",K115*G115)</f>
        <v/>
      </c>
      <c r="S115" s="14" t="str">
        <f aca="false">IF(OR(R115="",Q115=""),"",R115-H115+Q115)</f>
        <v/>
      </c>
      <c r="T115" s="13" t="str">
        <f aca="false">IF(OR(R115="",Q115="",N(H115)=0),"",(R115+Q115)/H115)</f>
        <v/>
      </c>
      <c r="U115" s="10" t="str">
        <f aca="false">IF(C115&lt;&gt;"Closed","",_xlfn.MAXIFS(Transactions!$A:$A,Transactions!$D:$D,$A115))</f>
        <v/>
      </c>
      <c r="V115" s="14" t="str">
        <f aca="false">IF(C115&lt;&gt;"Closed","",I115-J115)</f>
        <v/>
      </c>
      <c r="W115" s="8" t="str">
        <f aca="false">IF($A115="","",IFERROR(INDEX(Transactions!$O:$O,MATCH($A115,Transactions!$D:$D,0)),""))</f>
        <v/>
      </c>
    </row>
    <row r="116" customFormat="false" ht="15" hidden="false" customHeight="false" outlineLevel="0" collapsed="false">
      <c r="A116" s="21"/>
      <c r="B116" s="8" t="str">
        <f aca="false">IF($A116="","",IFERROR(INDEX(Transactions!$C:$C,MATCH($A116,Transactions!$D:$D,0)),""))</f>
        <v/>
      </c>
      <c r="C116" s="8" t="str">
        <f aca="false">IF($A116="","",IF(D116&gt;0,"Open","Closed"))</f>
        <v/>
      </c>
      <c r="D116" s="8" t="str">
        <f aca="false">IF($A116="","",-SUMIFS(Transactions!$E:$E,Transactions!$D:$D,$A116,Transactions!$B:$B,"Sell call")-SUMIFS(Transactions!$E:$E,Transactions!$D:$D,$A116,Transactions!$B:$B,"Buy to close")-SUMIFS(Transactions!$E:$E,Transactions!$D:$D,$A116,Transactions!$B:$B,"Expired")-SUMIFS(Transactions!$E:$E,Transactions!$D:$D,$A116,Transactions!$B:$B,"Assigned"))</f>
        <v/>
      </c>
      <c r="E116" s="27" t="str">
        <f aca="false">IF($A116="","",IFERROR(SUMIFS(Transactions!$F:$F,Transactions!$D:$D,$A116,Transactions!$B:$B,"Sell call")/COUNTIFS(Transactions!$D:$D,$A116,Transactions!$B:$B,"Sell call"),""))</f>
        <v/>
      </c>
      <c r="F116" s="10" t="str">
        <f aca="false">IF($A116="","",IFERROR(SUMIFS(Transactions!$G:$G,Transactions!$D:$D,$A116,Transactions!$B:$B,"Sell call")/COUNTIFS(Transactions!$D:$D,$A116,Transactions!$B:$B,"Sell call"),""))</f>
        <v/>
      </c>
      <c r="G116" s="8" t="str">
        <f aca="false">IF($A116="","",-SUMIFS(Transactions!$E:$E,Transactions!$D:$D,$A116,Transactions!$B:$B,"Sell call")*100+SUMIFS(Transactions!$E:$E,Transactions!$D:$D,$A116,Transactions!$B:$B,"Sell shares"))</f>
        <v/>
      </c>
      <c r="H116" s="14" t="str">
        <f aca="false">IF($A116="","",IF(SUMIFS(Transactions!$J:$J,Transactions!$D:$D,$A116,Transactions!$B:$B,"Buy shares")&lt;&gt;0,-SUMIFS(Transactions!$J:$J,Transactions!$D:$D,$A116,Transactions!$B:$B,"Buy shares"),IFERROR(INDEX(Lots!$E:$E,MATCH($W116,Lots!$A:$A,0))*-SUMIFS(Transactions!$E:$E,Transactions!$D:$D,$A116,Transactions!$B:$B,"Sell call")*100,0)))</f>
        <v/>
      </c>
      <c r="I116" s="14" t="str">
        <f aca="false">IF($A116="","",SUMIFS(Transactions!$J:$J,Transactions!$D:$D,$A116,Transactions!$B:$B,"Sell call"))</f>
        <v/>
      </c>
      <c r="J116" s="14" t="str">
        <f aca="false">IF($A116="","",-SUMIFS(Transactions!$J:$J,Transactions!$D:$D,$A116,Transactions!$B:$B,"Buy to close"))</f>
        <v/>
      </c>
      <c r="K116" s="23"/>
      <c r="L116" s="23"/>
      <c r="M116" s="23"/>
      <c r="N116" s="21"/>
      <c r="O116" s="28"/>
      <c r="P116" s="14" t="str">
        <f aca="false">IF(OR(C116&lt;&gt;"Open",L116=""),"",L116*100*D116)</f>
        <v/>
      </c>
      <c r="Q116" s="14" t="str">
        <f aca="false">IF(OR(C116&lt;&gt;"Open",P116=""),"",I116-J116-P116)</f>
        <v/>
      </c>
      <c r="R116" s="14" t="str">
        <f aca="false">IF(OR(C116&lt;&gt;"Open",K116=""),"",K116*G116)</f>
        <v/>
      </c>
      <c r="S116" s="14" t="str">
        <f aca="false">IF(OR(R116="",Q116=""),"",R116-H116+Q116)</f>
        <v/>
      </c>
      <c r="T116" s="13" t="str">
        <f aca="false">IF(OR(R116="",Q116="",N(H116)=0),"",(R116+Q116)/H116)</f>
        <v/>
      </c>
      <c r="U116" s="10" t="str">
        <f aca="false">IF(C116&lt;&gt;"Closed","",_xlfn.MAXIFS(Transactions!$A:$A,Transactions!$D:$D,$A116))</f>
        <v/>
      </c>
      <c r="V116" s="14" t="str">
        <f aca="false">IF(C116&lt;&gt;"Closed","",I116-J116)</f>
        <v/>
      </c>
      <c r="W116" s="8" t="str">
        <f aca="false">IF($A116="","",IFERROR(INDEX(Transactions!$O:$O,MATCH($A116,Transactions!$D:$D,0)),""))</f>
        <v/>
      </c>
    </row>
    <row r="117" customFormat="false" ht="15" hidden="false" customHeight="false" outlineLevel="0" collapsed="false">
      <c r="A117" s="21"/>
      <c r="B117" s="8" t="str">
        <f aca="false">IF($A117="","",IFERROR(INDEX(Transactions!$C:$C,MATCH($A117,Transactions!$D:$D,0)),""))</f>
        <v/>
      </c>
      <c r="C117" s="8" t="str">
        <f aca="false">IF($A117="","",IF(D117&gt;0,"Open","Closed"))</f>
        <v/>
      </c>
      <c r="D117" s="8" t="str">
        <f aca="false">IF($A117="","",-SUMIFS(Transactions!$E:$E,Transactions!$D:$D,$A117,Transactions!$B:$B,"Sell call")-SUMIFS(Transactions!$E:$E,Transactions!$D:$D,$A117,Transactions!$B:$B,"Buy to close")-SUMIFS(Transactions!$E:$E,Transactions!$D:$D,$A117,Transactions!$B:$B,"Expired")-SUMIFS(Transactions!$E:$E,Transactions!$D:$D,$A117,Transactions!$B:$B,"Assigned"))</f>
        <v/>
      </c>
      <c r="E117" s="27" t="str">
        <f aca="false">IF($A117="","",IFERROR(SUMIFS(Transactions!$F:$F,Transactions!$D:$D,$A117,Transactions!$B:$B,"Sell call")/COUNTIFS(Transactions!$D:$D,$A117,Transactions!$B:$B,"Sell call"),""))</f>
        <v/>
      </c>
      <c r="F117" s="10" t="str">
        <f aca="false">IF($A117="","",IFERROR(SUMIFS(Transactions!$G:$G,Transactions!$D:$D,$A117,Transactions!$B:$B,"Sell call")/COUNTIFS(Transactions!$D:$D,$A117,Transactions!$B:$B,"Sell call"),""))</f>
        <v/>
      </c>
      <c r="G117" s="8" t="str">
        <f aca="false">IF($A117="","",-SUMIFS(Transactions!$E:$E,Transactions!$D:$D,$A117,Transactions!$B:$B,"Sell call")*100+SUMIFS(Transactions!$E:$E,Transactions!$D:$D,$A117,Transactions!$B:$B,"Sell shares"))</f>
        <v/>
      </c>
      <c r="H117" s="14" t="str">
        <f aca="false">IF($A117="","",IF(SUMIFS(Transactions!$J:$J,Transactions!$D:$D,$A117,Transactions!$B:$B,"Buy shares")&lt;&gt;0,-SUMIFS(Transactions!$J:$J,Transactions!$D:$D,$A117,Transactions!$B:$B,"Buy shares"),IFERROR(INDEX(Lots!$E:$E,MATCH($W117,Lots!$A:$A,0))*-SUMIFS(Transactions!$E:$E,Transactions!$D:$D,$A117,Transactions!$B:$B,"Sell call")*100,0)))</f>
        <v/>
      </c>
      <c r="I117" s="14" t="str">
        <f aca="false">IF($A117="","",SUMIFS(Transactions!$J:$J,Transactions!$D:$D,$A117,Transactions!$B:$B,"Sell call"))</f>
        <v/>
      </c>
      <c r="J117" s="14" t="str">
        <f aca="false">IF($A117="","",-SUMIFS(Transactions!$J:$J,Transactions!$D:$D,$A117,Transactions!$B:$B,"Buy to close"))</f>
        <v/>
      </c>
      <c r="K117" s="23"/>
      <c r="L117" s="23"/>
      <c r="M117" s="23"/>
      <c r="N117" s="21"/>
      <c r="O117" s="28"/>
      <c r="P117" s="14" t="str">
        <f aca="false">IF(OR(C117&lt;&gt;"Open",L117=""),"",L117*100*D117)</f>
        <v/>
      </c>
      <c r="Q117" s="14" t="str">
        <f aca="false">IF(OR(C117&lt;&gt;"Open",P117=""),"",I117-J117-P117)</f>
        <v/>
      </c>
      <c r="R117" s="14" t="str">
        <f aca="false">IF(OR(C117&lt;&gt;"Open",K117=""),"",K117*G117)</f>
        <v/>
      </c>
      <c r="S117" s="14" t="str">
        <f aca="false">IF(OR(R117="",Q117=""),"",R117-H117+Q117)</f>
        <v/>
      </c>
      <c r="T117" s="13" t="str">
        <f aca="false">IF(OR(R117="",Q117="",N(H117)=0),"",(R117+Q117)/H117)</f>
        <v/>
      </c>
      <c r="U117" s="10" t="str">
        <f aca="false">IF(C117&lt;&gt;"Closed","",_xlfn.MAXIFS(Transactions!$A:$A,Transactions!$D:$D,$A117))</f>
        <v/>
      </c>
      <c r="V117" s="14" t="str">
        <f aca="false">IF(C117&lt;&gt;"Closed","",I117-J117)</f>
        <v/>
      </c>
      <c r="W117" s="8" t="str">
        <f aca="false">IF($A117="","",IFERROR(INDEX(Transactions!$O:$O,MATCH($A117,Transactions!$D:$D,0)),""))</f>
        <v/>
      </c>
    </row>
    <row r="118" customFormat="false" ht="15" hidden="false" customHeight="false" outlineLevel="0" collapsed="false">
      <c r="A118" s="21"/>
      <c r="B118" s="8" t="str">
        <f aca="false">IF($A118="","",IFERROR(INDEX(Transactions!$C:$C,MATCH($A118,Transactions!$D:$D,0)),""))</f>
        <v/>
      </c>
      <c r="C118" s="8" t="str">
        <f aca="false">IF($A118="","",IF(D118&gt;0,"Open","Closed"))</f>
        <v/>
      </c>
      <c r="D118" s="8" t="str">
        <f aca="false">IF($A118="","",-SUMIFS(Transactions!$E:$E,Transactions!$D:$D,$A118,Transactions!$B:$B,"Sell call")-SUMIFS(Transactions!$E:$E,Transactions!$D:$D,$A118,Transactions!$B:$B,"Buy to close")-SUMIFS(Transactions!$E:$E,Transactions!$D:$D,$A118,Transactions!$B:$B,"Expired")-SUMIFS(Transactions!$E:$E,Transactions!$D:$D,$A118,Transactions!$B:$B,"Assigned"))</f>
        <v/>
      </c>
      <c r="E118" s="27" t="str">
        <f aca="false">IF($A118="","",IFERROR(SUMIFS(Transactions!$F:$F,Transactions!$D:$D,$A118,Transactions!$B:$B,"Sell call")/COUNTIFS(Transactions!$D:$D,$A118,Transactions!$B:$B,"Sell call"),""))</f>
        <v/>
      </c>
      <c r="F118" s="10" t="str">
        <f aca="false">IF($A118="","",IFERROR(SUMIFS(Transactions!$G:$G,Transactions!$D:$D,$A118,Transactions!$B:$B,"Sell call")/COUNTIFS(Transactions!$D:$D,$A118,Transactions!$B:$B,"Sell call"),""))</f>
        <v/>
      </c>
      <c r="G118" s="8" t="str">
        <f aca="false">IF($A118="","",-SUMIFS(Transactions!$E:$E,Transactions!$D:$D,$A118,Transactions!$B:$B,"Sell call")*100+SUMIFS(Transactions!$E:$E,Transactions!$D:$D,$A118,Transactions!$B:$B,"Sell shares"))</f>
        <v/>
      </c>
      <c r="H118" s="14" t="str">
        <f aca="false">IF($A118="","",IF(SUMIFS(Transactions!$J:$J,Transactions!$D:$D,$A118,Transactions!$B:$B,"Buy shares")&lt;&gt;0,-SUMIFS(Transactions!$J:$J,Transactions!$D:$D,$A118,Transactions!$B:$B,"Buy shares"),IFERROR(INDEX(Lots!$E:$E,MATCH($W118,Lots!$A:$A,0))*-SUMIFS(Transactions!$E:$E,Transactions!$D:$D,$A118,Transactions!$B:$B,"Sell call")*100,0)))</f>
        <v/>
      </c>
      <c r="I118" s="14" t="str">
        <f aca="false">IF($A118="","",SUMIFS(Transactions!$J:$J,Transactions!$D:$D,$A118,Transactions!$B:$B,"Sell call"))</f>
        <v/>
      </c>
      <c r="J118" s="14" t="str">
        <f aca="false">IF($A118="","",-SUMIFS(Transactions!$J:$J,Transactions!$D:$D,$A118,Transactions!$B:$B,"Buy to close"))</f>
        <v/>
      </c>
      <c r="K118" s="23"/>
      <c r="L118" s="23"/>
      <c r="M118" s="23"/>
      <c r="N118" s="21"/>
      <c r="O118" s="28"/>
      <c r="P118" s="14" t="str">
        <f aca="false">IF(OR(C118&lt;&gt;"Open",L118=""),"",L118*100*D118)</f>
        <v/>
      </c>
      <c r="Q118" s="14" t="str">
        <f aca="false">IF(OR(C118&lt;&gt;"Open",P118=""),"",I118-J118-P118)</f>
        <v/>
      </c>
      <c r="R118" s="14" t="str">
        <f aca="false">IF(OR(C118&lt;&gt;"Open",K118=""),"",K118*G118)</f>
        <v/>
      </c>
      <c r="S118" s="14" t="str">
        <f aca="false">IF(OR(R118="",Q118=""),"",R118-H118+Q118)</f>
        <v/>
      </c>
      <c r="T118" s="13" t="str">
        <f aca="false">IF(OR(R118="",Q118="",N(H118)=0),"",(R118+Q118)/H118)</f>
        <v/>
      </c>
      <c r="U118" s="10" t="str">
        <f aca="false">IF(C118&lt;&gt;"Closed","",_xlfn.MAXIFS(Transactions!$A:$A,Transactions!$D:$D,$A118))</f>
        <v/>
      </c>
      <c r="V118" s="14" t="str">
        <f aca="false">IF(C118&lt;&gt;"Closed","",I118-J118)</f>
        <v/>
      </c>
      <c r="W118" s="8" t="str">
        <f aca="false">IF($A118="","",IFERROR(INDEX(Transactions!$O:$O,MATCH($A118,Transactions!$D:$D,0)),""))</f>
        <v/>
      </c>
    </row>
    <row r="119" customFormat="false" ht="15" hidden="false" customHeight="false" outlineLevel="0" collapsed="false">
      <c r="A119" s="21"/>
      <c r="B119" s="8" t="str">
        <f aca="false">IF($A119="","",IFERROR(INDEX(Transactions!$C:$C,MATCH($A119,Transactions!$D:$D,0)),""))</f>
        <v/>
      </c>
      <c r="C119" s="8" t="str">
        <f aca="false">IF($A119="","",IF(D119&gt;0,"Open","Closed"))</f>
        <v/>
      </c>
      <c r="D119" s="8" t="str">
        <f aca="false">IF($A119="","",-SUMIFS(Transactions!$E:$E,Transactions!$D:$D,$A119,Transactions!$B:$B,"Sell call")-SUMIFS(Transactions!$E:$E,Transactions!$D:$D,$A119,Transactions!$B:$B,"Buy to close")-SUMIFS(Transactions!$E:$E,Transactions!$D:$D,$A119,Transactions!$B:$B,"Expired")-SUMIFS(Transactions!$E:$E,Transactions!$D:$D,$A119,Transactions!$B:$B,"Assigned"))</f>
        <v/>
      </c>
      <c r="E119" s="27" t="str">
        <f aca="false">IF($A119="","",IFERROR(SUMIFS(Transactions!$F:$F,Transactions!$D:$D,$A119,Transactions!$B:$B,"Sell call")/COUNTIFS(Transactions!$D:$D,$A119,Transactions!$B:$B,"Sell call"),""))</f>
        <v/>
      </c>
      <c r="F119" s="10" t="str">
        <f aca="false">IF($A119="","",IFERROR(SUMIFS(Transactions!$G:$G,Transactions!$D:$D,$A119,Transactions!$B:$B,"Sell call")/COUNTIFS(Transactions!$D:$D,$A119,Transactions!$B:$B,"Sell call"),""))</f>
        <v/>
      </c>
      <c r="G119" s="8" t="str">
        <f aca="false">IF($A119="","",-SUMIFS(Transactions!$E:$E,Transactions!$D:$D,$A119,Transactions!$B:$B,"Sell call")*100+SUMIFS(Transactions!$E:$E,Transactions!$D:$D,$A119,Transactions!$B:$B,"Sell shares"))</f>
        <v/>
      </c>
      <c r="H119" s="14" t="str">
        <f aca="false">IF($A119="","",IF(SUMIFS(Transactions!$J:$J,Transactions!$D:$D,$A119,Transactions!$B:$B,"Buy shares")&lt;&gt;0,-SUMIFS(Transactions!$J:$J,Transactions!$D:$D,$A119,Transactions!$B:$B,"Buy shares"),IFERROR(INDEX(Lots!$E:$E,MATCH($W119,Lots!$A:$A,0))*-SUMIFS(Transactions!$E:$E,Transactions!$D:$D,$A119,Transactions!$B:$B,"Sell call")*100,0)))</f>
        <v/>
      </c>
      <c r="I119" s="14" t="str">
        <f aca="false">IF($A119="","",SUMIFS(Transactions!$J:$J,Transactions!$D:$D,$A119,Transactions!$B:$B,"Sell call"))</f>
        <v/>
      </c>
      <c r="J119" s="14" t="str">
        <f aca="false">IF($A119="","",-SUMIFS(Transactions!$J:$J,Transactions!$D:$D,$A119,Transactions!$B:$B,"Buy to close"))</f>
        <v/>
      </c>
      <c r="K119" s="23"/>
      <c r="L119" s="23"/>
      <c r="M119" s="23"/>
      <c r="N119" s="21"/>
      <c r="O119" s="28"/>
      <c r="P119" s="14" t="str">
        <f aca="false">IF(OR(C119&lt;&gt;"Open",L119=""),"",L119*100*D119)</f>
        <v/>
      </c>
      <c r="Q119" s="14" t="str">
        <f aca="false">IF(OR(C119&lt;&gt;"Open",P119=""),"",I119-J119-P119)</f>
        <v/>
      </c>
      <c r="R119" s="14" t="str">
        <f aca="false">IF(OR(C119&lt;&gt;"Open",K119=""),"",K119*G119)</f>
        <v/>
      </c>
      <c r="S119" s="14" t="str">
        <f aca="false">IF(OR(R119="",Q119=""),"",R119-H119+Q119)</f>
        <v/>
      </c>
      <c r="T119" s="13" t="str">
        <f aca="false">IF(OR(R119="",Q119="",N(H119)=0),"",(R119+Q119)/H119)</f>
        <v/>
      </c>
      <c r="U119" s="10" t="str">
        <f aca="false">IF(C119&lt;&gt;"Closed","",_xlfn.MAXIFS(Transactions!$A:$A,Transactions!$D:$D,$A119))</f>
        <v/>
      </c>
      <c r="V119" s="14" t="str">
        <f aca="false">IF(C119&lt;&gt;"Closed","",I119-J119)</f>
        <v/>
      </c>
      <c r="W119" s="8" t="str">
        <f aca="false">IF($A119="","",IFERROR(INDEX(Transactions!$O:$O,MATCH($A119,Transactions!$D:$D,0)),""))</f>
        <v/>
      </c>
    </row>
    <row r="120" customFormat="false" ht="15" hidden="false" customHeight="false" outlineLevel="0" collapsed="false">
      <c r="A120" s="21"/>
      <c r="B120" s="8" t="str">
        <f aca="false">IF($A120="","",IFERROR(INDEX(Transactions!$C:$C,MATCH($A120,Transactions!$D:$D,0)),""))</f>
        <v/>
      </c>
      <c r="C120" s="8" t="str">
        <f aca="false">IF($A120="","",IF(D120&gt;0,"Open","Closed"))</f>
        <v/>
      </c>
      <c r="D120" s="8" t="str">
        <f aca="false">IF($A120="","",-SUMIFS(Transactions!$E:$E,Transactions!$D:$D,$A120,Transactions!$B:$B,"Sell call")-SUMIFS(Transactions!$E:$E,Transactions!$D:$D,$A120,Transactions!$B:$B,"Buy to close")-SUMIFS(Transactions!$E:$E,Transactions!$D:$D,$A120,Transactions!$B:$B,"Expired")-SUMIFS(Transactions!$E:$E,Transactions!$D:$D,$A120,Transactions!$B:$B,"Assigned"))</f>
        <v/>
      </c>
      <c r="E120" s="27" t="str">
        <f aca="false">IF($A120="","",IFERROR(SUMIFS(Transactions!$F:$F,Transactions!$D:$D,$A120,Transactions!$B:$B,"Sell call")/COUNTIFS(Transactions!$D:$D,$A120,Transactions!$B:$B,"Sell call"),""))</f>
        <v/>
      </c>
      <c r="F120" s="10" t="str">
        <f aca="false">IF($A120="","",IFERROR(SUMIFS(Transactions!$G:$G,Transactions!$D:$D,$A120,Transactions!$B:$B,"Sell call")/COUNTIFS(Transactions!$D:$D,$A120,Transactions!$B:$B,"Sell call"),""))</f>
        <v/>
      </c>
      <c r="G120" s="8" t="str">
        <f aca="false">IF($A120="","",-SUMIFS(Transactions!$E:$E,Transactions!$D:$D,$A120,Transactions!$B:$B,"Sell call")*100+SUMIFS(Transactions!$E:$E,Transactions!$D:$D,$A120,Transactions!$B:$B,"Sell shares"))</f>
        <v/>
      </c>
      <c r="H120" s="14" t="str">
        <f aca="false">IF($A120="","",IF(SUMIFS(Transactions!$J:$J,Transactions!$D:$D,$A120,Transactions!$B:$B,"Buy shares")&lt;&gt;0,-SUMIFS(Transactions!$J:$J,Transactions!$D:$D,$A120,Transactions!$B:$B,"Buy shares"),IFERROR(INDEX(Lots!$E:$E,MATCH($W120,Lots!$A:$A,0))*-SUMIFS(Transactions!$E:$E,Transactions!$D:$D,$A120,Transactions!$B:$B,"Sell call")*100,0)))</f>
        <v/>
      </c>
      <c r="I120" s="14" t="str">
        <f aca="false">IF($A120="","",SUMIFS(Transactions!$J:$J,Transactions!$D:$D,$A120,Transactions!$B:$B,"Sell call"))</f>
        <v/>
      </c>
      <c r="J120" s="14" t="str">
        <f aca="false">IF($A120="","",-SUMIFS(Transactions!$J:$J,Transactions!$D:$D,$A120,Transactions!$B:$B,"Buy to close"))</f>
        <v/>
      </c>
      <c r="K120" s="23"/>
      <c r="L120" s="23"/>
      <c r="M120" s="23"/>
      <c r="N120" s="21"/>
      <c r="O120" s="28"/>
      <c r="P120" s="14" t="str">
        <f aca="false">IF(OR(C120&lt;&gt;"Open",L120=""),"",L120*100*D120)</f>
        <v/>
      </c>
      <c r="Q120" s="14" t="str">
        <f aca="false">IF(OR(C120&lt;&gt;"Open",P120=""),"",I120-J120-P120)</f>
        <v/>
      </c>
      <c r="R120" s="14" t="str">
        <f aca="false">IF(OR(C120&lt;&gt;"Open",K120=""),"",K120*G120)</f>
        <v/>
      </c>
      <c r="S120" s="14" t="str">
        <f aca="false">IF(OR(R120="",Q120=""),"",R120-H120+Q120)</f>
        <v/>
      </c>
      <c r="T120" s="13" t="str">
        <f aca="false">IF(OR(R120="",Q120="",N(H120)=0),"",(R120+Q120)/H120)</f>
        <v/>
      </c>
      <c r="U120" s="10" t="str">
        <f aca="false">IF(C120&lt;&gt;"Closed","",_xlfn.MAXIFS(Transactions!$A:$A,Transactions!$D:$D,$A120))</f>
        <v/>
      </c>
      <c r="V120" s="14" t="str">
        <f aca="false">IF(C120&lt;&gt;"Closed","",I120-J120)</f>
        <v/>
      </c>
      <c r="W120" s="8" t="str">
        <f aca="false">IF($A120="","",IFERROR(INDEX(Transactions!$O:$O,MATCH($A120,Transactions!$D:$D,0)),""))</f>
        <v/>
      </c>
    </row>
    <row r="121" customFormat="false" ht="15" hidden="false" customHeight="false" outlineLevel="0" collapsed="false">
      <c r="A121" s="21"/>
      <c r="B121" s="8" t="str">
        <f aca="false">IF($A121="","",IFERROR(INDEX(Transactions!$C:$C,MATCH($A121,Transactions!$D:$D,0)),""))</f>
        <v/>
      </c>
      <c r="C121" s="8" t="str">
        <f aca="false">IF($A121="","",IF(D121&gt;0,"Open","Closed"))</f>
        <v/>
      </c>
      <c r="D121" s="8" t="str">
        <f aca="false">IF($A121="","",-SUMIFS(Transactions!$E:$E,Transactions!$D:$D,$A121,Transactions!$B:$B,"Sell call")-SUMIFS(Transactions!$E:$E,Transactions!$D:$D,$A121,Transactions!$B:$B,"Buy to close")-SUMIFS(Transactions!$E:$E,Transactions!$D:$D,$A121,Transactions!$B:$B,"Expired")-SUMIFS(Transactions!$E:$E,Transactions!$D:$D,$A121,Transactions!$B:$B,"Assigned"))</f>
        <v/>
      </c>
      <c r="E121" s="27" t="str">
        <f aca="false">IF($A121="","",IFERROR(SUMIFS(Transactions!$F:$F,Transactions!$D:$D,$A121,Transactions!$B:$B,"Sell call")/COUNTIFS(Transactions!$D:$D,$A121,Transactions!$B:$B,"Sell call"),""))</f>
        <v/>
      </c>
      <c r="F121" s="10" t="str">
        <f aca="false">IF($A121="","",IFERROR(SUMIFS(Transactions!$G:$G,Transactions!$D:$D,$A121,Transactions!$B:$B,"Sell call")/COUNTIFS(Transactions!$D:$D,$A121,Transactions!$B:$B,"Sell call"),""))</f>
        <v/>
      </c>
      <c r="G121" s="8" t="str">
        <f aca="false">IF($A121="","",-SUMIFS(Transactions!$E:$E,Transactions!$D:$D,$A121,Transactions!$B:$B,"Sell call")*100+SUMIFS(Transactions!$E:$E,Transactions!$D:$D,$A121,Transactions!$B:$B,"Sell shares"))</f>
        <v/>
      </c>
      <c r="H121" s="14" t="str">
        <f aca="false">IF($A121="","",IF(SUMIFS(Transactions!$J:$J,Transactions!$D:$D,$A121,Transactions!$B:$B,"Buy shares")&lt;&gt;0,-SUMIFS(Transactions!$J:$J,Transactions!$D:$D,$A121,Transactions!$B:$B,"Buy shares"),IFERROR(INDEX(Lots!$E:$E,MATCH($W121,Lots!$A:$A,0))*-SUMIFS(Transactions!$E:$E,Transactions!$D:$D,$A121,Transactions!$B:$B,"Sell call")*100,0)))</f>
        <v/>
      </c>
      <c r="I121" s="14" t="str">
        <f aca="false">IF($A121="","",SUMIFS(Transactions!$J:$J,Transactions!$D:$D,$A121,Transactions!$B:$B,"Sell call"))</f>
        <v/>
      </c>
      <c r="J121" s="14" t="str">
        <f aca="false">IF($A121="","",-SUMIFS(Transactions!$J:$J,Transactions!$D:$D,$A121,Transactions!$B:$B,"Buy to close"))</f>
        <v/>
      </c>
      <c r="K121" s="23"/>
      <c r="L121" s="23"/>
      <c r="M121" s="23"/>
      <c r="N121" s="21"/>
      <c r="O121" s="28"/>
      <c r="P121" s="14" t="str">
        <f aca="false">IF(OR(C121&lt;&gt;"Open",L121=""),"",L121*100*D121)</f>
        <v/>
      </c>
      <c r="Q121" s="14" t="str">
        <f aca="false">IF(OR(C121&lt;&gt;"Open",P121=""),"",I121-J121-P121)</f>
        <v/>
      </c>
      <c r="R121" s="14" t="str">
        <f aca="false">IF(OR(C121&lt;&gt;"Open",K121=""),"",K121*G121)</f>
        <v/>
      </c>
      <c r="S121" s="14" t="str">
        <f aca="false">IF(OR(R121="",Q121=""),"",R121-H121+Q121)</f>
        <v/>
      </c>
      <c r="T121" s="13" t="str">
        <f aca="false">IF(OR(R121="",Q121="",N(H121)=0),"",(R121+Q121)/H121)</f>
        <v/>
      </c>
      <c r="U121" s="10" t="str">
        <f aca="false">IF(C121&lt;&gt;"Closed","",_xlfn.MAXIFS(Transactions!$A:$A,Transactions!$D:$D,$A121))</f>
        <v/>
      </c>
      <c r="V121" s="14" t="str">
        <f aca="false">IF(C121&lt;&gt;"Closed","",I121-J121)</f>
        <v/>
      </c>
      <c r="W121" s="8" t="str">
        <f aca="false">IF($A121="","",IFERROR(INDEX(Transactions!$O:$O,MATCH($A121,Transactions!$D:$D,0)),""))</f>
        <v/>
      </c>
    </row>
    <row r="122" customFormat="false" ht="15" hidden="false" customHeight="false" outlineLevel="0" collapsed="false">
      <c r="A122" s="21"/>
      <c r="B122" s="8" t="str">
        <f aca="false">IF($A122="","",IFERROR(INDEX(Transactions!$C:$C,MATCH($A122,Transactions!$D:$D,0)),""))</f>
        <v/>
      </c>
      <c r="C122" s="8" t="str">
        <f aca="false">IF($A122="","",IF(D122&gt;0,"Open","Closed"))</f>
        <v/>
      </c>
      <c r="D122" s="8" t="str">
        <f aca="false">IF($A122="","",-SUMIFS(Transactions!$E:$E,Transactions!$D:$D,$A122,Transactions!$B:$B,"Sell call")-SUMIFS(Transactions!$E:$E,Transactions!$D:$D,$A122,Transactions!$B:$B,"Buy to close")-SUMIFS(Transactions!$E:$E,Transactions!$D:$D,$A122,Transactions!$B:$B,"Expired")-SUMIFS(Transactions!$E:$E,Transactions!$D:$D,$A122,Transactions!$B:$B,"Assigned"))</f>
        <v/>
      </c>
      <c r="E122" s="27" t="str">
        <f aca="false">IF($A122="","",IFERROR(SUMIFS(Transactions!$F:$F,Transactions!$D:$D,$A122,Transactions!$B:$B,"Sell call")/COUNTIFS(Transactions!$D:$D,$A122,Transactions!$B:$B,"Sell call"),""))</f>
        <v/>
      </c>
      <c r="F122" s="10" t="str">
        <f aca="false">IF($A122="","",IFERROR(SUMIFS(Transactions!$G:$G,Transactions!$D:$D,$A122,Transactions!$B:$B,"Sell call")/COUNTIFS(Transactions!$D:$D,$A122,Transactions!$B:$B,"Sell call"),""))</f>
        <v/>
      </c>
      <c r="G122" s="8" t="str">
        <f aca="false">IF($A122="","",-SUMIFS(Transactions!$E:$E,Transactions!$D:$D,$A122,Transactions!$B:$B,"Sell call")*100+SUMIFS(Transactions!$E:$E,Transactions!$D:$D,$A122,Transactions!$B:$B,"Sell shares"))</f>
        <v/>
      </c>
      <c r="H122" s="14" t="str">
        <f aca="false">IF($A122="","",IF(SUMIFS(Transactions!$J:$J,Transactions!$D:$D,$A122,Transactions!$B:$B,"Buy shares")&lt;&gt;0,-SUMIFS(Transactions!$J:$J,Transactions!$D:$D,$A122,Transactions!$B:$B,"Buy shares"),IFERROR(INDEX(Lots!$E:$E,MATCH($W122,Lots!$A:$A,0))*-SUMIFS(Transactions!$E:$E,Transactions!$D:$D,$A122,Transactions!$B:$B,"Sell call")*100,0)))</f>
        <v/>
      </c>
      <c r="I122" s="14" t="str">
        <f aca="false">IF($A122="","",SUMIFS(Transactions!$J:$J,Transactions!$D:$D,$A122,Transactions!$B:$B,"Sell call"))</f>
        <v/>
      </c>
      <c r="J122" s="14" t="str">
        <f aca="false">IF($A122="","",-SUMIFS(Transactions!$J:$J,Transactions!$D:$D,$A122,Transactions!$B:$B,"Buy to close"))</f>
        <v/>
      </c>
      <c r="K122" s="23"/>
      <c r="L122" s="23"/>
      <c r="M122" s="23"/>
      <c r="N122" s="21"/>
      <c r="O122" s="28"/>
      <c r="P122" s="14" t="str">
        <f aca="false">IF(OR(C122&lt;&gt;"Open",L122=""),"",L122*100*D122)</f>
        <v/>
      </c>
      <c r="Q122" s="14" t="str">
        <f aca="false">IF(OR(C122&lt;&gt;"Open",P122=""),"",I122-J122-P122)</f>
        <v/>
      </c>
      <c r="R122" s="14" t="str">
        <f aca="false">IF(OR(C122&lt;&gt;"Open",K122=""),"",K122*G122)</f>
        <v/>
      </c>
      <c r="S122" s="14" t="str">
        <f aca="false">IF(OR(R122="",Q122=""),"",R122-H122+Q122)</f>
        <v/>
      </c>
      <c r="T122" s="13" t="str">
        <f aca="false">IF(OR(R122="",Q122="",N(H122)=0),"",(R122+Q122)/H122)</f>
        <v/>
      </c>
      <c r="U122" s="10" t="str">
        <f aca="false">IF(C122&lt;&gt;"Closed","",_xlfn.MAXIFS(Transactions!$A:$A,Transactions!$D:$D,$A122))</f>
        <v/>
      </c>
      <c r="V122" s="14" t="str">
        <f aca="false">IF(C122&lt;&gt;"Closed","",I122-J122)</f>
        <v/>
      </c>
      <c r="W122" s="8" t="str">
        <f aca="false">IF($A122="","",IFERROR(INDEX(Transactions!$O:$O,MATCH($A122,Transactions!$D:$D,0)),""))</f>
        <v/>
      </c>
    </row>
    <row r="123" customFormat="false" ht="15" hidden="false" customHeight="false" outlineLevel="0" collapsed="false">
      <c r="A123" s="21"/>
      <c r="B123" s="8" t="str">
        <f aca="false">IF($A123="","",IFERROR(INDEX(Transactions!$C:$C,MATCH($A123,Transactions!$D:$D,0)),""))</f>
        <v/>
      </c>
      <c r="C123" s="8" t="str">
        <f aca="false">IF($A123="","",IF(D123&gt;0,"Open","Closed"))</f>
        <v/>
      </c>
      <c r="D123" s="8" t="str">
        <f aca="false">IF($A123="","",-SUMIFS(Transactions!$E:$E,Transactions!$D:$D,$A123,Transactions!$B:$B,"Sell call")-SUMIFS(Transactions!$E:$E,Transactions!$D:$D,$A123,Transactions!$B:$B,"Buy to close")-SUMIFS(Transactions!$E:$E,Transactions!$D:$D,$A123,Transactions!$B:$B,"Expired")-SUMIFS(Transactions!$E:$E,Transactions!$D:$D,$A123,Transactions!$B:$B,"Assigned"))</f>
        <v/>
      </c>
      <c r="E123" s="27" t="str">
        <f aca="false">IF($A123="","",IFERROR(SUMIFS(Transactions!$F:$F,Transactions!$D:$D,$A123,Transactions!$B:$B,"Sell call")/COUNTIFS(Transactions!$D:$D,$A123,Transactions!$B:$B,"Sell call"),""))</f>
        <v/>
      </c>
      <c r="F123" s="10" t="str">
        <f aca="false">IF($A123="","",IFERROR(SUMIFS(Transactions!$G:$G,Transactions!$D:$D,$A123,Transactions!$B:$B,"Sell call")/COUNTIFS(Transactions!$D:$D,$A123,Transactions!$B:$B,"Sell call"),""))</f>
        <v/>
      </c>
      <c r="G123" s="8" t="str">
        <f aca="false">IF($A123="","",-SUMIFS(Transactions!$E:$E,Transactions!$D:$D,$A123,Transactions!$B:$B,"Sell call")*100+SUMIFS(Transactions!$E:$E,Transactions!$D:$D,$A123,Transactions!$B:$B,"Sell shares"))</f>
        <v/>
      </c>
      <c r="H123" s="14" t="str">
        <f aca="false">IF($A123="","",IF(SUMIFS(Transactions!$J:$J,Transactions!$D:$D,$A123,Transactions!$B:$B,"Buy shares")&lt;&gt;0,-SUMIFS(Transactions!$J:$J,Transactions!$D:$D,$A123,Transactions!$B:$B,"Buy shares"),IFERROR(INDEX(Lots!$E:$E,MATCH($W123,Lots!$A:$A,0))*-SUMIFS(Transactions!$E:$E,Transactions!$D:$D,$A123,Transactions!$B:$B,"Sell call")*100,0)))</f>
        <v/>
      </c>
      <c r="I123" s="14" t="str">
        <f aca="false">IF($A123="","",SUMIFS(Transactions!$J:$J,Transactions!$D:$D,$A123,Transactions!$B:$B,"Sell call"))</f>
        <v/>
      </c>
      <c r="J123" s="14" t="str">
        <f aca="false">IF($A123="","",-SUMIFS(Transactions!$J:$J,Transactions!$D:$D,$A123,Transactions!$B:$B,"Buy to close"))</f>
        <v/>
      </c>
      <c r="K123" s="23"/>
      <c r="L123" s="23"/>
      <c r="M123" s="23"/>
      <c r="N123" s="21"/>
      <c r="O123" s="28"/>
      <c r="P123" s="14" t="str">
        <f aca="false">IF(OR(C123&lt;&gt;"Open",L123=""),"",L123*100*D123)</f>
        <v/>
      </c>
      <c r="Q123" s="14" t="str">
        <f aca="false">IF(OR(C123&lt;&gt;"Open",P123=""),"",I123-J123-P123)</f>
        <v/>
      </c>
      <c r="R123" s="14" t="str">
        <f aca="false">IF(OR(C123&lt;&gt;"Open",K123=""),"",K123*G123)</f>
        <v/>
      </c>
      <c r="S123" s="14" t="str">
        <f aca="false">IF(OR(R123="",Q123=""),"",R123-H123+Q123)</f>
        <v/>
      </c>
      <c r="T123" s="13" t="str">
        <f aca="false">IF(OR(R123="",Q123="",N(H123)=0),"",(R123+Q123)/H123)</f>
        <v/>
      </c>
      <c r="U123" s="10" t="str">
        <f aca="false">IF(C123&lt;&gt;"Closed","",_xlfn.MAXIFS(Transactions!$A:$A,Transactions!$D:$D,$A123))</f>
        <v/>
      </c>
      <c r="V123" s="14" t="str">
        <f aca="false">IF(C123&lt;&gt;"Closed","",I123-J123)</f>
        <v/>
      </c>
      <c r="W123" s="8" t="str">
        <f aca="false">IF($A123="","",IFERROR(INDEX(Transactions!$O:$O,MATCH($A123,Transactions!$D:$D,0)),""))</f>
        <v/>
      </c>
    </row>
    <row r="124" customFormat="false" ht="15" hidden="false" customHeight="false" outlineLevel="0" collapsed="false">
      <c r="A124" s="21"/>
      <c r="B124" s="8" t="str">
        <f aca="false">IF($A124="","",IFERROR(INDEX(Transactions!$C:$C,MATCH($A124,Transactions!$D:$D,0)),""))</f>
        <v/>
      </c>
      <c r="C124" s="8" t="str">
        <f aca="false">IF($A124="","",IF(D124&gt;0,"Open","Closed"))</f>
        <v/>
      </c>
      <c r="D124" s="8" t="str">
        <f aca="false">IF($A124="","",-SUMIFS(Transactions!$E:$E,Transactions!$D:$D,$A124,Transactions!$B:$B,"Sell call")-SUMIFS(Transactions!$E:$E,Transactions!$D:$D,$A124,Transactions!$B:$B,"Buy to close")-SUMIFS(Transactions!$E:$E,Transactions!$D:$D,$A124,Transactions!$B:$B,"Expired")-SUMIFS(Transactions!$E:$E,Transactions!$D:$D,$A124,Transactions!$B:$B,"Assigned"))</f>
        <v/>
      </c>
      <c r="E124" s="27" t="str">
        <f aca="false">IF($A124="","",IFERROR(SUMIFS(Transactions!$F:$F,Transactions!$D:$D,$A124,Transactions!$B:$B,"Sell call")/COUNTIFS(Transactions!$D:$D,$A124,Transactions!$B:$B,"Sell call"),""))</f>
        <v/>
      </c>
      <c r="F124" s="10" t="str">
        <f aca="false">IF($A124="","",IFERROR(SUMIFS(Transactions!$G:$G,Transactions!$D:$D,$A124,Transactions!$B:$B,"Sell call")/COUNTIFS(Transactions!$D:$D,$A124,Transactions!$B:$B,"Sell call"),""))</f>
        <v/>
      </c>
      <c r="G124" s="8" t="str">
        <f aca="false">IF($A124="","",-SUMIFS(Transactions!$E:$E,Transactions!$D:$D,$A124,Transactions!$B:$B,"Sell call")*100+SUMIFS(Transactions!$E:$E,Transactions!$D:$D,$A124,Transactions!$B:$B,"Sell shares"))</f>
        <v/>
      </c>
      <c r="H124" s="14" t="str">
        <f aca="false">IF($A124="","",IF(SUMIFS(Transactions!$J:$J,Transactions!$D:$D,$A124,Transactions!$B:$B,"Buy shares")&lt;&gt;0,-SUMIFS(Transactions!$J:$J,Transactions!$D:$D,$A124,Transactions!$B:$B,"Buy shares"),IFERROR(INDEX(Lots!$E:$E,MATCH($W124,Lots!$A:$A,0))*-SUMIFS(Transactions!$E:$E,Transactions!$D:$D,$A124,Transactions!$B:$B,"Sell call")*100,0)))</f>
        <v/>
      </c>
      <c r="I124" s="14" t="str">
        <f aca="false">IF($A124="","",SUMIFS(Transactions!$J:$J,Transactions!$D:$D,$A124,Transactions!$B:$B,"Sell call"))</f>
        <v/>
      </c>
      <c r="J124" s="14" t="str">
        <f aca="false">IF($A124="","",-SUMIFS(Transactions!$J:$J,Transactions!$D:$D,$A124,Transactions!$B:$B,"Buy to close"))</f>
        <v/>
      </c>
      <c r="K124" s="23"/>
      <c r="L124" s="23"/>
      <c r="M124" s="23"/>
      <c r="N124" s="21"/>
      <c r="O124" s="28"/>
      <c r="P124" s="14" t="str">
        <f aca="false">IF(OR(C124&lt;&gt;"Open",L124=""),"",L124*100*D124)</f>
        <v/>
      </c>
      <c r="Q124" s="14" t="str">
        <f aca="false">IF(OR(C124&lt;&gt;"Open",P124=""),"",I124-J124-P124)</f>
        <v/>
      </c>
      <c r="R124" s="14" t="str">
        <f aca="false">IF(OR(C124&lt;&gt;"Open",K124=""),"",K124*G124)</f>
        <v/>
      </c>
      <c r="S124" s="14" t="str">
        <f aca="false">IF(OR(R124="",Q124=""),"",R124-H124+Q124)</f>
        <v/>
      </c>
      <c r="T124" s="13" t="str">
        <f aca="false">IF(OR(R124="",Q124="",N(H124)=0),"",(R124+Q124)/H124)</f>
        <v/>
      </c>
      <c r="U124" s="10" t="str">
        <f aca="false">IF(C124&lt;&gt;"Closed","",_xlfn.MAXIFS(Transactions!$A:$A,Transactions!$D:$D,$A124))</f>
        <v/>
      </c>
      <c r="V124" s="14" t="str">
        <f aca="false">IF(C124&lt;&gt;"Closed","",I124-J124)</f>
        <v/>
      </c>
      <c r="W124" s="8" t="str">
        <f aca="false">IF($A124="","",IFERROR(INDEX(Transactions!$O:$O,MATCH($A124,Transactions!$D:$D,0)),""))</f>
        <v/>
      </c>
    </row>
    <row r="125" customFormat="false" ht="15" hidden="false" customHeight="false" outlineLevel="0" collapsed="false">
      <c r="A125" s="21"/>
      <c r="B125" s="8" t="str">
        <f aca="false">IF($A125="","",IFERROR(INDEX(Transactions!$C:$C,MATCH($A125,Transactions!$D:$D,0)),""))</f>
        <v/>
      </c>
      <c r="C125" s="8" t="str">
        <f aca="false">IF($A125="","",IF(D125&gt;0,"Open","Closed"))</f>
        <v/>
      </c>
      <c r="D125" s="8" t="str">
        <f aca="false">IF($A125="","",-SUMIFS(Transactions!$E:$E,Transactions!$D:$D,$A125,Transactions!$B:$B,"Sell call")-SUMIFS(Transactions!$E:$E,Transactions!$D:$D,$A125,Transactions!$B:$B,"Buy to close")-SUMIFS(Transactions!$E:$E,Transactions!$D:$D,$A125,Transactions!$B:$B,"Expired")-SUMIFS(Transactions!$E:$E,Transactions!$D:$D,$A125,Transactions!$B:$B,"Assigned"))</f>
        <v/>
      </c>
      <c r="E125" s="27" t="str">
        <f aca="false">IF($A125="","",IFERROR(SUMIFS(Transactions!$F:$F,Transactions!$D:$D,$A125,Transactions!$B:$B,"Sell call")/COUNTIFS(Transactions!$D:$D,$A125,Transactions!$B:$B,"Sell call"),""))</f>
        <v/>
      </c>
      <c r="F125" s="10" t="str">
        <f aca="false">IF($A125="","",IFERROR(SUMIFS(Transactions!$G:$G,Transactions!$D:$D,$A125,Transactions!$B:$B,"Sell call")/COUNTIFS(Transactions!$D:$D,$A125,Transactions!$B:$B,"Sell call"),""))</f>
        <v/>
      </c>
      <c r="G125" s="8" t="str">
        <f aca="false">IF($A125="","",-SUMIFS(Transactions!$E:$E,Transactions!$D:$D,$A125,Transactions!$B:$B,"Sell call")*100+SUMIFS(Transactions!$E:$E,Transactions!$D:$D,$A125,Transactions!$B:$B,"Sell shares"))</f>
        <v/>
      </c>
      <c r="H125" s="14" t="str">
        <f aca="false">IF($A125="","",IF(SUMIFS(Transactions!$J:$J,Transactions!$D:$D,$A125,Transactions!$B:$B,"Buy shares")&lt;&gt;0,-SUMIFS(Transactions!$J:$J,Transactions!$D:$D,$A125,Transactions!$B:$B,"Buy shares"),IFERROR(INDEX(Lots!$E:$E,MATCH($W125,Lots!$A:$A,0))*-SUMIFS(Transactions!$E:$E,Transactions!$D:$D,$A125,Transactions!$B:$B,"Sell call")*100,0)))</f>
        <v/>
      </c>
      <c r="I125" s="14" t="str">
        <f aca="false">IF($A125="","",SUMIFS(Transactions!$J:$J,Transactions!$D:$D,$A125,Transactions!$B:$B,"Sell call"))</f>
        <v/>
      </c>
      <c r="J125" s="14" t="str">
        <f aca="false">IF($A125="","",-SUMIFS(Transactions!$J:$J,Transactions!$D:$D,$A125,Transactions!$B:$B,"Buy to close"))</f>
        <v/>
      </c>
      <c r="K125" s="23"/>
      <c r="L125" s="23"/>
      <c r="M125" s="23"/>
      <c r="N125" s="21"/>
      <c r="O125" s="28"/>
      <c r="P125" s="14" t="str">
        <f aca="false">IF(OR(C125&lt;&gt;"Open",L125=""),"",L125*100*D125)</f>
        <v/>
      </c>
      <c r="Q125" s="14" t="str">
        <f aca="false">IF(OR(C125&lt;&gt;"Open",P125=""),"",I125-J125-P125)</f>
        <v/>
      </c>
      <c r="R125" s="14" t="str">
        <f aca="false">IF(OR(C125&lt;&gt;"Open",K125=""),"",K125*G125)</f>
        <v/>
      </c>
      <c r="S125" s="14" t="str">
        <f aca="false">IF(OR(R125="",Q125=""),"",R125-H125+Q125)</f>
        <v/>
      </c>
      <c r="T125" s="13" t="str">
        <f aca="false">IF(OR(R125="",Q125="",N(H125)=0),"",(R125+Q125)/H125)</f>
        <v/>
      </c>
      <c r="U125" s="10" t="str">
        <f aca="false">IF(C125&lt;&gt;"Closed","",_xlfn.MAXIFS(Transactions!$A:$A,Transactions!$D:$D,$A125))</f>
        <v/>
      </c>
      <c r="V125" s="14" t="str">
        <f aca="false">IF(C125&lt;&gt;"Closed","",I125-J125)</f>
        <v/>
      </c>
      <c r="W125" s="8" t="str">
        <f aca="false">IF($A125="","",IFERROR(INDEX(Transactions!$O:$O,MATCH($A125,Transactions!$D:$D,0)),""))</f>
        <v/>
      </c>
    </row>
    <row r="126" customFormat="false" ht="15" hidden="false" customHeight="false" outlineLevel="0" collapsed="false">
      <c r="A126" s="21"/>
      <c r="B126" s="8" t="str">
        <f aca="false">IF($A126="","",IFERROR(INDEX(Transactions!$C:$C,MATCH($A126,Transactions!$D:$D,0)),""))</f>
        <v/>
      </c>
      <c r="C126" s="8" t="str">
        <f aca="false">IF($A126="","",IF(D126&gt;0,"Open","Closed"))</f>
        <v/>
      </c>
      <c r="D126" s="8" t="str">
        <f aca="false">IF($A126="","",-SUMIFS(Transactions!$E:$E,Transactions!$D:$D,$A126,Transactions!$B:$B,"Sell call")-SUMIFS(Transactions!$E:$E,Transactions!$D:$D,$A126,Transactions!$B:$B,"Buy to close")-SUMIFS(Transactions!$E:$E,Transactions!$D:$D,$A126,Transactions!$B:$B,"Expired")-SUMIFS(Transactions!$E:$E,Transactions!$D:$D,$A126,Transactions!$B:$B,"Assigned"))</f>
        <v/>
      </c>
      <c r="E126" s="27" t="str">
        <f aca="false">IF($A126="","",IFERROR(SUMIFS(Transactions!$F:$F,Transactions!$D:$D,$A126,Transactions!$B:$B,"Sell call")/COUNTIFS(Transactions!$D:$D,$A126,Transactions!$B:$B,"Sell call"),""))</f>
        <v/>
      </c>
      <c r="F126" s="10" t="str">
        <f aca="false">IF($A126="","",IFERROR(SUMIFS(Transactions!$G:$G,Transactions!$D:$D,$A126,Transactions!$B:$B,"Sell call")/COUNTIFS(Transactions!$D:$D,$A126,Transactions!$B:$B,"Sell call"),""))</f>
        <v/>
      </c>
      <c r="G126" s="8" t="str">
        <f aca="false">IF($A126="","",-SUMIFS(Transactions!$E:$E,Transactions!$D:$D,$A126,Transactions!$B:$B,"Sell call")*100+SUMIFS(Transactions!$E:$E,Transactions!$D:$D,$A126,Transactions!$B:$B,"Sell shares"))</f>
        <v/>
      </c>
      <c r="H126" s="14" t="str">
        <f aca="false">IF($A126="","",IF(SUMIFS(Transactions!$J:$J,Transactions!$D:$D,$A126,Transactions!$B:$B,"Buy shares")&lt;&gt;0,-SUMIFS(Transactions!$J:$J,Transactions!$D:$D,$A126,Transactions!$B:$B,"Buy shares"),IFERROR(INDEX(Lots!$E:$E,MATCH($W126,Lots!$A:$A,0))*-SUMIFS(Transactions!$E:$E,Transactions!$D:$D,$A126,Transactions!$B:$B,"Sell call")*100,0)))</f>
        <v/>
      </c>
      <c r="I126" s="14" t="str">
        <f aca="false">IF($A126="","",SUMIFS(Transactions!$J:$J,Transactions!$D:$D,$A126,Transactions!$B:$B,"Sell call"))</f>
        <v/>
      </c>
      <c r="J126" s="14" t="str">
        <f aca="false">IF($A126="","",-SUMIFS(Transactions!$J:$J,Transactions!$D:$D,$A126,Transactions!$B:$B,"Buy to close"))</f>
        <v/>
      </c>
      <c r="K126" s="23"/>
      <c r="L126" s="23"/>
      <c r="M126" s="23"/>
      <c r="N126" s="21"/>
      <c r="O126" s="28"/>
      <c r="P126" s="14" t="str">
        <f aca="false">IF(OR(C126&lt;&gt;"Open",L126=""),"",L126*100*D126)</f>
        <v/>
      </c>
      <c r="Q126" s="14" t="str">
        <f aca="false">IF(OR(C126&lt;&gt;"Open",P126=""),"",I126-J126-P126)</f>
        <v/>
      </c>
      <c r="R126" s="14" t="str">
        <f aca="false">IF(OR(C126&lt;&gt;"Open",K126=""),"",K126*G126)</f>
        <v/>
      </c>
      <c r="S126" s="14" t="str">
        <f aca="false">IF(OR(R126="",Q126=""),"",R126-H126+Q126)</f>
        <v/>
      </c>
      <c r="T126" s="13" t="str">
        <f aca="false">IF(OR(R126="",Q126="",N(H126)=0),"",(R126+Q126)/H126)</f>
        <v/>
      </c>
      <c r="U126" s="10" t="str">
        <f aca="false">IF(C126&lt;&gt;"Closed","",_xlfn.MAXIFS(Transactions!$A:$A,Transactions!$D:$D,$A126))</f>
        <v/>
      </c>
      <c r="V126" s="14" t="str">
        <f aca="false">IF(C126&lt;&gt;"Closed","",I126-J126)</f>
        <v/>
      </c>
      <c r="W126" s="8" t="str">
        <f aca="false">IF($A126="","",IFERROR(INDEX(Transactions!$O:$O,MATCH($A126,Transactions!$D:$D,0)),""))</f>
        <v/>
      </c>
    </row>
    <row r="127" customFormat="false" ht="15" hidden="false" customHeight="false" outlineLevel="0" collapsed="false">
      <c r="A127" s="21"/>
      <c r="B127" s="8" t="str">
        <f aca="false">IF($A127="","",IFERROR(INDEX(Transactions!$C:$C,MATCH($A127,Transactions!$D:$D,0)),""))</f>
        <v/>
      </c>
      <c r="C127" s="8" t="str">
        <f aca="false">IF($A127="","",IF(D127&gt;0,"Open","Closed"))</f>
        <v/>
      </c>
      <c r="D127" s="8" t="str">
        <f aca="false">IF($A127="","",-SUMIFS(Transactions!$E:$E,Transactions!$D:$D,$A127,Transactions!$B:$B,"Sell call")-SUMIFS(Transactions!$E:$E,Transactions!$D:$D,$A127,Transactions!$B:$B,"Buy to close")-SUMIFS(Transactions!$E:$E,Transactions!$D:$D,$A127,Transactions!$B:$B,"Expired")-SUMIFS(Transactions!$E:$E,Transactions!$D:$D,$A127,Transactions!$B:$B,"Assigned"))</f>
        <v/>
      </c>
      <c r="E127" s="27" t="str">
        <f aca="false">IF($A127="","",IFERROR(SUMIFS(Transactions!$F:$F,Transactions!$D:$D,$A127,Transactions!$B:$B,"Sell call")/COUNTIFS(Transactions!$D:$D,$A127,Transactions!$B:$B,"Sell call"),""))</f>
        <v/>
      </c>
      <c r="F127" s="10" t="str">
        <f aca="false">IF($A127="","",IFERROR(SUMIFS(Transactions!$G:$G,Transactions!$D:$D,$A127,Transactions!$B:$B,"Sell call")/COUNTIFS(Transactions!$D:$D,$A127,Transactions!$B:$B,"Sell call"),""))</f>
        <v/>
      </c>
      <c r="G127" s="8" t="str">
        <f aca="false">IF($A127="","",-SUMIFS(Transactions!$E:$E,Transactions!$D:$D,$A127,Transactions!$B:$B,"Sell call")*100+SUMIFS(Transactions!$E:$E,Transactions!$D:$D,$A127,Transactions!$B:$B,"Sell shares"))</f>
        <v/>
      </c>
      <c r="H127" s="14" t="str">
        <f aca="false">IF($A127="","",IF(SUMIFS(Transactions!$J:$J,Transactions!$D:$D,$A127,Transactions!$B:$B,"Buy shares")&lt;&gt;0,-SUMIFS(Transactions!$J:$J,Transactions!$D:$D,$A127,Transactions!$B:$B,"Buy shares"),IFERROR(INDEX(Lots!$E:$E,MATCH($W127,Lots!$A:$A,0))*-SUMIFS(Transactions!$E:$E,Transactions!$D:$D,$A127,Transactions!$B:$B,"Sell call")*100,0)))</f>
        <v/>
      </c>
      <c r="I127" s="14" t="str">
        <f aca="false">IF($A127="","",SUMIFS(Transactions!$J:$J,Transactions!$D:$D,$A127,Transactions!$B:$B,"Sell call"))</f>
        <v/>
      </c>
      <c r="J127" s="14" t="str">
        <f aca="false">IF($A127="","",-SUMIFS(Transactions!$J:$J,Transactions!$D:$D,$A127,Transactions!$B:$B,"Buy to close"))</f>
        <v/>
      </c>
      <c r="K127" s="23"/>
      <c r="L127" s="23"/>
      <c r="M127" s="23"/>
      <c r="N127" s="21"/>
      <c r="O127" s="28"/>
      <c r="P127" s="14" t="str">
        <f aca="false">IF(OR(C127&lt;&gt;"Open",L127=""),"",L127*100*D127)</f>
        <v/>
      </c>
      <c r="Q127" s="14" t="str">
        <f aca="false">IF(OR(C127&lt;&gt;"Open",P127=""),"",I127-J127-P127)</f>
        <v/>
      </c>
      <c r="R127" s="14" t="str">
        <f aca="false">IF(OR(C127&lt;&gt;"Open",K127=""),"",K127*G127)</f>
        <v/>
      </c>
      <c r="S127" s="14" t="str">
        <f aca="false">IF(OR(R127="",Q127=""),"",R127-H127+Q127)</f>
        <v/>
      </c>
      <c r="T127" s="13" t="str">
        <f aca="false">IF(OR(R127="",Q127="",N(H127)=0),"",(R127+Q127)/H127)</f>
        <v/>
      </c>
      <c r="U127" s="10" t="str">
        <f aca="false">IF(C127&lt;&gt;"Closed","",_xlfn.MAXIFS(Transactions!$A:$A,Transactions!$D:$D,$A127))</f>
        <v/>
      </c>
      <c r="V127" s="14" t="str">
        <f aca="false">IF(C127&lt;&gt;"Closed","",I127-J127)</f>
        <v/>
      </c>
      <c r="W127" s="8" t="str">
        <f aca="false">IF($A127="","",IFERROR(INDEX(Transactions!$O:$O,MATCH($A127,Transactions!$D:$D,0)),""))</f>
        <v/>
      </c>
    </row>
    <row r="128" customFormat="false" ht="15" hidden="false" customHeight="false" outlineLevel="0" collapsed="false">
      <c r="A128" s="21"/>
      <c r="B128" s="8" t="str">
        <f aca="false">IF($A128="","",IFERROR(INDEX(Transactions!$C:$C,MATCH($A128,Transactions!$D:$D,0)),""))</f>
        <v/>
      </c>
      <c r="C128" s="8" t="str">
        <f aca="false">IF($A128="","",IF(D128&gt;0,"Open","Closed"))</f>
        <v/>
      </c>
      <c r="D128" s="8" t="str">
        <f aca="false">IF($A128="","",-SUMIFS(Transactions!$E:$E,Transactions!$D:$D,$A128,Transactions!$B:$B,"Sell call")-SUMIFS(Transactions!$E:$E,Transactions!$D:$D,$A128,Transactions!$B:$B,"Buy to close")-SUMIFS(Transactions!$E:$E,Transactions!$D:$D,$A128,Transactions!$B:$B,"Expired")-SUMIFS(Transactions!$E:$E,Transactions!$D:$D,$A128,Transactions!$B:$B,"Assigned"))</f>
        <v/>
      </c>
      <c r="E128" s="27" t="str">
        <f aca="false">IF($A128="","",IFERROR(SUMIFS(Transactions!$F:$F,Transactions!$D:$D,$A128,Transactions!$B:$B,"Sell call")/COUNTIFS(Transactions!$D:$D,$A128,Transactions!$B:$B,"Sell call"),""))</f>
        <v/>
      </c>
      <c r="F128" s="10" t="str">
        <f aca="false">IF($A128="","",IFERROR(SUMIFS(Transactions!$G:$G,Transactions!$D:$D,$A128,Transactions!$B:$B,"Sell call")/COUNTIFS(Transactions!$D:$D,$A128,Transactions!$B:$B,"Sell call"),""))</f>
        <v/>
      </c>
      <c r="G128" s="8" t="str">
        <f aca="false">IF($A128="","",-SUMIFS(Transactions!$E:$E,Transactions!$D:$D,$A128,Transactions!$B:$B,"Sell call")*100+SUMIFS(Transactions!$E:$E,Transactions!$D:$D,$A128,Transactions!$B:$B,"Sell shares"))</f>
        <v/>
      </c>
      <c r="H128" s="14" t="str">
        <f aca="false">IF($A128="","",IF(SUMIFS(Transactions!$J:$J,Transactions!$D:$D,$A128,Transactions!$B:$B,"Buy shares")&lt;&gt;0,-SUMIFS(Transactions!$J:$J,Transactions!$D:$D,$A128,Transactions!$B:$B,"Buy shares"),IFERROR(INDEX(Lots!$E:$E,MATCH($W128,Lots!$A:$A,0))*-SUMIFS(Transactions!$E:$E,Transactions!$D:$D,$A128,Transactions!$B:$B,"Sell call")*100,0)))</f>
        <v/>
      </c>
      <c r="I128" s="14" t="str">
        <f aca="false">IF($A128="","",SUMIFS(Transactions!$J:$J,Transactions!$D:$D,$A128,Transactions!$B:$B,"Sell call"))</f>
        <v/>
      </c>
      <c r="J128" s="14" t="str">
        <f aca="false">IF($A128="","",-SUMIFS(Transactions!$J:$J,Transactions!$D:$D,$A128,Transactions!$B:$B,"Buy to close"))</f>
        <v/>
      </c>
      <c r="K128" s="23"/>
      <c r="L128" s="23"/>
      <c r="M128" s="23"/>
      <c r="N128" s="21"/>
      <c r="O128" s="28"/>
      <c r="P128" s="14" t="str">
        <f aca="false">IF(OR(C128&lt;&gt;"Open",L128=""),"",L128*100*D128)</f>
        <v/>
      </c>
      <c r="Q128" s="14" t="str">
        <f aca="false">IF(OR(C128&lt;&gt;"Open",P128=""),"",I128-J128-P128)</f>
        <v/>
      </c>
      <c r="R128" s="14" t="str">
        <f aca="false">IF(OR(C128&lt;&gt;"Open",K128=""),"",K128*G128)</f>
        <v/>
      </c>
      <c r="S128" s="14" t="str">
        <f aca="false">IF(OR(R128="",Q128=""),"",R128-H128+Q128)</f>
        <v/>
      </c>
      <c r="T128" s="13" t="str">
        <f aca="false">IF(OR(R128="",Q128="",N(H128)=0),"",(R128+Q128)/H128)</f>
        <v/>
      </c>
      <c r="U128" s="10" t="str">
        <f aca="false">IF(C128&lt;&gt;"Closed","",_xlfn.MAXIFS(Transactions!$A:$A,Transactions!$D:$D,$A128))</f>
        <v/>
      </c>
      <c r="V128" s="14" t="str">
        <f aca="false">IF(C128&lt;&gt;"Closed","",I128-J128)</f>
        <v/>
      </c>
      <c r="W128" s="8" t="str">
        <f aca="false">IF($A128="","",IFERROR(INDEX(Transactions!$O:$O,MATCH($A128,Transactions!$D:$D,0)),""))</f>
        <v/>
      </c>
    </row>
    <row r="129" customFormat="false" ht="15" hidden="false" customHeight="false" outlineLevel="0" collapsed="false">
      <c r="A129" s="21"/>
      <c r="B129" s="8" t="str">
        <f aca="false">IF($A129="","",IFERROR(INDEX(Transactions!$C:$C,MATCH($A129,Transactions!$D:$D,0)),""))</f>
        <v/>
      </c>
      <c r="C129" s="8" t="str">
        <f aca="false">IF($A129="","",IF(D129&gt;0,"Open","Closed"))</f>
        <v/>
      </c>
      <c r="D129" s="8" t="str">
        <f aca="false">IF($A129="","",-SUMIFS(Transactions!$E:$E,Transactions!$D:$D,$A129,Transactions!$B:$B,"Sell call")-SUMIFS(Transactions!$E:$E,Transactions!$D:$D,$A129,Transactions!$B:$B,"Buy to close")-SUMIFS(Transactions!$E:$E,Transactions!$D:$D,$A129,Transactions!$B:$B,"Expired")-SUMIFS(Transactions!$E:$E,Transactions!$D:$D,$A129,Transactions!$B:$B,"Assigned"))</f>
        <v/>
      </c>
      <c r="E129" s="27" t="str">
        <f aca="false">IF($A129="","",IFERROR(SUMIFS(Transactions!$F:$F,Transactions!$D:$D,$A129,Transactions!$B:$B,"Sell call")/COUNTIFS(Transactions!$D:$D,$A129,Transactions!$B:$B,"Sell call"),""))</f>
        <v/>
      </c>
      <c r="F129" s="10" t="str">
        <f aca="false">IF($A129="","",IFERROR(SUMIFS(Transactions!$G:$G,Transactions!$D:$D,$A129,Transactions!$B:$B,"Sell call")/COUNTIFS(Transactions!$D:$D,$A129,Transactions!$B:$B,"Sell call"),""))</f>
        <v/>
      </c>
      <c r="G129" s="8" t="str">
        <f aca="false">IF($A129="","",-SUMIFS(Transactions!$E:$E,Transactions!$D:$D,$A129,Transactions!$B:$B,"Sell call")*100+SUMIFS(Transactions!$E:$E,Transactions!$D:$D,$A129,Transactions!$B:$B,"Sell shares"))</f>
        <v/>
      </c>
      <c r="H129" s="14" t="str">
        <f aca="false">IF($A129="","",IF(SUMIFS(Transactions!$J:$J,Transactions!$D:$D,$A129,Transactions!$B:$B,"Buy shares")&lt;&gt;0,-SUMIFS(Transactions!$J:$J,Transactions!$D:$D,$A129,Transactions!$B:$B,"Buy shares"),IFERROR(INDEX(Lots!$E:$E,MATCH($W129,Lots!$A:$A,0))*-SUMIFS(Transactions!$E:$E,Transactions!$D:$D,$A129,Transactions!$B:$B,"Sell call")*100,0)))</f>
        <v/>
      </c>
      <c r="I129" s="14" t="str">
        <f aca="false">IF($A129="","",SUMIFS(Transactions!$J:$J,Transactions!$D:$D,$A129,Transactions!$B:$B,"Sell call"))</f>
        <v/>
      </c>
      <c r="J129" s="14" t="str">
        <f aca="false">IF($A129="","",-SUMIFS(Transactions!$J:$J,Transactions!$D:$D,$A129,Transactions!$B:$B,"Buy to close"))</f>
        <v/>
      </c>
      <c r="K129" s="23"/>
      <c r="L129" s="23"/>
      <c r="M129" s="23"/>
      <c r="N129" s="21"/>
      <c r="O129" s="28"/>
      <c r="P129" s="14" t="str">
        <f aca="false">IF(OR(C129&lt;&gt;"Open",L129=""),"",L129*100*D129)</f>
        <v/>
      </c>
      <c r="Q129" s="14" t="str">
        <f aca="false">IF(OR(C129&lt;&gt;"Open",P129=""),"",I129-J129-P129)</f>
        <v/>
      </c>
      <c r="R129" s="14" t="str">
        <f aca="false">IF(OR(C129&lt;&gt;"Open",K129=""),"",K129*G129)</f>
        <v/>
      </c>
      <c r="S129" s="14" t="str">
        <f aca="false">IF(OR(R129="",Q129=""),"",R129-H129+Q129)</f>
        <v/>
      </c>
      <c r="T129" s="13" t="str">
        <f aca="false">IF(OR(R129="",Q129="",N(H129)=0),"",(R129+Q129)/H129)</f>
        <v/>
      </c>
      <c r="U129" s="10" t="str">
        <f aca="false">IF(C129&lt;&gt;"Closed","",_xlfn.MAXIFS(Transactions!$A:$A,Transactions!$D:$D,$A129))</f>
        <v/>
      </c>
      <c r="V129" s="14" t="str">
        <f aca="false">IF(C129&lt;&gt;"Closed","",I129-J129)</f>
        <v/>
      </c>
      <c r="W129" s="8" t="str">
        <f aca="false">IF($A129="","",IFERROR(INDEX(Transactions!$O:$O,MATCH($A129,Transactions!$D:$D,0)),""))</f>
        <v/>
      </c>
    </row>
    <row r="130" customFormat="false" ht="15" hidden="false" customHeight="false" outlineLevel="0" collapsed="false">
      <c r="A130" s="21"/>
      <c r="B130" s="8" t="str">
        <f aca="false">IF($A130="","",IFERROR(INDEX(Transactions!$C:$C,MATCH($A130,Transactions!$D:$D,0)),""))</f>
        <v/>
      </c>
      <c r="C130" s="8" t="str">
        <f aca="false">IF($A130="","",IF(D130&gt;0,"Open","Closed"))</f>
        <v/>
      </c>
      <c r="D130" s="8" t="str">
        <f aca="false">IF($A130="","",-SUMIFS(Transactions!$E:$E,Transactions!$D:$D,$A130,Transactions!$B:$B,"Sell call")-SUMIFS(Transactions!$E:$E,Transactions!$D:$D,$A130,Transactions!$B:$B,"Buy to close")-SUMIFS(Transactions!$E:$E,Transactions!$D:$D,$A130,Transactions!$B:$B,"Expired")-SUMIFS(Transactions!$E:$E,Transactions!$D:$D,$A130,Transactions!$B:$B,"Assigned"))</f>
        <v/>
      </c>
      <c r="E130" s="27" t="str">
        <f aca="false">IF($A130="","",IFERROR(SUMIFS(Transactions!$F:$F,Transactions!$D:$D,$A130,Transactions!$B:$B,"Sell call")/COUNTIFS(Transactions!$D:$D,$A130,Transactions!$B:$B,"Sell call"),""))</f>
        <v/>
      </c>
      <c r="F130" s="10" t="str">
        <f aca="false">IF($A130="","",IFERROR(SUMIFS(Transactions!$G:$G,Transactions!$D:$D,$A130,Transactions!$B:$B,"Sell call")/COUNTIFS(Transactions!$D:$D,$A130,Transactions!$B:$B,"Sell call"),""))</f>
        <v/>
      </c>
      <c r="G130" s="8" t="str">
        <f aca="false">IF($A130="","",-SUMIFS(Transactions!$E:$E,Transactions!$D:$D,$A130,Transactions!$B:$B,"Sell call")*100+SUMIFS(Transactions!$E:$E,Transactions!$D:$D,$A130,Transactions!$B:$B,"Sell shares"))</f>
        <v/>
      </c>
      <c r="H130" s="14" t="str">
        <f aca="false">IF($A130="","",IF(SUMIFS(Transactions!$J:$J,Transactions!$D:$D,$A130,Transactions!$B:$B,"Buy shares")&lt;&gt;0,-SUMIFS(Transactions!$J:$J,Transactions!$D:$D,$A130,Transactions!$B:$B,"Buy shares"),IFERROR(INDEX(Lots!$E:$E,MATCH($W130,Lots!$A:$A,0))*-SUMIFS(Transactions!$E:$E,Transactions!$D:$D,$A130,Transactions!$B:$B,"Sell call")*100,0)))</f>
        <v/>
      </c>
      <c r="I130" s="14" t="str">
        <f aca="false">IF($A130="","",SUMIFS(Transactions!$J:$J,Transactions!$D:$D,$A130,Transactions!$B:$B,"Sell call"))</f>
        <v/>
      </c>
      <c r="J130" s="14" t="str">
        <f aca="false">IF($A130="","",-SUMIFS(Transactions!$J:$J,Transactions!$D:$D,$A130,Transactions!$B:$B,"Buy to close"))</f>
        <v/>
      </c>
      <c r="K130" s="23"/>
      <c r="L130" s="23"/>
      <c r="M130" s="23"/>
      <c r="N130" s="21"/>
      <c r="O130" s="28"/>
      <c r="P130" s="14" t="str">
        <f aca="false">IF(OR(C130&lt;&gt;"Open",L130=""),"",L130*100*D130)</f>
        <v/>
      </c>
      <c r="Q130" s="14" t="str">
        <f aca="false">IF(OR(C130&lt;&gt;"Open",P130=""),"",I130-J130-P130)</f>
        <v/>
      </c>
      <c r="R130" s="14" t="str">
        <f aca="false">IF(OR(C130&lt;&gt;"Open",K130=""),"",K130*G130)</f>
        <v/>
      </c>
      <c r="S130" s="14" t="str">
        <f aca="false">IF(OR(R130="",Q130=""),"",R130-H130+Q130)</f>
        <v/>
      </c>
      <c r="T130" s="13" t="str">
        <f aca="false">IF(OR(R130="",Q130="",N(H130)=0),"",(R130+Q130)/H130)</f>
        <v/>
      </c>
      <c r="U130" s="10" t="str">
        <f aca="false">IF(C130&lt;&gt;"Closed","",_xlfn.MAXIFS(Transactions!$A:$A,Transactions!$D:$D,$A130))</f>
        <v/>
      </c>
      <c r="V130" s="14" t="str">
        <f aca="false">IF(C130&lt;&gt;"Closed","",I130-J130)</f>
        <v/>
      </c>
      <c r="W130" s="8" t="str">
        <f aca="false">IF($A130="","",IFERROR(INDEX(Transactions!$O:$O,MATCH($A130,Transactions!$D:$D,0)),""))</f>
        <v/>
      </c>
    </row>
    <row r="131" customFormat="false" ht="15" hidden="false" customHeight="false" outlineLevel="0" collapsed="false">
      <c r="A131" s="21"/>
      <c r="B131" s="8" t="str">
        <f aca="false">IF($A131="","",IFERROR(INDEX(Transactions!$C:$C,MATCH($A131,Transactions!$D:$D,0)),""))</f>
        <v/>
      </c>
      <c r="C131" s="8" t="str">
        <f aca="false">IF($A131="","",IF(D131&gt;0,"Open","Closed"))</f>
        <v/>
      </c>
      <c r="D131" s="8" t="str">
        <f aca="false">IF($A131="","",-SUMIFS(Transactions!$E:$E,Transactions!$D:$D,$A131,Transactions!$B:$B,"Sell call")-SUMIFS(Transactions!$E:$E,Transactions!$D:$D,$A131,Transactions!$B:$B,"Buy to close")-SUMIFS(Transactions!$E:$E,Transactions!$D:$D,$A131,Transactions!$B:$B,"Expired")-SUMIFS(Transactions!$E:$E,Transactions!$D:$D,$A131,Transactions!$B:$B,"Assigned"))</f>
        <v/>
      </c>
      <c r="E131" s="27" t="str">
        <f aca="false">IF($A131="","",IFERROR(SUMIFS(Transactions!$F:$F,Transactions!$D:$D,$A131,Transactions!$B:$B,"Sell call")/COUNTIFS(Transactions!$D:$D,$A131,Transactions!$B:$B,"Sell call"),""))</f>
        <v/>
      </c>
      <c r="F131" s="10" t="str">
        <f aca="false">IF($A131="","",IFERROR(SUMIFS(Transactions!$G:$G,Transactions!$D:$D,$A131,Transactions!$B:$B,"Sell call")/COUNTIFS(Transactions!$D:$D,$A131,Transactions!$B:$B,"Sell call"),""))</f>
        <v/>
      </c>
      <c r="G131" s="8" t="str">
        <f aca="false">IF($A131="","",-SUMIFS(Transactions!$E:$E,Transactions!$D:$D,$A131,Transactions!$B:$B,"Sell call")*100+SUMIFS(Transactions!$E:$E,Transactions!$D:$D,$A131,Transactions!$B:$B,"Sell shares"))</f>
        <v/>
      </c>
      <c r="H131" s="14" t="str">
        <f aca="false">IF($A131="","",IF(SUMIFS(Transactions!$J:$J,Transactions!$D:$D,$A131,Transactions!$B:$B,"Buy shares")&lt;&gt;0,-SUMIFS(Transactions!$J:$J,Transactions!$D:$D,$A131,Transactions!$B:$B,"Buy shares"),IFERROR(INDEX(Lots!$E:$E,MATCH($W131,Lots!$A:$A,0))*-SUMIFS(Transactions!$E:$E,Transactions!$D:$D,$A131,Transactions!$B:$B,"Sell call")*100,0)))</f>
        <v/>
      </c>
      <c r="I131" s="14" t="str">
        <f aca="false">IF($A131="","",SUMIFS(Transactions!$J:$J,Transactions!$D:$D,$A131,Transactions!$B:$B,"Sell call"))</f>
        <v/>
      </c>
      <c r="J131" s="14" t="str">
        <f aca="false">IF($A131="","",-SUMIFS(Transactions!$J:$J,Transactions!$D:$D,$A131,Transactions!$B:$B,"Buy to close"))</f>
        <v/>
      </c>
      <c r="K131" s="23"/>
      <c r="L131" s="23"/>
      <c r="M131" s="23"/>
      <c r="N131" s="21"/>
      <c r="O131" s="28"/>
      <c r="P131" s="14" t="str">
        <f aca="false">IF(OR(C131&lt;&gt;"Open",L131=""),"",L131*100*D131)</f>
        <v/>
      </c>
      <c r="Q131" s="14" t="str">
        <f aca="false">IF(OR(C131&lt;&gt;"Open",P131=""),"",I131-J131-P131)</f>
        <v/>
      </c>
      <c r="R131" s="14" t="str">
        <f aca="false">IF(OR(C131&lt;&gt;"Open",K131=""),"",K131*G131)</f>
        <v/>
      </c>
      <c r="S131" s="14" t="str">
        <f aca="false">IF(OR(R131="",Q131=""),"",R131-H131+Q131)</f>
        <v/>
      </c>
      <c r="T131" s="13" t="str">
        <f aca="false">IF(OR(R131="",Q131="",N(H131)=0),"",(R131+Q131)/H131)</f>
        <v/>
      </c>
      <c r="U131" s="10" t="str">
        <f aca="false">IF(C131&lt;&gt;"Closed","",_xlfn.MAXIFS(Transactions!$A:$A,Transactions!$D:$D,$A131))</f>
        <v/>
      </c>
      <c r="V131" s="14" t="str">
        <f aca="false">IF(C131&lt;&gt;"Closed","",I131-J131)</f>
        <v/>
      </c>
      <c r="W131" s="8" t="str">
        <f aca="false">IF($A131="","",IFERROR(INDEX(Transactions!$O:$O,MATCH($A131,Transactions!$D:$D,0)),""))</f>
        <v/>
      </c>
    </row>
    <row r="132" customFormat="false" ht="15" hidden="false" customHeight="false" outlineLevel="0" collapsed="false">
      <c r="A132" s="21"/>
      <c r="B132" s="8" t="str">
        <f aca="false">IF($A132="","",IFERROR(INDEX(Transactions!$C:$C,MATCH($A132,Transactions!$D:$D,0)),""))</f>
        <v/>
      </c>
      <c r="C132" s="8" t="str">
        <f aca="false">IF($A132="","",IF(D132&gt;0,"Open","Closed"))</f>
        <v/>
      </c>
      <c r="D132" s="8" t="str">
        <f aca="false">IF($A132="","",-SUMIFS(Transactions!$E:$E,Transactions!$D:$D,$A132,Transactions!$B:$B,"Sell call")-SUMIFS(Transactions!$E:$E,Transactions!$D:$D,$A132,Transactions!$B:$B,"Buy to close")-SUMIFS(Transactions!$E:$E,Transactions!$D:$D,$A132,Transactions!$B:$B,"Expired")-SUMIFS(Transactions!$E:$E,Transactions!$D:$D,$A132,Transactions!$B:$B,"Assigned"))</f>
        <v/>
      </c>
      <c r="E132" s="27" t="str">
        <f aca="false">IF($A132="","",IFERROR(SUMIFS(Transactions!$F:$F,Transactions!$D:$D,$A132,Transactions!$B:$B,"Sell call")/COUNTIFS(Transactions!$D:$D,$A132,Transactions!$B:$B,"Sell call"),""))</f>
        <v/>
      </c>
      <c r="F132" s="10" t="str">
        <f aca="false">IF($A132="","",IFERROR(SUMIFS(Transactions!$G:$G,Transactions!$D:$D,$A132,Transactions!$B:$B,"Sell call")/COUNTIFS(Transactions!$D:$D,$A132,Transactions!$B:$B,"Sell call"),""))</f>
        <v/>
      </c>
      <c r="G132" s="8" t="str">
        <f aca="false">IF($A132="","",-SUMIFS(Transactions!$E:$E,Transactions!$D:$D,$A132,Transactions!$B:$B,"Sell call")*100+SUMIFS(Transactions!$E:$E,Transactions!$D:$D,$A132,Transactions!$B:$B,"Sell shares"))</f>
        <v/>
      </c>
      <c r="H132" s="14" t="str">
        <f aca="false">IF($A132="","",IF(SUMIFS(Transactions!$J:$J,Transactions!$D:$D,$A132,Transactions!$B:$B,"Buy shares")&lt;&gt;0,-SUMIFS(Transactions!$J:$J,Transactions!$D:$D,$A132,Transactions!$B:$B,"Buy shares"),IFERROR(INDEX(Lots!$E:$E,MATCH($W132,Lots!$A:$A,0))*-SUMIFS(Transactions!$E:$E,Transactions!$D:$D,$A132,Transactions!$B:$B,"Sell call")*100,0)))</f>
        <v/>
      </c>
      <c r="I132" s="14" t="str">
        <f aca="false">IF($A132="","",SUMIFS(Transactions!$J:$J,Transactions!$D:$D,$A132,Transactions!$B:$B,"Sell call"))</f>
        <v/>
      </c>
      <c r="J132" s="14" t="str">
        <f aca="false">IF($A132="","",-SUMIFS(Transactions!$J:$J,Transactions!$D:$D,$A132,Transactions!$B:$B,"Buy to close"))</f>
        <v/>
      </c>
      <c r="K132" s="23"/>
      <c r="L132" s="23"/>
      <c r="M132" s="23"/>
      <c r="N132" s="21"/>
      <c r="O132" s="28"/>
      <c r="P132" s="14" t="str">
        <f aca="false">IF(OR(C132&lt;&gt;"Open",L132=""),"",L132*100*D132)</f>
        <v/>
      </c>
      <c r="Q132" s="14" t="str">
        <f aca="false">IF(OR(C132&lt;&gt;"Open",P132=""),"",I132-J132-P132)</f>
        <v/>
      </c>
      <c r="R132" s="14" t="str">
        <f aca="false">IF(OR(C132&lt;&gt;"Open",K132=""),"",K132*G132)</f>
        <v/>
      </c>
      <c r="S132" s="14" t="str">
        <f aca="false">IF(OR(R132="",Q132=""),"",R132-H132+Q132)</f>
        <v/>
      </c>
      <c r="T132" s="13" t="str">
        <f aca="false">IF(OR(R132="",Q132="",N(H132)=0),"",(R132+Q132)/H132)</f>
        <v/>
      </c>
      <c r="U132" s="10" t="str">
        <f aca="false">IF(C132&lt;&gt;"Closed","",_xlfn.MAXIFS(Transactions!$A:$A,Transactions!$D:$D,$A132))</f>
        <v/>
      </c>
      <c r="V132" s="14" t="str">
        <f aca="false">IF(C132&lt;&gt;"Closed","",I132-J132)</f>
        <v/>
      </c>
      <c r="W132" s="8" t="str">
        <f aca="false">IF($A132="","",IFERROR(INDEX(Transactions!$O:$O,MATCH($A132,Transactions!$D:$D,0)),""))</f>
        <v/>
      </c>
    </row>
    <row r="133" customFormat="false" ht="15" hidden="false" customHeight="false" outlineLevel="0" collapsed="false">
      <c r="A133" s="21"/>
      <c r="B133" s="8" t="str">
        <f aca="false">IF($A133="","",IFERROR(INDEX(Transactions!$C:$C,MATCH($A133,Transactions!$D:$D,0)),""))</f>
        <v/>
      </c>
      <c r="C133" s="8" t="str">
        <f aca="false">IF($A133="","",IF(D133&gt;0,"Open","Closed"))</f>
        <v/>
      </c>
      <c r="D133" s="8" t="str">
        <f aca="false">IF($A133="","",-SUMIFS(Transactions!$E:$E,Transactions!$D:$D,$A133,Transactions!$B:$B,"Sell call")-SUMIFS(Transactions!$E:$E,Transactions!$D:$D,$A133,Transactions!$B:$B,"Buy to close")-SUMIFS(Transactions!$E:$E,Transactions!$D:$D,$A133,Transactions!$B:$B,"Expired")-SUMIFS(Transactions!$E:$E,Transactions!$D:$D,$A133,Transactions!$B:$B,"Assigned"))</f>
        <v/>
      </c>
      <c r="E133" s="27" t="str">
        <f aca="false">IF($A133="","",IFERROR(SUMIFS(Transactions!$F:$F,Transactions!$D:$D,$A133,Transactions!$B:$B,"Sell call")/COUNTIFS(Transactions!$D:$D,$A133,Transactions!$B:$B,"Sell call"),""))</f>
        <v/>
      </c>
      <c r="F133" s="10" t="str">
        <f aca="false">IF($A133="","",IFERROR(SUMIFS(Transactions!$G:$G,Transactions!$D:$D,$A133,Transactions!$B:$B,"Sell call")/COUNTIFS(Transactions!$D:$D,$A133,Transactions!$B:$B,"Sell call"),""))</f>
        <v/>
      </c>
      <c r="G133" s="8" t="str">
        <f aca="false">IF($A133="","",-SUMIFS(Transactions!$E:$E,Transactions!$D:$D,$A133,Transactions!$B:$B,"Sell call")*100+SUMIFS(Transactions!$E:$E,Transactions!$D:$D,$A133,Transactions!$B:$B,"Sell shares"))</f>
        <v/>
      </c>
      <c r="H133" s="14" t="str">
        <f aca="false">IF($A133="","",IF(SUMIFS(Transactions!$J:$J,Transactions!$D:$D,$A133,Transactions!$B:$B,"Buy shares")&lt;&gt;0,-SUMIFS(Transactions!$J:$J,Transactions!$D:$D,$A133,Transactions!$B:$B,"Buy shares"),IFERROR(INDEX(Lots!$E:$E,MATCH($W133,Lots!$A:$A,0))*-SUMIFS(Transactions!$E:$E,Transactions!$D:$D,$A133,Transactions!$B:$B,"Sell call")*100,0)))</f>
        <v/>
      </c>
      <c r="I133" s="14" t="str">
        <f aca="false">IF($A133="","",SUMIFS(Transactions!$J:$J,Transactions!$D:$D,$A133,Transactions!$B:$B,"Sell call"))</f>
        <v/>
      </c>
      <c r="J133" s="14" t="str">
        <f aca="false">IF($A133="","",-SUMIFS(Transactions!$J:$J,Transactions!$D:$D,$A133,Transactions!$B:$B,"Buy to close"))</f>
        <v/>
      </c>
      <c r="K133" s="23"/>
      <c r="L133" s="23"/>
      <c r="M133" s="23"/>
      <c r="N133" s="21"/>
      <c r="O133" s="28"/>
      <c r="P133" s="14" t="str">
        <f aca="false">IF(OR(C133&lt;&gt;"Open",L133=""),"",L133*100*D133)</f>
        <v/>
      </c>
      <c r="Q133" s="14" t="str">
        <f aca="false">IF(OR(C133&lt;&gt;"Open",P133=""),"",I133-J133-P133)</f>
        <v/>
      </c>
      <c r="R133" s="14" t="str">
        <f aca="false">IF(OR(C133&lt;&gt;"Open",K133=""),"",K133*G133)</f>
        <v/>
      </c>
      <c r="S133" s="14" t="str">
        <f aca="false">IF(OR(R133="",Q133=""),"",R133-H133+Q133)</f>
        <v/>
      </c>
      <c r="T133" s="13" t="str">
        <f aca="false">IF(OR(R133="",Q133="",N(H133)=0),"",(R133+Q133)/H133)</f>
        <v/>
      </c>
      <c r="U133" s="10" t="str">
        <f aca="false">IF(C133&lt;&gt;"Closed","",_xlfn.MAXIFS(Transactions!$A:$A,Transactions!$D:$D,$A133))</f>
        <v/>
      </c>
      <c r="V133" s="14" t="str">
        <f aca="false">IF(C133&lt;&gt;"Closed","",I133-J133)</f>
        <v/>
      </c>
      <c r="W133" s="8" t="str">
        <f aca="false">IF($A133="","",IFERROR(INDEX(Transactions!$O:$O,MATCH($A133,Transactions!$D:$D,0)),""))</f>
        <v/>
      </c>
    </row>
    <row r="134" customFormat="false" ht="15" hidden="false" customHeight="false" outlineLevel="0" collapsed="false">
      <c r="A134" s="21"/>
      <c r="B134" s="8" t="str">
        <f aca="false">IF($A134="","",IFERROR(INDEX(Transactions!$C:$C,MATCH($A134,Transactions!$D:$D,0)),""))</f>
        <v/>
      </c>
      <c r="C134" s="8" t="str">
        <f aca="false">IF($A134="","",IF(D134&gt;0,"Open","Closed"))</f>
        <v/>
      </c>
      <c r="D134" s="8" t="str">
        <f aca="false">IF($A134="","",-SUMIFS(Transactions!$E:$E,Transactions!$D:$D,$A134,Transactions!$B:$B,"Sell call")-SUMIFS(Transactions!$E:$E,Transactions!$D:$D,$A134,Transactions!$B:$B,"Buy to close")-SUMIFS(Transactions!$E:$E,Transactions!$D:$D,$A134,Transactions!$B:$B,"Expired")-SUMIFS(Transactions!$E:$E,Transactions!$D:$D,$A134,Transactions!$B:$B,"Assigned"))</f>
        <v/>
      </c>
      <c r="E134" s="27" t="str">
        <f aca="false">IF($A134="","",IFERROR(SUMIFS(Transactions!$F:$F,Transactions!$D:$D,$A134,Transactions!$B:$B,"Sell call")/COUNTIFS(Transactions!$D:$D,$A134,Transactions!$B:$B,"Sell call"),""))</f>
        <v/>
      </c>
      <c r="F134" s="10" t="str">
        <f aca="false">IF($A134="","",IFERROR(SUMIFS(Transactions!$G:$G,Transactions!$D:$D,$A134,Transactions!$B:$B,"Sell call")/COUNTIFS(Transactions!$D:$D,$A134,Transactions!$B:$B,"Sell call"),""))</f>
        <v/>
      </c>
      <c r="G134" s="8" t="str">
        <f aca="false">IF($A134="","",-SUMIFS(Transactions!$E:$E,Transactions!$D:$D,$A134,Transactions!$B:$B,"Sell call")*100+SUMIFS(Transactions!$E:$E,Transactions!$D:$D,$A134,Transactions!$B:$B,"Sell shares"))</f>
        <v/>
      </c>
      <c r="H134" s="14" t="str">
        <f aca="false">IF($A134="","",IF(SUMIFS(Transactions!$J:$J,Transactions!$D:$D,$A134,Transactions!$B:$B,"Buy shares")&lt;&gt;0,-SUMIFS(Transactions!$J:$J,Transactions!$D:$D,$A134,Transactions!$B:$B,"Buy shares"),IFERROR(INDEX(Lots!$E:$E,MATCH($W134,Lots!$A:$A,0))*-SUMIFS(Transactions!$E:$E,Transactions!$D:$D,$A134,Transactions!$B:$B,"Sell call")*100,0)))</f>
        <v/>
      </c>
      <c r="I134" s="14" t="str">
        <f aca="false">IF($A134="","",SUMIFS(Transactions!$J:$J,Transactions!$D:$D,$A134,Transactions!$B:$B,"Sell call"))</f>
        <v/>
      </c>
      <c r="J134" s="14" t="str">
        <f aca="false">IF($A134="","",-SUMIFS(Transactions!$J:$J,Transactions!$D:$D,$A134,Transactions!$B:$B,"Buy to close"))</f>
        <v/>
      </c>
      <c r="K134" s="23"/>
      <c r="L134" s="23"/>
      <c r="M134" s="23"/>
      <c r="N134" s="21"/>
      <c r="O134" s="28"/>
      <c r="P134" s="14" t="str">
        <f aca="false">IF(OR(C134&lt;&gt;"Open",L134=""),"",L134*100*D134)</f>
        <v/>
      </c>
      <c r="Q134" s="14" t="str">
        <f aca="false">IF(OR(C134&lt;&gt;"Open",P134=""),"",I134-J134-P134)</f>
        <v/>
      </c>
      <c r="R134" s="14" t="str">
        <f aca="false">IF(OR(C134&lt;&gt;"Open",K134=""),"",K134*G134)</f>
        <v/>
      </c>
      <c r="S134" s="14" t="str">
        <f aca="false">IF(OR(R134="",Q134=""),"",R134-H134+Q134)</f>
        <v/>
      </c>
      <c r="T134" s="13" t="str">
        <f aca="false">IF(OR(R134="",Q134="",N(H134)=0),"",(R134+Q134)/H134)</f>
        <v/>
      </c>
      <c r="U134" s="10" t="str">
        <f aca="false">IF(C134&lt;&gt;"Closed","",_xlfn.MAXIFS(Transactions!$A:$A,Transactions!$D:$D,$A134))</f>
        <v/>
      </c>
      <c r="V134" s="14" t="str">
        <f aca="false">IF(C134&lt;&gt;"Closed","",I134-J134)</f>
        <v/>
      </c>
      <c r="W134" s="8" t="str">
        <f aca="false">IF($A134="","",IFERROR(INDEX(Transactions!$O:$O,MATCH($A134,Transactions!$D:$D,0)),""))</f>
        <v/>
      </c>
    </row>
    <row r="135" customFormat="false" ht="15" hidden="false" customHeight="false" outlineLevel="0" collapsed="false">
      <c r="A135" s="21"/>
      <c r="B135" s="8" t="str">
        <f aca="false">IF($A135="","",IFERROR(INDEX(Transactions!$C:$C,MATCH($A135,Transactions!$D:$D,0)),""))</f>
        <v/>
      </c>
      <c r="C135" s="8" t="str">
        <f aca="false">IF($A135="","",IF(D135&gt;0,"Open","Closed"))</f>
        <v/>
      </c>
      <c r="D135" s="8" t="str">
        <f aca="false">IF($A135="","",-SUMIFS(Transactions!$E:$E,Transactions!$D:$D,$A135,Transactions!$B:$B,"Sell call")-SUMIFS(Transactions!$E:$E,Transactions!$D:$D,$A135,Transactions!$B:$B,"Buy to close")-SUMIFS(Transactions!$E:$E,Transactions!$D:$D,$A135,Transactions!$B:$B,"Expired")-SUMIFS(Transactions!$E:$E,Transactions!$D:$D,$A135,Transactions!$B:$B,"Assigned"))</f>
        <v/>
      </c>
      <c r="E135" s="27" t="str">
        <f aca="false">IF($A135="","",IFERROR(SUMIFS(Transactions!$F:$F,Transactions!$D:$D,$A135,Transactions!$B:$B,"Sell call")/COUNTIFS(Transactions!$D:$D,$A135,Transactions!$B:$B,"Sell call"),""))</f>
        <v/>
      </c>
      <c r="F135" s="10" t="str">
        <f aca="false">IF($A135="","",IFERROR(SUMIFS(Transactions!$G:$G,Transactions!$D:$D,$A135,Transactions!$B:$B,"Sell call")/COUNTIFS(Transactions!$D:$D,$A135,Transactions!$B:$B,"Sell call"),""))</f>
        <v/>
      </c>
      <c r="G135" s="8" t="str">
        <f aca="false">IF($A135="","",-SUMIFS(Transactions!$E:$E,Transactions!$D:$D,$A135,Transactions!$B:$B,"Sell call")*100+SUMIFS(Transactions!$E:$E,Transactions!$D:$D,$A135,Transactions!$B:$B,"Sell shares"))</f>
        <v/>
      </c>
      <c r="H135" s="14" t="str">
        <f aca="false">IF($A135="","",IF(SUMIFS(Transactions!$J:$J,Transactions!$D:$D,$A135,Transactions!$B:$B,"Buy shares")&lt;&gt;0,-SUMIFS(Transactions!$J:$J,Transactions!$D:$D,$A135,Transactions!$B:$B,"Buy shares"),IFERROR(INDEX(Lots!$E:$E,MATCH($W135,Lots!$A:$A,0))*-SUMIFS(Transactions!$E:$E,Transactions!$D:$D,$A135,Transactions!$B:$B,"Sell call")*100,0)))</f>
        <v/>
      </c>
      <c r="I135" s="14" t="str">
        <f aca="false">IF($A135="","",SUMIFS(Transactions!$J:$J,Transactions!$D:$D,$A135,Transactions!$B:$B,"Sell call"))</f>
        <v/>
      </c>
      <c r="J135" s="14" t="str">
        <f aca="false">IF($A135="","",-SUMIFS(Transactions!$J:$J,Transactions!$D:$D,$A135,Transactions!$B:$B,"Buy to close"))</f>
        <v/>
      </c>
      <c r="K135" s="23"/>
      <c r="L135" s="23"/>
      <c r="M135" s="23"/>
      <c r="N135" s="21"/>
      <c r="O135" s="28"/>
      <c r="P135" s="14" t="str">
        <f aca="false">IF(OR(C135&lt;&gt;"Open",L135=""),"",L135*100*D135)</f>
        <v/>
      </c>
      <c r="Q135" s="14" t="str">
        <f aca="false">IF(OR(C135&lt;&gt;"Open",P135=""),"",I135-J135-P135)</f>
        <v/>
      </c>
      <c r="R135" s="14" t="str">
        <f aca="false">IF(OR(C135&lt;&gt;"Open",K135=""),"",K135*G135)</f>
        <v/>
      </c>
      <c r="S135" s="14" t="str">
        <f aca="false">IF(OR(R135="",Q135=""),"",R135-H135+Q135)</f>
        <v/>
      </c>
      <c r="T135" s="13" t="str">
        <f aca="false">IF(OR(R135="",Q135="",N(H135)=0),"",(R135+Q135)/H135)</f>
        <v/>
      </c>
      <c r="U135" s="10" t="str">
        <f aca="false">IF(C135&lt;&gt;"Closed","",_xlfn.MAXIFS(Transactions!$A:$A,Transactions!$D:$D,$A135))</f>
        <v/>
      </c>
      <c r="V135" s="14" t="str">
        <f aca="false">IF(C135&lt;&gt;"Closed","",I135-J135)</f>
        <v/>
      </c>
      <c r="W135" s="8" t="str">
        <f aca="false">IF($A135="","",IFERROR(INDEX(Transactions!$O:$O,MATCH($A135,Transactions!$D:$D,0)),""))</f>
        <v/>
      </c>
    </row>
    <row r="136" customFormat="false" ht="15" hidden="false" customHeight="false" outlineLevel="0" collapsed="false">
      <c r="A136" s="21"/>
      <c r="B136" s="8" t="str">
        <f aca="false">IF($A136="","",IFERROR(INDEX(Transactions!$C:$C,MATCH($A136,Transactions!$D:$D,0)),""))</f>
        <v/>
      </c>
      <c r="C136" s="8" t="str">
        <f aca="false">IF($A136="","",IF(D136&gt;0,"Open","Closed"))</f>
        <v/>
      </c>
      <c r="D136" s="8" t="str">
        <f aca="false">IF($A136="","",-SUMIFS(Transactions!$E:$E,Transactions!$D:$D,$A136,Transactions!$B:$B,"Sell call")-SUMIFS(Transactions!$E:$E,Transactions!$D:$D,$A136,Transactions!$B:$B,"Buy to close")-SUMIFS(Transactions!$E:$E,Transactions!$D:$D,$A136,Transactions!$B:$B,"Expired")-SUMIFS(Transactions!$E:$E,Transactions!$D:$D,$A136,Transactions!$B:$B,"Assigned"))</f>
        <v/>
      </c>
      <c r="E136" s="27" t="str">
        <f aca="false">IF($A136="","",IFERROR(SUMIFS(Transactions!$F:$F,Transactions!$D:$D,$A136,Transactions!$B:$B,"Sell call")/COUNTIFS(Transactions!$D:$D,$A136,Transactions!$B:$B,"Sell call"),""))</f>
        <v/>
      </c>
      <c r="F136" s="10" t="str">
        <f aca="false">IF($A136="","",IFERROR(SUMIFS(Transactions!$G:$G,Transactions!$D:$D,$A136,Transactions!$B:$B,"Sell call")/COUNTIFS(Transactions!$D:$D,$A136,Transactions!$B:$B,"Sell call"),""))</f>
        <v/>
      </c>
      <c r="G136" s="8" t="str">
        <f aca="false">IF($A136="","",-SUMIFS(Transactions!$E:$E,Transactions!$D:$D,$A136,Transactions!$B:$B,"Sell call")*100+SUMIFS(Transactions!$E:$E,Transactions!$D:$D,$A136,Transactions!$B:$B,"Sell shares"))</f>
        <v/>
      </c>
      <c r="H136" s="14" t="str">
        <f aca="false">IF($A136="","",IF(SUMIFS(Transactions!$J:$J,Transactions!$D:$D,$A136,Transactions!$B:$B,"Buy shares")&lt;&gt;0,-SUMIFS(Transactions!$J:$J,Transactions!$D:$D,$A136,Transactions!$B:$B,"Buy shares"),IFERROR(INDEX(Lots!$E:$E,MATCH($W136,Lots!$A:$A,0))*-SUMIFS(Transactions!$E:$E,Transactions!$D:$D,$A136,Transactions!$B:$B,"Sell call")*100,0)))</f>
        <v/>
      </c>
      <c r="I136" s="14" t="str">
        <f aca="false">IF($A136="","",SUMIFS(Transactions!$J:$J,Transactions!$D:$D,$A136,Transactions!$B:$B,"Sell call"))</f>
        <v/>
      </c>
      <c r="J136" s="14" t="str">
        <f aca="false">IF($A136="","",-SUMIFS(Transactions!$J:$J,Transactions!$D:$D,$A136,Transactions!$B:$B,"Buy to close"))</f>
        <v/>
      </c>
      <c r="K136" s="23"/>
      <c r="L136" s="23"/>
      <c r="M136" s="23"/>
      <c r="N136" s="21"/>
      <c r="O136" s="28"/>
      <c r="P136" s="14" t="str">
        <f aca="false">IF(OR(C136&lt;&gt;"Open",L136=""),"",L136*100*D136)</f>
        <v/>
      </c>
      <c r="Q136" s="14" t="str">
        <f aca="false">IF(OR(C136&lt;&gt;"Open",P136=""),"",I136-J136-P136)</f>
        <v/>
      </c>
      <c r="R136" s="14" t="str">
        <f aca="false">IF(OR(C136&lt;&gt;"Open",K136=""),"",K136*G136)</f>
        <v/>
      </c>
      <c r="S136" s="14" t="str">
        <f aca="false">IF(OR(R136="",Q136=""),"",R136-H136+Q136)</f>
        <v/>
      </c>
      <c r="T136" s="13" t="str">
        <f aca="false">IF(OR(R136="",Q136="",N(H136)=0),"",(R136+Q136)/H136)</f>
        <v/>
      </c>
      <c r="U136" s="10" t="str">
        <f aca="false">IF(C136&lt;&gt;"Closed","",_xlfn.MAXIFS(Transactions!$A:$A,Transactions!$D:$D,$A136))</f>
        <v/>
      </c>
      <c r="V136" s="14" t="str">
        <f aca="false">IF(C136&lt;&gt;"Closed","",I136-J136)</f>
        <v/>
      </c>
      <c r="W136" s="8" t="str">
        <f aca="false">IF($A136="","",IFERROR(INDEX(Transactions!$O:$O,MATCH($A136,Transactions!$D:$D,0)),""))</f>
        <v/>
      </c>
    </row>
    <row r="137" customFormat="false" ht="15" hidden="false" customHeight="false" outlineLevel="0" collapsed="false">
      <c r="A137" s="21"/>
      <c r="B137" s="8" t="str">
        <f aca="false">IF($A137="","",IFERROR(INDEX(Transactions!$C:$C,MATCH($A137,Transactions!$D:$D,0)),""))</f>
        <v/>
      </c>
      <c r="C137" s="8" t="str">
        <f aca="false">IF($A137="","",IF(D137&gt;0,"Open","Closed"))</f>
        <v/>
      </c>
      <c r="D137" s="8" t="str">
        <f aca="false">IF($A137="","",-SUMIFS(Transactions!$E:$E,Transactions!$D:$D,$A137,Transactions!$B:$B,"Sell call")-SUMIFS(Transactions!$E:$E,Transactions!$D:$D,$A137,Transactions!$B:$B,"Buy to close")-SUMIFS(Transactions!$E:$E,Transactions!$D:$D,$A137,Transactions!$B:$B,"Expired")-SUMIFS(Transactions!$E:$E,Transactions!$D:$D,$A137,Transactions!$B:$B,"Assigned"))</f>
        <v/>
      </c>
      <c r="E137" s="27" t="str">
        <f aca="false">IF($A137="","",IFERROR(SUMIFS(Transactions!$F:$F,Transactions!$D:$D,$A137,Transactions!$B:$B,"Sell call")/COUNTIFS(Transactions!$D:$D,$A137,Transactions!$B:$B,"Sell call"),""))</f>
        <v/>
      </c>
      <c r="F137" s="10" t="str">
        <f aca="false">IF($A137="","",IFERROR(SUMIFS(Transactions!$G:$G,Transactions!$D:$D,$A137,Transactions!$B:$B,"Sell call")/COUNTIFS(Transactions!$D:$D,$A137,Transactions!$B:$B,"Sell call"),""))</f>
        <v/>
      </c>
      <c r="G137" s="8" t="str">
        <f aca="false">IF($A137="","",-SUMIFS(Transactions!$E:$E,Transactions!$D:$D,$A137,Transactions!$B:$B,"Sell call")*100+SUMIFS(Transactions!$E:$E,Transactions!$D:$D,$A137,Transactions!$B:$B,"Sell shares"))</f>
        <v/>
      </c>
      <c r="H137" s="14" t="str">
        <f aca="false">IF($A137="","",IF(SUMIFS(Transactions!$J:$J,Transactions!$D:$D,$A137,Transactions!$B:$B,"Buy shares")&lt;&gt;0,-SUMIFS(Transactions!$J:$J,Transactions!$D:$D,$A137,Transactions!$B:$B,"Buy shares"),IFERROR(INDEX(Lots!$E:$E,MATCH($W137,Lots!$A:$A,0))*-SUMIFS(Transactions!$E:$E,Transactions!$D:$D,$A137,Transactions!$B:$B,"Sell call")*100,0)))</f>
        <v/>
      </c>
      <c r="I137" s="14" t="str">
        <f aca="false">IF($A137="","",SUMIFS(Transactions!$J:$J,Transactions!$D:$D,$A137,Transactions!$B:$B,"Sell call"))</f>
        <v/>
      </c>
      <c r="J137" s="14" t="str">
        <f aca="false">IF($A137="","",-SUMIFS(Transactions!$J:$J,Transactions!$D:$D,$A137,Transactions!$B:$B,"Buy to close"))</f>
        <v/>
      </c>
      <c r="K137" s="23"/>
      <c r="L137" s="23"/>
      <c r="M137" s="23"/>
      <c r="N137" s="21"/>
      <c r="O137" s="28"/>
      <c r="P137" s="14" t="str">
        <f aca="false">IF(OR(C137&lt;&gt;"Open",L137=""),"",L137*100*D137)</f>
        <v/>
      </c>
      <c r="Q137" s="14" t="str">
        <f aca="false">IF(OR(C137&lt;&gt;"Open",P137=""),"",I137-J137-P137)</f>
        <v/>
      </c>
      <c r="R137" s="14" t="str">
        <f aca="false">IF(OR(C137&lt;&gt;"Open",K137=""),"",K137*G137)</f>
        <v/>
      </c>
      <c r="S137" s="14" t="str">
        <f aca="false">IF(OR(R137="",Q137=""),"",R137-H137+Q137)</f>
        <v/>
      </c>
      <c r="T137" s="13" t="str">
        <f aca="false">IF(OR(R137="",Q137="",N(H137)=0),"",(R137+Q137)/H137)</f>
        <v/>
      </c>
      <c r="U137" s="10" t="str">
        <f aca="false">IF(C137&lt;&gt;"Closed","",_xlfn.MAXIFS(Transactions!$A:$A,Transactions!$D:$D,$A137))</f>
        <v/>
      </c>
      <c r="V137" s="14" t="str">
        <f aca="false">IF(C137&lt;&gt;"Closed","",I137-J137)</f>
        <v/>
      </c>
      <c r="W137" s="8" t="str">
        <f aca="false">IF($A137="","",IFERROR(INDEX(Transactions!$O:$O,MATCH($A137,Transactions!$D:$D,0)),""))</f>
        <v/>
      </c>
    </row>
    <row r="138" customFormat="false" ht="15" hidden="false" customHeight="false" outlineLevel="0" collapsed="false">
      <c r="A138" s="21"/>
      <c r="B138" s="8" t="str">
        <f aca="false">IF($A138="","",IFERROR(INDEX(Transactions!$C:$C,MATCH($A138,Transactions!$D:$D,0)),""))</f>
        <v/>
      </c>
      <c r="C138" s="8" t="str">
        <f aca="false">IF($A138="","",IF(D138&gt;0,"Open","Closed"))</f>
        <v/>
      </c>
      <c r="D138" s="8" t="str">
        <f aca="false">IF($A138="","",-SUMIFS(Transactions!$E:$E,Transactions!$D:$D,$A138,Transactions!$B:$B,"Sell call")-SUMIFS(Transactions!$E:$E,Transactions!$D:$D,$A138,Transactions!$B:$B,"Buy to close")-SUMIFS(Transactions!$E:$E,Transactions!$D:$D,$A138,Transactions!$B:$B,"Expired")-SUMIFS(Transactions!$E:$E,Transactions!$D:$D,$A138,Transactions!$B:$B,"Assigned"))</f>
        <v/>
      </c>
      <c r="E138" s="27" t="str">
        <f aca="false">IF($A138="","",IFERROR(SUMIFS(Transactions!$F:$F,Transactions!$D:$D,$A138,Transactions!$B:$B,"Sell call")/COUNTIFS(Transactions!$D:$D,$A138,Transactions!$B:$B,"Sell call"),""))</f>
        <v/>
      </c>
      <c r="F138" s="10" t="str">
        <f aca="false">IF($A138="","",IFERROR(SUMIFS(Transactions!$G:$G,Transactions!$D:$D,$A138,Transactions!$B:$B,"Sell call")/COUNTIFS(Transactions!$D:$D,$A138,Transactions!$B:$B,"Sell call"),""))</f>
        <v/>
      </c>
      <c r="G138" s="8" t="str">
        <f aca="false">IF($A138="","",-SUMIFS(Transactions!$E:$E,Transactions!$D:$D,$A138,Transactions!$B:$B,"Sell call")*100+SUMIFS(Transactions!$E:$E,Transactions!$D:$D,$A138,Transactions!$B:$B,"Sell shares"))</f>
        <v/>
      </c>
      <c r="H138" s="14" t="str">
        <f aca="false">IF($A138="","",IF(SUMIFS(Transactions!$J:$J,Transactions!$D:$D,$A138,Transactions!$B:$B,"Buy shares")&lt;&gt;0,-SUMIFS(Transactions!$J:$J,Transactions!$D:$D,$A138,Transactions!$B:$B,"Buy shares"),IFERROR(INDEX(Lots!$E:$E,MATCH($W138,Lots!$A:$A,0))*-SUMIFS(Transactions!$E:$E,Transactions!$D:$D,$A138,Transactions!$B:$B,"Sell call")*100,0)))</f>
        <v/>
      </c>
      <c r="I138" s="14" t="str">
        <f aca="false">IF($A138="","",SUMIFS(Transactions!$J:$J,Transactions!$D:$D,$A138,Transactions!$B:$B,"Sell call"))</f>
        <v/>
      </c>
      <c r="J138" s="14" t="str">
        <f aca="false">IF($A138="","",-SUMIFS(Transactions!$J:$J,Transactions!$D:$D,$A138,Transactions!$B:$B,"Buy to close"))</f>
        <v/>
      </c>
      <c r="K138" s="23"/>
      <c r="L138" s="23"/>
      <c r="M138" s="23"/>
      <c r="N138" s="21"/>
      <c r="O138" s="28"/>
      <c r="P138" s="14" t="str">
        <f aca="false">IF(OR(C138&lt;&gt;"Open",L138=""),"",L138*100*D138)</f>
        <v/>
      </c>
      <c r="Q138" s="14" t="str">
        <f aca="false">IF(OR(C138&lt;&gt;"Open",P138=""),"",I138-J138-P138)</f>
        <v/>
      </c>
      <c r="R138" s="14" t="str">
        <f aca="false">IF(OR(C138&lt;&gt;"Open",K138=""),"",K138*G138)</f>
        <v/>
      </c>
      <c r="S138" s="14" t="str">
        <f aca="false">IF(OR(R138="",Q138=""),"",R138-H138+Q138)</f>
        <v/>
      </c>
      <c r="T138" s="13" t="str">
        <f aca="false">IF(OR(R138="",Q138="",N(H138)=0),"",(R138+Q138)/H138)</f>
        <v/>
      </c>
      <c r="U138" s="10" t="str">
        <f aca="false">IF(C138&lt;&gt;"Closed","",_xlfn.MAXIFS(Transactions!$A:$A,Transactions!$D:$D,$A138))</f>
        <v/>
      </c>
      <c r="V138" s="14" t="str">
        <f aca="false">IF(C138&lt;&gt;"Closed","",I138-J138)</f>
        <v/>
      </c>
      <c r="W138" s="8" t="str">
        <f aca="false">IF($A138="","",IFERROR(INDEX(Transactions!$O:$O,MATCH($A138,Transactions!$D:$D,0)),""))</f>
        <v/>
      </c>
    </row>
    <row r="139" customFormat="false" ht="15" hidden="false" customHeight="false" outlineLevel="0" collapsed="false">
      <c r="A139" s="21"/>
      <c r="B139" s="8" t="str">
        <f aca="false">IF($A139="","",IFERROR(INDEX(Transactions!$C:$C,MATCH($A139,Transactions!$D:$D,0)),""))</f>
        <v/>
      </c>
      <c r="C139" s="8" t="str">
        <f aca="false">IF($A139="","",IF(D139&gt;0,"Open","Closed"))</f>
        <v/>
      </c>
      <c r="D139" s="8" t="str">
        <f aca="false">IF($A139="","",-SUMIFS(Transactions!$E:$E,Transactions!$D:$D,$A139,Transactions!$B:$B,"Sell call")-SUMIFS(Transactions!$E:$E,Transactions!$D:$D,$A139,Transactions!$B:$B,"Buy to close")-SUMIFS(Transactions!$E:$E,Transactions!$D:$D,$A139,Transactions!$B:$B,"Expired")-SUMIFS(Transactions!$E:$E,Transactions!$D:$D,$A139,Transactions!$B:$B,"Assigned"))</f>
        <v/>
      </c>
      <c r="E139" s="27" t="str">
        <f aca="false">IF($A139="","",IFERROR(SUMIFS(Transactions!$F:$F,Transactions!$D:$D,$A139,Transactions!$B:$B,"Sell call")/COUNTIFS(Transactions!$D:$D,$A139,Transactions!$B:$B,"Sell call"),""))</f>
        <v/>
      </c>
      <c r="F139" s="10" t="str">
        <f aca="false">IF($A139="","",IFERROR(SUMIFS(Transactions!$G:$G,Transactions!$D:$D,$A139,Transactions!$B:$B,"Sell call")/COUNTIFS(Transactions!$D:$D,$A139,Transactions!$B:$B,"Sell call"),""))</f>
        <v/>
      </c>
      <c r="G139" s="8" t="str">
        <f aca="false">IF($A139="","",-SUMIFS(Transactions!$E:$E,Transactions!$D:$D,$A139,Transactions!$B:$B,"Sell call")*100+SUMIFS(Transactions!$E:$E,Transactions!$D:$D,$A139,Transactions!$B:$B,"Sell shares"))</f>
        <v/>
      </c>
      <c r="H139" s="14" t="str">
        <f aca="false">IF($A139="","",IF(SUMIFS(Transactions!$J:$J,Transactions!$D:$D,$A139,Transactions!$B:$B,"Buy shares")&lt;&gt;0,-SUMIFS(Transactions!$J:$J,Transactions!$D:$D,$A139,Transactions!$B:$B,"Buy shares"),IFERROR(INDEX(Lots!$E:$E,MATCH($W139,Lots!$A:$A,0))*-SUMIFS(Transactions!$E:$E,Transactions!$D:$D,$A139,Transactions!$B:$B,"Sell call")*100,0)))</f>
        <v/>
      </c>
      <c r="I139" s="14" t="str">
        <f aca="false">IF($A139="","",SUMIFS(Transactions!$J:$J,Transactions!$D:$D,$A139,Transactions!$B:$B,"Sell call"))</f>
        <v/>
      </c>
      <c r="J139" s="14" t="str">
        <f aca="false">IF($A139="","",-SUMIFS(Transactions!$J:$J,Transactions!$D:$D,$A139,Transactions!$B:$B,"Buy to close"))</f>
        <v/>
      </c>
      <c r="K139" s="23"/>
      <c r="L139" s="23"/>
      <c r="M139" s="23"/>
      <c r="N139" s="21"/>
      <c r="O139" s="28"/>
      <c r="P139" s="14" t="str">
        <f aca="false">IF(OR(C139&lt;&gt;"Open",L139=""),"",L139*100*D139)</f>
        <v/>
      </c>
      <c r="Q139" s="14" t="str">
        <f aca="false">IF(OR(C139&lt;&gt;"Open",P139=""),"",I139-J139-P139)</f>
        <v/>
      </c>
      <c r="R139" s="14" t="str">
        <f aca="false">IF(OR(C139&lt;&gt;"Open",K139=""),"",K139*G139)</f>
        <v/>
      </c>
      <c r="S139" s="14" t="str">
        <f aca="false">IF(OR(R139="",Q139=""),"",R139-H139+Q139)</f>
        <v/>
      </c>
      <c r="T139" s="13" t="str">
        <f aca="false">IF(OR(R139="",Q139="",N(H139)=0),"",(R139+Q139)/H139)</f>
        <v/>
      </c>
      <c r="U139" s="10" t="str">
        <f aca="false">IF(C139&lt;&gt;"Closed","",_xlfn.MAXIFS(Transactions!$A:$A,Transactions!$D:$D,$A139))</f>
        <v/>
      </c>
      <c r="V139" s="14" t="str">
        <f aca="false">IF(C139&lt;&gt;"Closed","",I139-J139)</f>
        <v/>
      </c>
      <c r="W139" s="8" t="str">
        <f aca="false">IF($A139="","",IFERROR(INDEX(Transactions!$O:$O,MATCH($A139,Transactions!$D:$D,0)),""))</f>
        <v/>
      </c>
    </row>
    <row r="140" customFormat="false" ht="15" hidden="false" customHeight="false" outlineLevel="0" collapsed="false">
      <c r="A140" s="21"/>
      <c r="B140" s="8" t="str">
        <f aca="false">IF($A140="","",IFERROR(INDEX(Transactions!$C:$C,MATCH($A140,Transactions!$D:$D,0)),""))</f>
        <v/>
      </c>
      <c r="C140" s="8" t="str">
        <f aca="false">IF($A140="","",IF(D140&gt;0,"Open","Closed"))</f>
        <v/>
      </c>
      <c r="D140" s="8" t="str">
        <f aca="false">IF($A140="","",-SUMIFS(Transactions!$E:$E,Transactions!$D:$D,$A140,Transactions!$B:$B,"Sell call")-SUMIFS(Transactions!$E:$E,Transactions!$D:$D,$A140,Transactions!$B:$B,"Buy to close")-SUMIFS(Transactions!$E:$E,Transactions!$D:$D,$A140,Transactions!$B:$B,"Expired")-SUMIFS(Transactions!$E:$E,Transactions!$D:$D,$A140,Transactions!$B:$B,"Assigned"))</f>
        <v/>
      </c>
      <c r="E140" s="27" t="str">
        <f aca="false">IF($A140="","",IFERROR(SUMIFS(Transactions!$F:$F,Transactions!$D:$D,$A140,Transactions!$B:$B,"Sell call")/COUNTIFS(Transactions!$D:$D,$A140,Transactions!$B:$B,"Sell call"),""))</f>
        <v/>
      </c>
      <c r="F140" s="10" t="str">
        <f aca="false">IF($A140="","",IFERROR(SUMIFS(Transactions!$G:$G,Transactions!$D:$D,$A140,Transactions!$B:$B,"Sell call")/COUNTIFS(Transactions!$D:$D,$A140,Transactions!$B:$B,"Sell call"),""))</f>
        <v/>
      </c>
      <c r="G140" s="8" t="str">
        <f aca="false">IF($A140="","",-SUMIFS(Transactions!$E:$E,Transactions!$D:$D,$A140,Transactions!$B:$B,"Sell call")*100+SUMIFS(Transactions!$E:$E,Transactions!$D:$D,$A140,Transactions!$B:$B,"Sell shares"))</f>
        <v/>
      </c>
      <c r="H140" s="14" t="str">
        <f aca="false">IF($A140="","",IF(SUMIFS(Transactions!$J:$J,Transactions!$D:$D,$A140,Transactions!$B:$B,"Buy shares")&lt;&gt;0,-SUMIFS(Transactions!$J:$J,Transactions!$D:$D,$A140,Transactions!$B:$B,"Buy shares"),IFERROR(INDEX(Lots!$E:$E,MATCH($W140,Lots!$A:$A,0))*-SUMIFS(Transactions!$E:$E,Transactions!$D:$D,$A140,Transactions!$B:$B,"Sell call")*100,0)))</f>
        <v/>
      </c>
      <c r="I140" s="14" t="str">
        <f aca="false">IF($A140="","",SUMIFS(Transactions!$J:$J,Transactions!$D:$D,$A140,Transactions!$B:$B,"Sell call"))</f>
        <v/>
      </c>
      <c r="J140" s="14" t="str">
        <f aca="false">IF($A140="","",-SUMIFS(Transactions!$J:$J,Transactions!$D:$D,$A140,Transactions!$B:$B,"Buy to close"))</f>
        <v/>
      </c>
      <c r="K140" s="23"/>
      <c r="L140" s="23"/>
      <c r="M140" s="23"/>
      <c r="N140" s="21"/>
      <c r="O140" s="28"/>
      <c r="P140" s="14" t="str">
        <f aca="false">IF(OR(C140&lt;&gt;"Open",L140=""),"",L140*100*D140)</f>
        <v/>
      </c>
      <c r="Q140" s="14" t="str">
        <f aca="false">IF(OR(C140&lt;&gt;"Open",P140=""),"",I140-J140-P140)</f>
        <v/>
      </c>
      <c r="R140" s="14" t="str">
        <f aca="false">IF(OR(C140&lt;&gt;"Open",K140=""),"",K140*G140)</f>
        <v/>
      </c>
      <c r="S140" s="14" t="str">
        <f aca="false">IF(OR(R140="",Q140=""),"",R140-H140+Q140)</f>
        <v/>
      </c>
      <c r="T140" s="13" t="str">
        <f aca="false">IF(OR(R140="",Q140="",N(H140)=0),"",(R140+Q140)/H140)</f>
        <v/>
      </c>
      <c r="U140" s="10" t="str">
        <f aca="false">IF(C140&lt;&gt;"Closed","",_xlfn.MAXIFS(Transactions!$A:$A,Transactions!$D:$D,$A140))</f>
        <v/>
      </c>
      <c r="V140" s="14" t="str">
        <f aca="false">IF(C140&lt;&gt;"Closed","",I140-J140)</f>
        <v/>
      </c>
      <c r="W140" s="8" t="str">
        <f aca="false">IF($A140="","",IFERROR(INDEX(Transactions!$O:$O,MATCH($A140,Transactions!$D:$D,0)),""))</f>
        <v/>
      </c>
    </row>
    <row r="141" customFormat="false" ht="15" hidden="false" customHeight="false" outlineLevel="0" collapsed="false">
      <c r="A141" s="21"/>
      <c r="B141" s="8" t="str">
        <f aca="false">IF($A141="","",IFERROR(INDEX(Transactions!$C:$C,MATCH($A141,Transactions!$D:$D,0)),""))</f>
        <v/>
      </c>
      <c r="C141" s="8" t="str">
        <f aca="false">IF($A141="","",IF(D141&gt;0,"Open","Closed"))</f>
        <v/>
      </c>
      <c r="D141" s="8" t="str">
        <f aca="false">IF($A141="","",-SUMIFS(Transactions!$E:$E,Transactions!$D:$D,$A141,Transactions!$B:$B,"Sell call")-SUMIFS(Transactions!$E:$E,Transactions!$D:$D,$A141,Transactions!$B:$B,"Buy to close")-SUMIFS(Transactions!$E:$E,Transactions!$D:$D,$A141,Transactions!$B:$B,"Expired")-SUMIFS(Transactions!$E:$E,Transactions!$D:$D,$A141,Transactions!$B:$B,"Assigned"))</f>
        <v/>
      </c>
      <c r="E141" s="27" t="str">
        <f aca="false">IF($A141="","",IFERROR(SUMIFS(Transactions!$F:$F,Transactions!$D:$D,$A141,Transactions!$B:$B,"Sell call")/COUNTIFS(Transactions!$D:$D,$A141,Transactions!$B:$B,"Sell call"),""))</f>
        <v/>
      </c>
      <c r="F141" s="10" t="str">
        <f aca="false">IF($A141="","",IFERROR(SUMIFS(Transactions!$G:$G,Transactions!$D:$D,$A141,Transactions!$B:$B,"Sell call")/COUNTIFS(Transactions!$D:$D,$A141,Transactions!$B:$B,"Sell call"),""))</f>
        <v/>
      </c>
      <c r="G141" s="8" t="str">
        <f aca="false">IF($A141="","",-SUMIFS(Transactions!$E:$E,Transactions!$D:$D,$A141,Transactions!$B:$B,"Sell call")*100+SUMIFS(Transactions!$E:$E,Transactions!$D:$D,$A141,Transactions!$B:$B,"Sell shares"))</f>
        <v/>
      </c>
      <c r="H141" s="14" t="str">
        <f aca="false">IF($A141="","",IF(SUMIFS(Transactions!$J:$J,Transactions!$D:$D,$A141,Transactions!$B:$B,"Buy shares")&lt;&gt;0,-SUMIFS(Transactions!$J:$J,Transactions!$D:$D,$A141,Transactions!$B:$B,"Buy shares"),IFERROR(INDEX(Lots!$E:$E,MATCH($W141,Lots!$A:$A,0))*-SUMIFS(Transactions!$E:$E,Transactions!$D:$D,$A141,Transactions!$B:$B,"Sell call")*100,0)))</f>
        <v/>
      </c>
      <c r="I141" s="14" t="str">
        <f aca="false">IF($A141="","",SUMIFS(Transactions!$J:$J,Transactions!$D:$D,$A141,Transactions!$B:$B,"Sell call"))</f>
        <v/>
      </c>
      <c r="J141" s="14" t="str">
        <f aca="false">IF($A141="","",-SUMIFS(Transactions!$J:$J,Transactions!$D:$D,$A141,Transactions!$B:$B,"Buy to close"))</f>
        <v/>
      </c>
      <c r="K141" s="23"/>
      <c r="L141" s="23"/>
      <c r="M141" s="23"/>
      <c r="N141" s="21"/>
      <c r="O141" s="28"/>
      <c r="P141" s="14" t="str">
        <f aca="false">IF(OR(C141&lt;&gt;"Open",L141=""),"",L141*100*D141)</f>
        <v/>
      </c>
      <c r="Q141" s="14" t="str">
        <f aca="false">IF(OR(C141&lt;&gt;"Open",P141=""),"",I141-J141-P141)</f>
        <v/>
      </c>
      <c r="R141" s="14" t="str">
        <f aca="false">IF(OR(C141&lt;&gt;"Open",K141=""),"",K141*G141)</f>
        <v/>
      </c>
      <c r="S141" s="14" t="str">
        <f aca="false">IF(OR(R141="",Q141=""),"",R141-H141+Q141)</f>
        <v/>
      </c>
      <c r="T141" s="13" t="str">
        <f aca="false">IF(OR(R141="",Q141="",N(H141)=0),"",(R141+Q141)/H141)</f>
        <v/>
      </c>
      <c r="U141" s="10" t="str">
        <f aca="false">IF(C141&lt;&gt;"Closed","",_xlfn.MAXIFS(Transactions!$A:$A,Transactions!$D:$D,$A141))</f>
        <v/>
      </c>
      <c r="V141" s="14" t="str">
        <f aca="false">IF(C141&lt;&gt;"Closed","",I141-J141)</f>
        <v/>
      </c>
      <c r="W141" s="8" t="str">
        <f aca="false">IF($A141="","",IFERROR(INDEX(Transactions!$O:$O,MATCH($A141,Transactions!$D:$D,0)),""))</f>
        <v/>
      </c>
    </row>
    <row r="142" customFormat="false" ht="15" hidden="false" customHeight="false" outlineLevel="0" collapsed="false">
      <c r="A142" s="21"/>
      <c r="B142" s="8" t="str">
        <f aca="false">IF($A142="","",IFERROR(INDEX(Transactions!$C:$C,MATCH($A142,Transactions!$D:$D,0)),""))</f>
        <v/>
      </c>
      <c r="C142" s="8" t="str">
        <f aca="false">IF($A142="","",IF(D142&gt;0,"Open","Closed"))</f>
        <v/>
      </c>
      <c r="D142" s="8" t="str">
        <f aca="false">IF($A142="","",-SUMIFS(Transactions!$E:$E,Transactions!$D:$D,$A142,Transactions!$B:$B,"Sell call")-SUMIFS(Transactions!$E:$E,Transactions!$D:$D,$A142,Transactions!$B:$B,"Buy to close")-SUMIFS(Transactions!$E:$E,Transactions!$D:$D,$A142,Transactions!$B:$B,"Expired")-SUMIFS(Transactions!$E:$E,Transactions!$D:$D,$A142,Transactions!$B:$B,"Assigned"))</f>
        <v/>
      </c>
      <c r="E142" s="27" t="str">
        <f aca="false">IF($A142="","",IFERROR(SUMIFS(Transactions!$F:$F,Transactions!$D:$D,$A142,Transactions!$B:$B,"Sell call")/COUNTIFS(Transactions!$D:$D,$A142,Transactions!$B:$B,"Sell call"),""))</f>
        <v/>
      </c>
      <c r="F142" s="10" t="str">
        <f aca="false">IF($A142="","",IFERROR(SUMIFS(Transactions!$G:$G,Transactions!$D:$D,$A142,Transactions!$B:$B,"Sell call")/COUNTIFS(Transactions!$D:$D,$A142,Transactions!$B:$B,"Sell call"),""))</f>
        <v/>
      </c>
      <c r="G142" s="8" t="str">
        <f aca="false">IF($A142="","",-SUMIFS(Transactions!$E:$E,Transactions!$D:$D,$A142,Transactions!$B:$B,"Sell call")*100+SUMIFS(Transactions!$E:$E,Transactions!$D:$D,$A142,Transactions!$B:$B,"Sell shares"))</f>
        <v/>
      </c>
      <c r="H142" s="14" t="str">
        <f aca="false">IF($A142="","",IF(SUMIFS(Transactions!$J:$J,Transactions!$D:$D,$A142,Transactions!$B:$B,"Buy shares")&lt;&gt;0,-SUMIFS(Transactions!$J:$J,Transactions!$D:$D,$A142,Transactions!$B:$B,"Buy shares"),IFERROR(INDEX(Lots!$E:$E,MATCH($W142,Lots!$A:$A,0))*-SUMIFS(Transactions!$E:$E,Transactions!$D:$D,$A142,Transactions!$B:$B,"Sell call")*100,0)))</f>
        <v/>
      </c>
      <c r="I142" s="14" t="str">
        <f aca="false">IF($A142="","",SUMIFS(Transactions!$J:$J,Transactions!$D:$D,$A142,Transactions!$B:$B,"Sell call"))</f>
        <v/>
      </c>
      <c r="J142" s="14" t="str">
        <f aca="false">IF($A142="","",-SUMIFS(Transactions!$J:$J,Transactions!$D:$D,$A142,Transactions!$B:$B,"Buy to close"))</f>
        <v/>
      </c>
      <c r="K142" s="23"/>
      <c r="L142" s="23"/>
      <c r="M142" s="23"/>
      <c r="N142" s="21"/>
      <c r="O142" s="28"/>
      <c r="P142" s="14" t="str">
        <f aca="false">IF(OR(C142&lt;&gt;"Open",L142=""),"",L142*100*D142)</f>
        <v/>
      </c>
      <c r="Q142" s="14" t="str">
        <f aca="false">IF(OR(C142&lt;&gt;"Open",P142=""),"",I142-J142-P142)</f>
        <v/>
      </c>
      <c r="R142" s="14" t="str">
        <f aca="false">IF(OR(C142&lt;&gt;"Open",K142=""),"",K142*G142)</f>
        <v/>
      </c>
      <c r="S142" s="14" t="str">
        <f aca="false">IF(OR(R142="",Q142=""),"",R142-H142+Q142)</f>
        <v/>
      </c>
      <c r="T142" s="13" t="str">
        <f aca="false">IF(OR(R142="",Q142="",N(H142)=0),"",(R142+Q142)/H142)</f>
        <v/>
      </c>
      <c r="U142" s="10" t="str">
        <f aca="false">IF(C142&lt;&gt;"Closed","",_xlfn.MAXIFS(Transactions!$A:$A,Transactions!$D:$D,$A142))</f>
        <v/>
      </c>
      <c r="V142" s="14" t="str">
        <f aca="false">IF(C142&lt;&gt;"Closed","",I142-J142)</f>
        <v/>
      </c>
      <c r="W142" s="8" t="str">
        <f aca="false">IF($A142="","",IFERROR(INDEX(Transactions!$O:$O,MATCH($A142,Transactions!$D:$D,0)),""))</f>
        <v/>
      </c>
    </row>
    <row r="143" customFormat="false" ht="15" hidden="false" customHeight="false" outlineLevel="0" collapsed="false">
      <c r="A143" s="21"/>
      <c r="B143" s="8" t="str">
        <f aca="false">IF($A143="","",IFERROR(INDEX(Transactions!$C:$C,MATCH($A143,Transactions!$D:$D,0)),""))</f>
        <v/>
      </c>
      <c r="C143" s="8" t="str">
        <f aca="false">IF($A143="","",IF(D143&gt;0,"Open","Closed"))</f>
        <v/>
      </c>
      <c r="D143" s="8" t="str">
        <f aca="false">IF($A143="","",-SUMIFS(Transactions!$E:$E,Transactions!$D:$D,$A143,Transactions!$B:$B,"Sell call")-SUMIFS(Transactions!$E:$E,Transactions!$D:$D,$A143,Transactions!$B:$B,"Buy to close")-SUMIFS(Transactions!$E:$E,Transactions!$D:$D,$A143,Transactions!$B:$B,"Expired")-SUMIFS(Transactions!$E:$E,Transactions!$D:$D,$A143,Transactions!$B:$B,"Assigned"))</f>
        <v/>
      </c>
      <c r="E143" s="27" t="str">
        <f aca="false">IF($A143="","",IFERROR(SUMIFS(Transactions!$F:$F,Transactions!$D:$D,$A143,Transactions!$B:$B,"Sell call")/COUNTIFS(Transactions!$D:$D,$A143,Transactions!$B:$B,"Sell call"),""))</f>
        <v/>
      </c>
      <c r="F143" s="10" t="str">
        <f aca="false">IF($A143="","",IFERROR(SUMIFS(Transactions!$G:$G,Transactions!$D:$D,$A143,Transactions!$B:$B,"Sell call")/COUNTIFS(Transactions!$D:$D,$A143,Transactions!$B:$B,"Sell call"),""))</f>
        <v/>
      </c>
      <c r="G143" s="8" t="str">
        <f aca="false">IF($A143="","",-SUMIFS(Transactions!$E:$E,Transactions!$D:$D,$A143,Transactions!$B:$B,"Sell call")*100+SUMIFS(Transactions!$E:$E,Transactions!$D:$D,$A143,Transactions!$B:$B,"Sell shares"))</f>
        <v/>
      </c>
      <c r="H143" s="14" t="str">
        <f aca="false">IF($A143="","",IF(SUMIFS(Transactions!$J:$J,Transactions!$D:$D,$A143,Transactions!$B:$B,"Buy shares")&lt;&gt;0,-SUMIFS(Transactions!$J:$J,Transactions!$D:$D,$A143,Transactions!$B:$B,"Buy shares"),IFERROR(INDEX(Lots!$E:$E,MATCH($W143,Lots!$A:$A,0))*-SUMIFS(Transactions!$E:$E,Transactions!$D:$D,$A143,Transactions!$B:$B,"Sell call")*100,0)))</f>
        <v/>
      </c>
      <c r="I143" s="14" t="str">
        <f aca="false">IF($A143="","",SUMIFS(Transactions!$J:$J,Transactions!$D:$D,$A143,Transactions!$B:$B,"Sell call"))</f>
        <v/>
      </c>
      <c r="J143" s="14" t="str">
        <f aca="false">IF($A143="","",-SUMIFS(Transactions!$J:$J,Transactions!$D:$D,$A143,Transactions!$B:$B,"Buy to close"))</f>
        <v/>
      </c>
      <c r="K143" s="23"/>
      <c r="L143" s="23"/>
      <c r="M143" s="23"/>
      <c r="N143" s="21"/>
      <c r="O143" s="28"/>
      <c r="P143" s="14" t="str">
        <f aca="false">IF(OR(C143&lt;&gt;"Open",L143=""),"",L143*100*D143)</f>
        <v/>
      </c>
      <c r="Q143" s="14" t="str">
        <f aca="false">IF(OR(C143&lt;&gt;"Open",P143=""),"",I143-J143-P143)</f>
        <v/>
      </c>
      <c r="R143" s="14" t="str">
        <f aca="false">IF(OR(C143&lt;&gt;"Open",K143=""),"",K143*G143)</f>
        <v/>
      </c>
      <c r="S143" s="14" t="str">
        <f aca="false">IF(OR(R143="",Q143=""),"",R143-H143+Q143)</f>
        <v/>
      </c>
      <c r="T143" s="13" t="str">
        <f aca="false">IF(OR(R143="",Q143="",N(H143)=0),"",(R143+Q143)/H143)</f>
        <v/>
      </c>
      <c r="U143" s="10" t="str">
        <f aca="false">IF(C143&lt;&gt;"Closed","",_xlfn.MAXIFS(Transactions!$A:$A,Transactions!$D:$D,$A143))</f>
        <v/>
      </c>
      <c r="V143" s="14" t="str">
        <f aca="false">IF(C143&lt;&gt;"Closed","",I143-J143)</f>
        <v/>
      </c>
      <c r="W143" s="8" t="str">
        <f aca="false">IF($A143="","",IFERROR(INDEX(Transactions!$O:$O,MATCH($A143,Transactions!$D:$D,0)),""))</f>
        <v/>
      </c>
    </row>
    <row r="144" customFormat="false" ht="15" hidden="false" customHeight="false" outlineLevel="0" collapsed="false">
      <c r="A144" s="21"/>
      <c r="B144" s="8" t="str">
        <f aca="false">IF($A144="","",IFERROR(INDEX(Transactions!$C:$C,MATCH($A144,Transactions!$D:$D,0)),""))</f>
        <v/>
      </c>
      <c r="C144" s="8" t="str">
        <f aca="false">IF($A144="","",IF(D144&gt;0,"Open","Closed"))</f>
        <v/>
      </c>
      <c r="D144" s="8" t="str">
        <f aca="false">IF($A144="","",-SUMIFS(Transactions!$E:$E,Transactions!$D:$D,$A144,Transactions!$B:$B,"Sell call")-SUMIFS(Transactions!$E:$E,Transactions!$D:$D,$A144,Transactions!$B:$B,"Buy to close")-SUMIFS(Transactions!$E:$E,Transactions!$D:$D,$A144,Transactions!$B:$B,"Expired")-SUMIFS(Transactions!$E:$E,Transactions!$D:$D,$A144,Transactions!$B:$B,"Assigned"))</f>
        <v/>
      </c>
      <c r="E144" s="27" t="str">
        <f aca="false">IF($A144="","",IFERROR(SUMIFS(Transactions!$F:$F,Transactions!$D:$D,$A144,Transactions!$B:$B,"Sell call")/COUNTIFS(Transactions!$D:$D,$A144,Transactions!$B:$B,"Sell call"),""))</f>
        <v/>
      </c>
      <c r="F144" s="10" t="str">
        <f aca="false">IF($A144="","",IFERROR(SUMIFS(Transactions!$G:$G,Transactions!$D:$D,$A144,Transactions!$B:$B,"Sell call")/COUNTIFS(Transactions!$D:$D,$A144,Transactions!$B:$B,"Sell call"),""))</f>
        <v/>
      </c>
      <c r="G144" s="8" t="str">
        <f aca="false">IF($A144="","",-SUMIFS(Transactions!$E:$E,Transactions!$D:$D,$A144,Transactions!$B:$B,"Sell call")*100+SUMIFS(Transactions!$E:$E,Transactions!$D:$D,$A144,Transactions!$B:$B,"Sell shares"))</f>
        <v/>
      </c>
      <c r="H144" s="14" t="str">
        <f aca="false">IF($A144="","",IF(SUMIFS(Transactions!$J:$J,Transactions!$D:$D,$A144,Transactions!$B:$B,"Buy shares")&lt;&gt;0,-SUMIFS(Transactions!$J:$J,Transactions!$D:$D,$A144,Transactions!$B:$B,"Buy shares"),IFERROR(INDEX(Lots!$E:$E,MATCH($W144,Lots!$A:$A,0))*-SUMIFS(Transactions!$E:$E,Transactions!$D:$D,$A144,Transactions!$B:$B,"Sell call")*100,0)))</f>
        <v/>
      </c>
      <c r="I144" s="14" t="str">
        <f aca="false">IF($A144="","",SUMIFS(Transactions!$J:$J,Transactions!$D:$D,$A144,Transactions!$B:$B,"Sell call"))</f>
        <v/>
      </c>
      <c r="J144" s="14" t="str">
        <f aca="false">IF($A144="","",-SUMIFS(Transactions!$J:$J,Transactions!$D:$D,$A144,Transactions!$B:$B,"Buy to close"))</f>
        <v/>
      </c>
      <c r="K144" s="23"/>
      <c r="L144" s="23"/>
      <c r="M144" s="23"/>
      <c r="N144" s="21"/>
      <c r="O144" s="28"/>
      <c r="P144" s="14" t="str">
        <f aca="false">IF(OR(C144&lt;&gt;"Open",L144=""),"",L144*100*D144)</f>
        <v/>
      </c>
      <c r="Q144" s="14" t="str">
        <f aca="false">IF(OR(C144&lt;&gt;"Open",P144=""),"",I144-J144-P144)</f>
        <v/>
      </c>
      <c r="R144" s="14" t="str">
        <f aca="false">IF(OR(C144&lt;&gt;"Open",K144=""),"",K144*G144)</f>
        <v/>
      </c>
      <c r="S144" s="14" t="str">
        <f aca="false">IF(OR(R144="",Q144=""),"",R144-H144+Q144)</f>
        <v/>
      </c>
      <c r="T144" s="13" t="str">
        <f aca="false">IF(OR(R144="",Q144="",N(H144)=0),"",(R144+Q144)/H144)</f>
        <v/>
      </c>
      <c r="U144" s="10" t="str">
        <f aca="false">IF(C144&lt;&gt;"Closed","",_xlfn.MAXIFS(Transactions!$A:$A,Transactions!$D:$D,$A144))</f>
        <v/>
      </c>
      <c r="V144" s="14" t="str">
        <f aca="false">IF(C144&lt;&gt;"Closed","",I144-J144)</f>
        <v/>
      </c>
      <c r="W144" s="8" t="str">
        <f aca="false">IF($A144="","",IFERROR(INDEX(Transactions!$O:$O,MATCH($A144,Transactions!$D:$D,0)),""))</f>
        <v/>
      </c>
    </row>
    <row r="145" customFormat="false" ht="15" hidden="false" customHeight="false" outlineLevel="0" collapsed="false">
      <c r="A145" s="21"/>
      <c r="B145" s="8" t="str">
        <f aca="false">IF($A145="","",IFERROR(INDEX(Transactions!$C:$C,MATCH($A145,Transactions!$D:$D,0)),""))</f>
        <v/>
      </c>
      <c r="C145" s="8" t="str">
        <f aca="false">IF($A145="","",IF(D145&gt;0,"Open","Closed"))</f>
        <v/>
      </c>
      <c r="D145" s="8" t="str">
        <f aca="false">IF($A145="","",-SUMIFS(Transactions!$E:$E,Transactions!$D:$D,$A145,Transactions!$B:$B,"Sell call")-SUMIFS(Transactions!$E:$E,Transactions!$D:$D,$A145,Transactions!$B:$B,"Buy to close")-SUMIFS(Transactions!$E:$E,Transactions!$D:$D,$A145,Transactions!$B:$B,"Expired")-SUMIFS(Transactions!$E:$E,Transactions!$D:$D,$A145,Transactions!$B:$B,"Assigned"))</f>
        <v/>
      </c>
      <c r="E145" s="27" t="str">
        <f aca="false">IF($A145="","",IFERROR(SUMIFS(Transactions!$F:$F,Transactions!$D:$D,$A145,Transactions!$B:$B,"Sell call")/COUNTIFS(Transactions!$D:$D,$A145,Transactions!$B:$B,"Sell call"),""))</f>
        <v/>
      </c>
      <c r="F145" s="10" t="str">
        <f aca="false">IF($A145="","",IFERROR(SUMIFS(Transactions!$G:$G,Transactions!$D:$D,$A145,Transactions!$B:$B,"Sell call")/COUNTIFS(Transactions!$D:$D,$A145,Transactions!$B:$B,"Sell call"),""))</f>
        <v/>
      </c>
      <c r="G145" s="8" t="str">
        <f aca="false">IF($A145="","",-SUMIFS(Transactions!$E:$E,Transactions!$D:$D,$A145,Transactions!$B:$B,"Sell call")*100+SUMIFS(Transactions!$E:$E,Transactions!$D:$D,$A145,Transactions!$B:$B,"Sell shares"))</f>
        <v/>
      </c>
      <c r="H145" s="14" t="str">
        <f aca="false">IF($A145="","",IF(SUMIFS(Transactions!$J:$J,Transactions!$D:$D,$A145,Transactions!$B:$B,"Buy shares")&lt;&gt;0,-SUMIFS(Transactions!$J:$J,Transactions!$D:$D,$A145,Transactions!$B:$B,"Buy shares"),IFERROR(INDEX(Lots!$E:$E,MATCH($W145,Lots!$A:$A,0))*-SUMIFS(Transactions!$E:$E,Transactions!$D:$D,$A145,Transactions!$B:$B,"Sell call")*100,0)))</f>
        <v/>
      </c>
      <c r="I145" s="14" t="str">
        <f aca="false">IF($A145="","",SUMIFS(Transactions!$J:$J,Transactions!$D:$D,$A145,Transactions!$B:$B,"Sell call"))</f>
        <v/>
      </c>
      <c r="J145" s="14" t="str">
        <f aca="false">IF($A145="","",-SUMIFS(Transactions!$J:$J,Transactions!$D:$D,$A145,Transactions!$B:$B,"Buy to close"))</f>
        <v/>
      </c>
      <c r="K145" s="23"/>
      <c r="L145" s="23"/>
      <c r="M145" s="23"/>
      <c r="N145" s="21"/>
      <c r="O145" s="28"/>
      <c r="P145" s="14" t="str">
        <f aca="false">IF(OR(C145&lt;&gt;"Open",L145=""),"",L145*100*D145)</f>
        <v/>
      </c>
      <c r="Q145" s="14" t="str">
        <f aca="false">IF(OR(C145&lt;&gt;"Open",P145=""),"",I145-J145-P145)</f>
        <v/>
      </c>
      <c r="R145" s="14" t="str">
        <f aca="false">IF(OR(C145&lt;&gt;"Open",K145=""),"",K145*G145)</f>
        <v/>
      </c>
      <c r="S145" s="14" t="str">
        <f aca="false">IF(OR(R145="",Q145=""),"",R145-H145+Q145)</f>
        <v/>
      </c>
      <c r="T145" s="13" t="str">
        <f aca="false">IF(OR(R145="",Q145="",N(H145)=0),"",(R145+Q145)/H145)</f>
        <v/>
      </c>
      <c r="U145" s="10" t="str">
        <f aca="false">IF(C145&lt;&gt;"Closed","",_xlfn.MAXIFS(Transactions!$A:$A,Transactions!$D:$D,$A145))</f>
        <v/>
      </c>
      <c r="V145" s="14" t="str">
        <f aca="false">IF(C145&lt;&gt;"Closed","",I145-J145)</f>
        <v/>
      </c>
      <c r="W145" s="8" t="str">
        <f aca="false">IF($A145="","",IFERROR(INDEX(Transactions!$O:$O,MATCH($A145,Transactions!$D:$D,0)),""))</f>
        <v/>
      </c>
    </row>
    <row r="146" customFormat="false" ht="15" hidden="false" customHeight="false" outlineLevel="0" collapsed="false">
      <c r="A146" s="21"/>
      <c r="B146" s="8" t="str">
        <f aca="false">IF($A146="","",IFERROR(INDEX(Transactions!$C:$C,MATCH($A146,Transactions!$D:$D,0)),""))</f>
        <v/>
      </c>
      <c r="C146" s="8" t="str">
        <f aca="false">IF($A146="","",IF(D146&gt;0,"Open","Closed"))</f>
        <v/>
      </c>
      <c r="D146" s="8" t="str">
        <f aca="false">IF($A146="","",-SUMIFS(Transactions!$E:$E,Transactions!$D:$D,$A146,Transactions!$B:$B,"Sell call")-SUMIFS(Transactions!$E:$E,Transactions!$D:$D,$A146,Transactions!$B:$B,"Buy to close")-SUMIFS(Transactions!$E:$E,Transactions!$D:$D,$A146,Transactions!$B:$B,"Expired")-SUMIFS(Transactions!$E:$E,Transactions!$D:$D,$A146,Transactions!$B:$B,"Assigned"))</f>
        <v/>
      </c>
      <c r="E146" s="27" t="str">
        <f aca="false">IF($A146="","",IFERROR(SUMIFS(Transactions!$F:$F,Transactions!$D:$D,$A146,Transactions!$B:$B,"Sell call")/COUNTIFS(Transactions!$D:$D,$A146,Transactions!$B:$B,"Sell call"),""))</f>
        <v/>
      </c>
      <c r="F146" s="10" t="str">
        <f aca="false">IF($A146="","",IFERROR(SUMIFS(Transactions!$G:$G,Transactions!$D:$D,$A146,Transactions!$B:$B,"Sell call")/COUNTIFS(Transactions!$D:$D,$A146,Transactions!$B:$B,"Sell call"),""))</f>
        <v/>
      </c>
      <c r="G146" s="8" t="str">
        <f aca="false">IF($A146="","",-SUMIFS(Transactions!$E:$E,Transactions!$D:$D,$A146,Transactions!$B:$B,"Sell call")*100+SUMIFS(Transactions!$E:$E,Transactions!$D:$D,$A146,Transactions!$B:$B,"Sell shares"))</f>
        <v/>
      </c>
      <c r="H146" s="14" t="str">
        <f aca="false">IF($A146="","",IF(SUMIFS(Transactions!$J:$J,Transactions!$D:$D,$A146,Transactions!$B:$B,"Buy shares")&lt;&gt;0,-SUMIFS(Transactions!$J:$J,Transactions!$D:$D,$A146,Transactions!$B:$B,"Buy shares"),IFERROR(INDEX(Lots!$E:$E,MATCH($W146,Lots!$A:$A,0))*-SUMIFS(Transactions!$E:$E,Transactions!$D:$D,$A146,Transactions!$B:$B,"Sell call")*100,0)))</f>
        <v/>
      </c>
      <c r="I146" s="14" t="str">
        <f aca="false">IF($A146="","",SUMIFS(Transactions!$J:$J,Transactions!$D:$D,$A146,Transactions!$B:$B,"Sell call"))</f>
        <v/>
      </c>
      <c r="J146" s="14" t="str">
        <f aca="false">IF($A146="","",-SUMIFS(Transactions!$J:$J,Transactions!$D:$D,$A146,Transactions!$B:$B,"Buy to close"))</f>
        <v/>
      </c>
      <c r="K146" s="23"/>
      <c r="L146" s="23"/>
      <c r="M146" s="23"/>
      <c r="N146" s="21"/>
      <c r="O146" s="28"/>
      <c r="P146" s="14" t="str">
        <f aca="false">IF(OR(C146&lt;&gt;"Open",L146=""),"",L146*100*D146)</f>
        <v/>
      </c>
      <c r="Q146" s="14" t="str">
        <f aca="false">IF(OR(C146&lt;&gt;"Open",P146=""),"",I146-J146-P146)</f>
        <v/>
      </c>
      <c r="R146" s="14" t="str">
        <f aca="false">IF(OR(C146&lt;&gt;"Open",K146=""),"",K146*G146)</f>
        <v/>
      </c>
      <c r="S146" s="14" t="str">
        <f aca="false">IF(OR(R146="",Q146=""),"",R146-H146+Q146)</f>
        <v/>
      </c>
      <c r="T146" s="13" t="str">
        <f aca="false">IF(OR(R146="",Q146="",N(H146)=0),"",(R146+Q146)/H146)</f>
        <v/>
      </c>
      <c r="U146" s="10" t="str">
        <f aca="false">IF(C146&lt;&gt;"Closed","",_xlfn.MAXIFS(Transactions!$A:$A,Transactions!$D:$D,$A146))</f>
        <v/>
      </c>
      <c r="V146" s="14" t="str">
        <f aca="false">IF(C146&lt;&gt;"Closed","",I146-J146)</f>
        <v/>
      </c>
      <c r="W146" s="8" t="str">
        <f aca="false">IF($A146="","",IFERROR(INDEX(Transactions!$O:$O,MATCH($A146,Transactions!$D:$D,0)),""))</f>
        <v/>
      </c>
    </row>
    <row r="147" customFormat="false" ht="15" hidden="false" customHeight="false" outlineLevel="0" collapsed="false">
      <c r="A147" s="21"/>
      <c r="B147" s="8" t="str">
        <f aca="false">IF($A147="","",IFERROR(INDEX(Transactions!$C:$C,MATCH($A147,Transactions!$D:$D,0)),""))</f>
        <v/>
      </c>
      <c r="C147" s="8" t="str">
        <f aca="false">IF($A147="","",IF(D147&gt;0,"Open","Closed"))</f>
        <v/>
      </c>
      <c r="D147" s="8" t="str">
        <f aca="false">IF($A147="","",-SUMIFS(Transactions!$E:$E,Transactions!$D:$D,$A147,Transactions!$B:$B,"Sell call")-SUMIFS(Transactions!$E:$E,Transactions!$D:$D,$A147,Transactions!$B:$B,"Buy to close")-SUMIFS(Transactions!$E:$E,Transactions!$D:$D,$A147,Transactions!$B:$B,"Expired")-SUMIFS(Transactions!$E:$E,Transactions!$D:$D,$A147,Transactions!$B:$B,"Assigned"))</f>
        <v/>
      </c>
      <c r="E147" s="27" t="str">
        <f aca="false">IF($A147="","",IFERROR(SUMIFS(Transactions!$F:$F,Transactions!$D:$D,$A147,Transactions!$B:$B,"Sell call")/COUNTIFS(Transactions!$D:$D,$A147,Transactions!$B:$B,"Sell call"),""))</f>
        <v/>
      </c>
      <c r="F147" s="10" t="str">
        <f aca="false">IF($A147="","",IFERROR(SUMIFS(Transactions!$G:$G,Transactions!$D:$D,$A147,Transactions!$B:$B,"Sell call")/COUNTIFS(Transactions!$D:$D,$A147,Transactions!$B:$B,"Sell call"),""))</f>
        <v/>
      </c>
      <c r="G147" s="8" t="str">
        <f aca="false">IF($A147="","",-SUMIFS(Transactions!$E:$E,Transactions!$D:$D,$A147,Transactions!$B:$B,"Sell call")*100+SUMIFS(Transactions!$E:$E,Transactions!$D:$D,$A147,Transactions!$B:$B,"Sell shares"))</f>
        <v/>
      </c>
      <c r="H147" s="14" t="str">
        <f aca="false">IF($A147="","",IF(SUMIFS(Transactions!$J:$J,Transactions!$D:$D,$A147,Transactions!$B:$B,"Buy shares")&lt;&gt;0,-SUMIFS(Transactions!$J:$J,Transactions!$D:$D,$A147,Transactions!$B:$B,"Buy shares"),IFERROR(INDEX(Lots!$E:$E,MATCH($W147,Lots!$A:$A,0))*-SUMIFS(Transactions!$E:$E,Transactions!$D:$D,$A147,Transactions!$B:$B,"Sell call")*100,0)))</f>
        <v/>
      </c>
      <c r="I147" s="14" t="str">
        <f aca="false">IF($A147="","",SUMIFS(Transactions!$J:$J,Transactions!$D:$D,$A147,Transactions!$B:$B,"Sell call"))</f>
        <v/>
      </c>
      <c r="J147" s="14" t="str">
        <f aca="false">IF($A147="","",-SUMIFS(Transactions!$J:$J,Transactions!$D:$D,$A147,Transactions!$B:$B,"Buy to close"))</f>
        <v/>
      </c>
      <c r="K147" s="23"/>
      <c r="L147" s="23"/>
      <c r="M147" s="23"/>
      <c r="N147" s="21"/>
      <c r="O147" s="28"/>
      <c r="P147" s="14" t="str">
        <f aca="false">IF(OR(C147&lt;&gt;"Open",L147=""),"",L147*100*D147)</f>
        <v/>
      </c>
      <c r="Q147" s="14" t="str">
        <f aca="false">IF(OR(C147&lt;&gt;"Open",P147=""),"",I147-J147-P147)</f>
        <v/>
      </c>
      <c r="R147" s="14" t="str">
        <f aca="false">IF(OR(C147&lt;&gt;"Open",K147=""),"",K147*G147)</f>
        <v/>
      </c>
      <c r="S147" s="14" t="str">
        <f aca="false">IF(OR(R147="",Q147=""),"",R147-H147+Q147)</f>
        <v/>
      </c>
      <c r="T147" s="13" t="str">
        <f aca="false">IF(OR(R147="",Q147="",N(H147)=0),"",(R147+Q147)/H147)</f>
        <v/>
      </c>
      <c r="U147" s="10" t="str">
        <f aca="false">IF(C147&lt;&gt;"Closed","",_xlfn.MAXIFS(Transactions!$A:$A,Transactions!$D:$D,$A147))</f>
        <v/>
      </c>
      <c r="V147" s="14" t="str">
        <f aca="false">IF(C147&lt;&gt;"Closed","",I147-J147)</f>
        <v/>
      </c>
      <c r="W147" s="8" t="str">
        <f aca="false">IF($A147="","",IFERROR(INDEX(Transactions!$O:$O,MATCH($A147,Transactions!$D:$D,0)),""))</f>
        <v/>
      </c>
    </row>
    <row r="148" customFormat="false" ht="15" hidden="false" customHeight="false" outlineLevel="0" collapsed="false">
      <c r="A148" s="21"/>
      <c r="B148" s="8" t="str">
        <f aca="false">IF($A148="","",IFERROR(INDEX(Transactions!$C:$C,MATCH($A148,Transactions!$D:$D,0)),""))</f>
        <v/>
      </c>
      <c r="C148" s="8" t="str">
        <f aca="false">IF($A148="","",IF(D148&gt;0,"Open","Closed"))</f>
        <v/>
      </c>
      <c r="D148" s="8" t="str">
        <f aca="false">IF($A148="","",-SUMIFS(Transactions!$E:$E,Transactions!$D:$D,$A148,Transactions!$B:$B,"Sell call")-SUMIFS(Transactions!$E:$E,Transactions!$D:$D,$A148,Transactions!$B:$B,"Buy to close")-SUMIFS(Transactions!$E:$E,Transactions!$D:$D,$A148,Transactions!$B:$B,"Expired")-SUMIFS(Transactions!$E:$E,Transactions!$D:$D,$A148,Transactions!$B:$B,"Assigned"))</f>
        <v/>
      </c>
      <c r="E148" s="27" t="str">
        <f aca="false">IF($A148="","",IFERROR(SUMIFS(Transactions!$F:$F,Transactions!$D:$D,$A148,Transactions!$B:$B,"Sell call")/COUNTIFS(Transactions!$D:$D,$A148,Transactions!$B:$B,"Sell call"),""))</f>
        <v/>
      </c>
      <c r="F148" s="10" t="str">
        <f aca="false">IF($A148="","",IFERROR(SUMIFS(Transactions!$G:$G,Transactions!$D:$D,$A148,Transactions!$B:$B,"Sell call")/COUNTIFS(Transactions!$D:$D,$A148,Transactions!$B:$B,"Sell call"),""))</f>
        <v/>
      </c>
      <c r="G148" s="8" t="str">
        <f aca="false">IF($A148="","",-SUMIFS(Transactions!$E:$E,Transactions!$D:$D,$A148,Transactions!$B:$B,"Sell call")*100+SUMIFS(Transactions!$E:$E,Transactions!$D:$D,$A148,Transactions!$B:$B,"Sell shares"))</f>
        <v/>
      </c>
      <c r="H148" s="14" t="str">
        <f aca="false">IF($A148="","",IF(SUMIFS(Transactions!$J:$J,Transactions!$D:$D,$A148,Transactions!$B:$B,"Buy shares")&lt;&gt;0,-SUMIFS(Transactions!$J:$J,Transactions!$D:$D,$A148,Transactions!$B:$B,"Buy shares"),IFERROR(INDEX(Lots!$E:$E,MATCH($W148,Lots!$A:$A,0))*-SUMIFS(Transactions!$E:$E,Transactions!$D:$D,$A148,Transactions!$B:$B,"Sell call")*100,0)))</f>
        <v/>
      </c>
      <c r="I148" s="14" t="str">
        <f aca="false">IF($A148="","",SUMIFS(Transactions!$J:$J,Transactions!$D:$D,$A148,Transactions!$B:$B,"Sell call"))</f>
        <v/>
      </c>
      <c r="J148" s="14" t="str">
        <f aca="false">IF($A148="","",-SUMIFS(Transactions!$J:$J,Transactions!$D:$D,$A148,Transactions!$B:$B,"Buy to close"))</f>
        <v/>
      </c>
      <c r="K148" s="23"/>
      <c r="L148" s="23"/>
      <c r="M148" s="23"/>
      <c r="N148" s="21"/>
      <c r="O148" s="28"/>
      <c r="P148" s="14" t="str">
        <f aca="false">IF(OR(C148&lt;&gt;"Open",L148=""),"",L148*100*D148)</f>
        <v/>
      </c>
      <c r="Q148" s="14" t="str">
        <f aca="false">IF(OR(C148&lt;&gt;"Open",P148=""),"",I148-J148-P148)</f>
        <v/>
      </c>
      <c r="R148" s="14" t="str">
        <f aca="false">IF(OR(C148&lt;&gt;"Open",K148=""),"",K148*G148)</f>
        <v/>
      </c>
      <c r="S148" s="14" t="str">
        <f aca="false">IF(OR(R148="",Q148=""),"",R148-H148+Q148)</f>
        <v/>
      </c>
      <c r="T148" s="13" t="str">
        <f aca="false">IF(OR(R148="",Q148="",N(H148)=0),"",(R148+Q148)/H148)</f>
        <v/>
      </c>
      <c r="U148" s="10" t="str">
        <f aca="false">IF(C148&lt;&gt;"Closed","",_xlfn.MAXIFS(Transactions!$A:$A,Transactions!$D:$D,$A148))</f>
        <v/>
      </c>
      <c r="V148" s="14" t="str">
        <f aca="false">IF(C148&lt;&gt;"Closed","",I148-J148)</f>
        <v/>
      </c>
      <c r="W148" s="8" t="str">
        <f aca="false">IF($A148="","",IFERROR(INDEX(Transactions!$O:$O,MATCH($A148,Transactions!$D:$D,0)),""))</f>
        <v/>
      </c>
    </row>
    <row r="149" customFormat="false" ht="15" hidden="false" customHeight="false" outlineLevel="0" collapsed="false">
      <c r="A149" s="21"/>
      <c r="B149" s="8" t="str">
        <f aca="false">IF($A149="","",IFERROR(INDEX(Transactions!$C:$C,MATCH($A149,Transactions!$D:$D,0)),""))</f>
        <v/>
      </c>
      <c r="C149" s="8" t="str">
        <f aca="false">IF($A149="","",IF(D149&gt;0,"Open","Closed"))</f>
        <v/>
      </c>
      <c r="D149" s="8" t="str">
        <f aca="false">IF($A149="","",-SUMIFS(Transactions!$E:$E,Transactions!$D:$D,$A149,Transactions!$B:$B,"Sell call")-SUMIFS(Transactions!$E:$E,Transactions!$D:$D,$A149,Transactions!$B:$B,"Buy to close")-SUMIFS(Transactions!$E:$E,Transactions!$D:$D,$A149,Transactions!$B:$B,"Expired")-SUMIFS(Transactions!$E:$E,Transactions!$D:$D,$A149,Transactions!$B:$B,"Assigned"))</f>
        <v/>
      </c>
      <c r="E149" s="27" t="str">
        <f aca="false">IF($A149="","",IFERROR(SUMIFS(Transactions!$F:$F,Transactions!$D:$D,$A149,Transactions!$B:$B,"Sell call")/COUNTIFS(Transactions!$D:$D,$A149,Transactions!$B:$B,"Sell call"),""))</f>
        <v/>
      </c>
      <c r="F149" s="10" t="str">
        <f aca="false">IF($A149="","",IFERROR(SUMIFS(Transactions!$G:$G,Transactions!$D:$D,$A149,Transactions!$B:$B,"Sell call")/COUNTIFS(Transactions!$D:$D,$A149,Transactions!$B:$B,"Sell call"),""))</f>
        <v/>
      </c>
      <c r="G149" s="8" t="str">
        <f aca="false">IF($A149="","",-SUMIFS(Transactions!$E:$E,Transactions!$D:$D,$A149,Transactions!$B:$B,"Sell call")*100+SUMIFS(Transactions!$E:$E,Transactions!$D:$D,$A149,Transactions!$B:$B,"Sell shares"))</f>
        <v/>
      </c>
      <c r="H149" s="14" t="str">
        <f aca="false">IF($A149="","",IF(SUMIFS(Transactions!$J:$J,Transactions!$D:$D,$A149,Transactions!$B:$B,"Buy shares")&lt;&gt;0,-SUMIFS(Transactions!$J:$J,Transactions!$D:$D,$A149,Transactions!$B:$B,"Buy shares"),IFERROR(INDEX(Lots!$E:$E,MATCH($W149,Lots!$A:$A,0))*-SUMIFS(Transactions!$E:$E,Transactions!$D:$D,$A149,Transactions!$B:$B,"Sell call")*100,0)))</f>
        <v/>
      </c>
      <c r="I149" s="14" t="str">
        <f aca="false">IF($A149="","",SUMIFS(Transactions!$J:$J,Transactions!$D:$D,$A149,Transactions!$B:$B,"Sell call"))</f>
        <v/>
      </c>
      <c r="J149" s="14" t="str">
        <f aca="false">IF($A149="","",-SUMIFS(Transactions!$J:$J,Transactions!$D:$D,$A149,Transactions!$B:$B,"Buy to close"))</f>
        <v/>
      </c>
      <c r="K149" s="23"/>
      <c r="L149" s="23"/>
      <c r="M149" s="23"/>
      <c r="N149" s="21"/>
      <c r="O149" s="28"/>
      <c r="P149" s="14" t="str">
        <f aca="false">IF(OR(C149&lt;&gt;"Open",L149=""),"",L149*100*D149)</f>
        <v/>
      </c>
      <c r="Q149" s="14" t="str">
        <f aca="false">IF(OR(C149&lt;&gt;"Open",P149=""),"",I149-J149-P149)</f>
        <v/>
      </c>
      <c r="R149" s="14" t="str">
        <f aca="false">IF(OR(C149&lt;&gt;"Open",K149=""),"",K149*G149)</f>
        <v/>
      </c>
      <c r="S149" s="14" t="str">
        <f aca="false">IF(OR(R149="",Q149=""),"",R149-H149+Q149)</f>
        <v/>
      </c>
      <c r="T149" s="13" t="str">
        <f aca="false">IF(OR(R149="",Q149="",N(H149)=0),"",(R149+Q149)/H149)</f>
        <v/>
      </c>
      <c r="U149" s="10" t="str">
        <f aca="false">IF(C149&lt;&gt;"Closed","",_xlfn.MAXIFS(Transactions!$A:$A,Transactions!$D:$D,$A149))</f>
        <v/>
      </c>
      <c r="V149" s="14" t="str">
        <f aca="false">IF(C149&lt;&gt;"Closed","",I149-J149)</f>
        <v/>
      </c>
      <c r="W149" s="8" t="str">
        <f aca="false">IF($A149="","",IFERROR(INDEX(Transactions!$O:$O,MATCH($A149,Transactions!$D:$D,0)),""))</f>
        <v/>
      </c>
    </row>
    <row r="150" customFormat="false" ht="15" hidden="false" customHeight="false" outlineLevel="0" collapsed="false">
      <c r="A150" s="21"/>
      <c r="B150" s="8" t="str">
        <f aca="false">IF($A150="","",IFERROR(INDEX(Transactions!$C:$C,MATCH($A150,Transactions!$D:$D,0)),""))</f>
        <v/>
      </c>
      <c r="C150" s="8" t="str">
        <f aca="false">IF($A150="","",IF(D150&gt;0,"Open","Closed"))</f>
        <v/>
      </c>
      <c r="D150" s="8" t="str">
        <f aca="false">IF($A150="","",-SUMIFS(Transactions!$E:$E,Transactions!$D:$D,$A150,Transactions!$B:$B,"Sell call")-SUMIFS(Transactions!$E:$E,Transactions!$D:$D,$A150,Transactions!$B:$B,"Buy to close")-SUMIFS(Transactions!$E:$E,Transactions!$D:$D,$A150,Transactions!$B:$B,"Expired")-SUMIFS(Transactions!$E:$E,Transactions!$D:$D,$A150,Transactions!$B:$B,"Assigned"))</f>
        <v/>
      </c>
      <c r="E150" s="27" t="str">
        <f aca="false">IF($A150="","",IFERROR(SUMIFS(Transactions!$F:$F,Transactions!$D:$D,$A150,Transactions!$B:$B,"Sell call")/COUNTIFS(Transactions!$D:$D,$A150,Transactions!$B:$B,"Sell call"),""))</f>
        <v/>
      </c>
      <c r="F150" s="10" t="str">
        <f aca="false">IF($A150="","",IFERROR(SUMIFS(Transactions!$G:$G,Transactions!$D:$D,$A150,Transactions!$B:$B,"Sell call")/COUNTIFS(Transactions!$D:$D,$A150,Transactions!$B:$B,"Sell call"),""))</f>
        <v/>
      </c>
      <c r="G150" s="8" t="str">
        <f aca="false">IF($A150="","",-SUMIFS(Transactions!$E:$E,Transactions!$D:$D,$A150,Transactions!$B:$B,"Sell call")*100+SUMIFS(Transactions!$E:$E,Transactions!$D:$D,$A150,Transactions!$B:$B,"Sell shares"))</f>
        <v/>
      </c>
      <c r="H150" s="14" t="str">
        <f aca="false">IF($A150="","",IF(SUMIFS(Transactions!$J:$J,Transactions!$D:$D,$A150,Transactions!$B:$B,"Buy shares")&lt;&gt;0,-SUMIFS(Transactions!$J:$J,Transactions!$D:$D,$A150,Transactions!$B:$B,"Buy shares"),IFERROR(INDEX(Lots!$E:$E,MATCH($W150,Lots!$A:$A,0))*-SUMIFS(Transactions!$E:$E,Transactions!$D:$D,$A150,Transactions!$B:$B,"Sell call")*100,0)))</f>
        <v/>
      </c>
      <c r="I150" s="14" t="str">
        <f aca="false">IF($A150="","",SUMIFS(Transactions!$J:$J,Transactions!$D:$D,$A150,Transactions!$B:$B,"Sell call"))</f>
        <v/>
      </c>
      <c r="J150" s="14" t="str">
        <f aca="false">IF($A150="","",-SUMIFS(Transactions!$J:$J,Transactions!$D:$D,$A150,Transactions!$B:$B,"Buy to close"))</f>
        <v/>
      </c>
      <c r="K150" s="23"/>
      <c r="L150" s="23"/>
      <c r="M150" s="23"/>
      <c r="N150" s="21"/>
      <c r="O150" s="28"/>
      <c r="P150" s="14" t="str">
        <f aca="false">IF(OR(C150&lt;&gt;"Open",L150=""),"",L150*100*D150)</f>
        <v/>
      </c>
      <c r="Q150" s="14" t="str">
        <f aca="false">IF(OR(C150&lt;&gt;"Open",P150=""),"",I150-J150-P150)</f>
        <v/>
      </c>
      <c r="R150" s="14" t="str">
        <f aca="false">IF(OR(C150&lt;&gt;"Open",K150=""),"",K150*G150)</f>
        <v/>
      </c>
      <c r="S150" s="14" t="str">
        <f aca="false">IF(OR(R150="",Q150=""),"",R150-H150+Q150)</f>
        <v/>
      </c>
      <c r="T150" s="13" t="str">
        <f aca="false">IF(OR(R150="",Q150="",N(H150)=0),"",(R150+Q150)/H150)</f>
        <v/>
      </c>
      <c r="U150" s="10" t="str">
        <f aca="false">IF(C150&lt;&gt;"Closed","",_xlfn.MAXIFS(Transactions!$A:$A,Transactions!$D:$D,$A150))</f>
        <v/>
      </c>
      <c r="V150" s="14" t="str">
        <f aca="false">IF(C150&lt;&gt;"Closed","",I150-J150)</f>
        <v/>
      </c>
      <c r="W150" s="8" t="str">
        <f aca="false">IF($A150="","",IFERROR(INDEX(Transactions!$O:$O,MATCH($A150,Transactions!$D:$D,0)),""))</f>
        <v/>
      </c>
    </row>
    <row r="151" customFormat="false" ht="15" hidden="false" customHeight="false" outlineLevel="0" collapsed="false">
      <c r="A151" s="21"/>
      <c r="B151" s="8" t="str">
        <f aca="false">IF($A151="","",IFERROR(INDEX(Transactions!$C:$C,MATCH($A151,Transactions!$D:$D,0)),""))</f>
        <v/>
      </c>
      <c r="C151" s="8" t="str">
        <f aca="false">IF($A151="","",IF(D151&gt;0,"Open","Closed"))</f>
        <v/>
      </c>
      <c r="D151" s="8" t="str">
        <f aca="false">IF($A151="","",-SUMIFS(Transactions!$E:$E,Transactions!$D:$D,$A151,Transactions!$B:$B,"Sell call")-SUMIFS(Transactions!$E:$E,Transactions!$D:$D,$A151,Transactions!$B:$B,"Buy to close")-SUMIFS(Transactions!$E:$E,Transactions!$D:$D,$A151,Transactions!$B:$B,"Expired")-SUMIFS(Transactions!$E:$E,Transactions!$D:$D,$A151,Transactions!$B:$B,"Assigned"))</f>
        <v/>
      </c>
      <c r="E151" s="27" t="str">
        <f aca="false">IF($A151="","",IFERROR(SUMIFS(Transactions!$F:$F,Transactions!$D:$D,$A151,Transactions!$B:$B,"Sell call")/COUNTIFS(Transactions!$D:$D,$A151,Transactions!$B:$B,"Sell call"),""))</f>
        <v/>
      </c>
      <c r="F151" s="10" t="str">
        <f aca="false">IF($A151="","",IFERROR(SUMIFS(Transactions!$G:$G,Transactions!$D:$D,$A151,Transactions!$B:$B,"Sell call")/COUNTIFS(Transactions!$D:$D,$A151,Transactions!$B:$B,"Sell call"),""))</f>
        <v/>
      </c>
      <c r="G151" s="8" t="str">
        <f aca="false">IF($A151="","",-SUMIFS(Transactions!$E:$E,Transactions!$D:$D,$A151,Transactions!$B:$B,"Sell call")*100+SUMIFS(Transactions!$E:$E,Transactions!$D:$D,$A151,Transactions!$B:$B,"Sell shares"))</f>
        <v/>
      </c>
      <c r="H151" s="14" t="str">
        <f aca="false">IF($A151="","",IF(SUMIFS(Transactions!$J:$J,Transactions!$D:$D,$A151,Transactions!$B:$B,"Buy shares")&lt;&gt;0,-SUMIFS(Transactions!$J:$J,Transactions!$D:$D,$A151,Transactions!$B:$B,"Buy shares"),IFERROR(INDEX(Lots!$E:$E,MATCH($W151,Lots!$A:$A,0))*-SUMIFS(Transactions!$E:$E,Transactions!$D:$D,$A151,Transactions!$B:$B,"Sell call")*100,0)))</f>
        <v/>
      </c>
      <c r="I151" s="14" t="str">
        <f aca="false">IF($A151="","",SUMIFS(Transactions!$J:$J,Transactions!$D:$D,$A151,Transactions!$B:$B,"Sell call"))</f>
        <v/>
      </c>
      <c r="J151" s="14" t="str">
        <f aca="false">IF($A151="","",-SUMIFS(Transactions!$J:$J,Transactions!$D:$D,$A151,Transactions!$B:$B,"Buy to close"))</f>
        <v/>
      </c>
      <c r="K151" s="23"/>
      <c r="L151" s="23"/>
      <c r="M151" s="23"/>
      <c r="N151" s="21"/>
      <c r="O151" s="28"/>
      <c r="P151" s="14" t="str">
        <f aca="false">IF(OR(C151&lt;&gt;"Open",L151=""),"",L151*100*D151)</f>
        <v/>
      </c>
      <c r="Q151" s="14" t="str">
        <f aca="false">IF(OR(C151&lt;&gt;"Open",P151=""),"",I151-J151-P151)</f>
        <v/>
      </c>
      <c r="R151" s="14" t="str">
        <f aca="false">IF(OR(C151&lt;&gt;"Open",K151=""),"",K151*G151)</f>
        <v/>
      </c>
      <c r="S151" s="14" t="str">
        <f aca="false">IF(OR(R151="",Q151=""),"",R151-H151+Q151)</f>
        <v/>
      </c>
      <c r="T151" s="13" t="str">
        <f aca="false">IF(OR(R151="",Q151="",N(H151)=0),"",(R151+Q151)/H151)</f>
        <v/>
      </c>
      <c r="U151" s="10" t="str">
        <f aca="false">IF(C151&lt;&gt;"Closed","",_xlfn.MAXIFS(Transactions!$A:$A,Transactions!$D:$D,$A151))</f>
        <v/>
      </c>
      <c r="V151" s="14" t="str">
        <f aca="false">IF(C151&lt;&gt;"Closed","",I151-J151)</f>
        <v/>
      </c>
      <c r="W151" s="8" t="str">
        <f aca="false">IF($A151="","",IFERROR(INDEX(Transactions!$O:$O,MATCH($A151,Transactions!$D:$D,0)),""))</f>
        <v/>
      </c>
    </row>
    <row r="152" customFormat="false" ht="15" hidden="false" customHeight="false" outlineLevel="0" collapsed="false">
      <c r="A152" s="21"/>
      <c r="B152" s="8" t="str">
        <f aca="false">IF($A152="","",IFERROR(INDEX(Transactions!$C:$C,MATCH($A152,Transactions!$D:$D,0)),""))</f>
        <v/>
      </c>
      <c r="C152" s="8" t="str">
        <f aca="false">IF($A152="","",IF(D152&gt;0,"Open","Closed"))</f>
        <v/>
      </c>
      <c r="D152" s="8" t="str">
        <f aca="false">IF($A152="","",-SUMIFS(Transactions!$E:$E,Transactions!$D:$D,$A152,Transactions!$B:$B,"Sell call")-SUMIFS(Transactions!$E:$E,Transactions!$D:$D,$A152,Transactions!$B:$B,"Buy to close")-SUMIFS(Transactions!$E:$E,Transactions!$D:$D,$A152,Transactions!$B:$B,"Expired")-SUMIFS(Transactions!$E:$E,Transactions!$D:$D,$A152,Transactions!$B:$B,"Assigned"))</f>
        <v/>
      </c>
      <c r="E152" s="27" t="str">
        <f aca="false">IF($A152="","",IFERROR(SUMIFS(Transactions!$F:$F,Transactions!$D:$D,$A152,Transactions!$B:$B,"Sell call")/COUNTIFS(Transactions!$D:$D,$A152,Transactions!$B:$B,"Sell call"),""))</f>
        <v/>
      </c>
      <c r="F152" s="10" t="str">
        <f aca="false">IF($A152="","",IFERROR(SUMIFS(Transactions!$G:$G,Transactions!$D:$D,$A152,Transactions!$B:$B,"Sell call")/COUNTIFS(Transactions!$D:$D,$A152,Transactions!$B:$B,"Sell call"),""))</f>
        <v/>
      </c>
      <c r="G152" s="8" t="str">
        <f aca="false">IF($A152="","",-SUMIFS(Transactions!$E:$E,Transactions!$D:$D,$A152,Transactions!$B:$B,"Sell call")*100+SUMIFS(Transactions!$E:$E,Transactions!$D:$D,$A152,Transactions!$B:$B,"Sell shares"))</f>
        <v/>
      </c>
      <c r="H152" s="14" t="str">
        <f aca="false">IF($A152="","",IF(SUMIFS(Transactions!$J:$J,Transactions!$D:$D,$A152,Transactions!$B:$B,"Buy shares")&lt;&gt;0,-SUMIFS(Transactions!$J:$J,Transactions!$D:$D,$A152,Transactions!$B:$B,"Buy shares"),IFERROR(INDEX(Lots!$E:$E,MATCH($W152,Lots!$A:$A,0))*-SUMIFS(Transactions!$E:$E,Transactions!$D:$D,$A152,Transactions!$B:$B,"Sell call")*100,0)))</f>
        <v/>
      </c>
      <c r="I152" s="14" t="str">
        <f aca="false">IF($A152="","",SUMIFS(Transactions!$J:$J,Transactions!$D:$D,$A152,Transactions!$B:$B,"Sell call"))</f>
        <v/>
      </c>
      <c r="J152" s="14" t="str">
        <f aca="false">IF($A152="","",-SUMIFS(Transactions!$J:$J,Transactions!$D:$D,$A152,Transactions!$B:$B,"Buy to close"))</f>
        <v/>
      </c>
      <c r="K152" s="23"/>
      <c r="L152" s="23"/>
      <c r="M152" s="23"/>
      <c r="N152" s="21"/>
      <c r="O152" s="28"/>
      <c r="P152" s="14" t="str">
        <f aca="false">IF(OR(C152&lt;&gt;"Open",L152=""),"",L152*100*D152)</f>
        <v/>
      </c>
      <c r="Q152" s="14" t="str">
        <f aca="false">IF(OR(C152&lt;&gt;"Open",P152=""),"",I152-J152-P152)</f>
        <v/>
      </c>
      <c r="R152" s="14" t="str">
        <f aca="false">IF(OR(C152&lt;&gt;"Open",K152=""),"",K152*G152)</f>
        <v/>
      </c>
      <c r="S152" s="14" t="str">
        <f aca="false">IF(OR(R152="",Q152=""),"",R152-H152+Q152)</f>
        <v/>
      </c>
      <c r="T152" s="13" t="str">
        <f aca="false">IF(OR(R152="",Q152="",N(H152)=0),"",(R152+Q152)/H152)</f>
        <v/>
      </c>
      <c r="U152" s="10" t="str">
        <f aca="false">IF(C152&lt;&gt;"Closed","",_xlfn.MAXIFS(Transactions!$A:$A,Transactions!$D:$D,$A152))</f>
        <v/>
      </c>
      <c r="V152" s="14" t="str">
        <f aca="false">IF(C152&lt;&gt;"Closed","",I152-J152)</f>
        <v/>
      </c>
      <c r="W152" s="8" t="str">
        <f aca="false">IF($A152="","",IFERROR(INDEX(Transactions!$O:$O,MATCH($A152,Transactions!$D:$D,0)),""))</f>
        <v/>
      </c>
    </row>
    <row r="153" customFormat="false" ht="15" hidden="false" customHeight="false" outlineLevel="0" collapsed="false">
      <c r="A153" s="21"/>
      <c r="B153" s="8" t="str">
        <f aca="false">IF($A153="","",IFERROR(INDEX(Transactions!$C:$C,MATCH($A153,Transactions!$D:$D,0)),""))</f>
        <v/>
      </c>
      <c r="C153" s="8" t="str">
        <f aca="false">IF($A153="","",IF(D153&gt;0,"Open","Closed"))</f>
        <v/>
      </c>
      <c r="D153" s="8" t="str">
        <f aca="false">IF($A153="","",-SUMIFS(Transactions!$E:$E,Transactions!$D:$D,$A153,Transactions!$B:$B,"Sell call")-SUMIFS(Transactions!$E:$E,Transactions!$D:$D,$A153,Transactions!$B:$B,"Buy to close")-SUMIFS(Transactions!$E:$E,Transactions!$D:$D,$A153,Transactions!$B:$B,"Expired")-SUMIFS(Transactions!$E:$E,Transactions!$D:$D,$A153,Transactions!$B:$B,"Assigned"))</f>
        <v/>
      </c>
      <c r="E153" s="27" t="str">
        <f aca="false">IF($A153="","",IFERROR(SUMIFS(Transactions!$F:$F,Transactions!$D:$D,$A153,Transactions!$B:$B,"Sell call")/COUNTIFS(Transactions!$D:$D,$A153,Transactions!$B:$B,"Sell call"),""))</f>
        <v/>
      </c>
      <c r="F153" s="10" t="str">
        <f aca="false">IF($A153="","",IFERROR(SUMIFS(Transactions!$G:$G,Transactions!$D:$D,$A153,Transactions!$B:$B,"Sell call")/COUNTIFS(Transactions!$D:$D,$A153,Transactions!$B:$B,"Sell call"),""))</f>
        <v/>
      </c>
      <c r="G153" s="8" t="str">
        <f aca="false">IF($A153="","",-SUMIFS(Transactions!$E:$E,Transactions!$D:$D,$A153,Transactions!$B:$B,"Sell call")*100+SUMIFS(Transactions!$E:$E,Transactions!$D:$D,$A153,Transactions!$B:$B,"Sell shares"))</f>
        <v/>
      </c>
      <c r="H153" s="14" t="str">
        <f aca="false">IF($A153="","",IF(SUMIFS(Transactions!$J:$J,Transactions!$D:$D,$A153,Transactions!$B:$B,"Buy shares")&lt;&gt;0,-SUMIFS(Transactions!$J:$J,Transactions!$D:$D,$A153,Transactions!$B:$B,"Buy shares"),IFERROR(INDEX(Lots!$E:$E,MATCH($W153,Lots!$A:$A,0))*-SUMIFS(Transactions!$E:$E,Transactions!$D:$D,$A153,Transactions!$B:$B,"Sell call")*100,0)))</f>
        <v/>
      </c>
      <c r="I153" s="14" t="str">
        <f aca="false">IF($A153="","",SUMIFS(Transactions!$J:$J,Transactions!$D:$D,$A153,Transactions!$B:$B,"Sell call"))</f>
        <v/>
      </c>
      <c r="J153" s="14" t="str">
        <f aca="false">IF($A153="","",-SUMIFS(Transactions!$J:$J,Transactions!$D:$D,$A153,Transactions!$B:$B,"Buy to close"))</f>
        <v/>
      </c>
      <c r="K153" s="23"/>
      <c r="L153" s="23"/>
      <c r="M153" s="23"/>
      <c r="N153" s="21"/>
      <c r="O153" s="28"/>
      <c r="P153" s="14" t="str">
        <f aca="false">IF(OR(C153&lt;&gt;"Open",L153=""),"",L153*100*D153)</f>
        <v/>
      </c>
      <c r="Q153" s="14" t="str">
        <f aca="false">IF(OR(C153&lt;&gt;"Open",P153=""),"",I153-J153-P153)</f>
        <v/>
      </c>
      <c r="R153" s="14" t="str">
        <f aca="false">IF(OR(C153&lt;&gt;"Open",K153=""),"",K153*G153)</f>
        <v/>
      </c>
      <c r="S153" s="14" t="str">
        <f aca="false">IF(OR(R153="",Q153=""),"",R153-H153+Q153)</f>
        <v/>
      </c>
      <c r="T153" s="13" t="str">
        <f aca="false">IF(OR(R153="",Q153="",N(H153)=0),"",(R153+Q153)/H153)</f>
        <v/>
      </c>
      <c r="U153" s="10" t="str">
        <f aca="false">IF(C153&lt;&gt;"Closed","",_xlfn.MAXIFS(Transactions!$A:$A,Transactions!$D:$D,$A153))</f>
        <v/>
      </c>
      <c r="V153" s="14" t="str">
        <f aca="false">IF(C153&lt;&gt;"Closed","",I153-J153)</f>
        <v/>
      </c>
      <c r="W153" s="8" t="str">
        <f aca="false">IF($A153="","",IFERROR(INDEX(Transactions!$O:$O,MATCH($A153,Transactions!$D:$D,0)),""))</f>
        <v/>
      </c>
    </row>
    <row r="154" customFormat="false" ht="15" hidden="false" customHeight="false" outlineLevel="0" collapsed="false">
      <c r="A154" s="21"/>
      <c r="B154" s="8" t="str">
        <f aca="false">IF($A154="","",IFERROR(INDEX(Transactions!$C:$C,MATCH($A154,Transactions!$D:$D,0)),""))</f>
        <v/>
      </c>
      <c r="C154" s="8" t="str">
        <f aca="false">IF($A154="","",IF(D154&gt;0,"Open","Closed"))</f>
        <v/>
      </c>
      <c r="D154" s="8" t="str">
        <f aca="false">IF($A154="","",-SUMIFS(Transactions!$E:$E,Transactions!$D:$D,$A154,Transactions!$B:$B,"Sell call")-SUMIFS(Transactions!$E:$E,Transactions!$D:$D,$A154,Transactions!$B:$B,"Buy to close")-SUMIFS(Transactions!$E:$E,Transactions!$D:$D,$A154,Transactions!$B:$B,"Expired")-SUMIFS(Transactions!$E:$E,Transactions!$D:$D,$A154,Transactions!$B:$B,"Assigned"))</f>
        <v/>
      </c>
      <c r="E154" s="27" t="str">
        <f aca="false">IF($A154="","",IFERROR(SUMIFS(Transactions!$F:$F,Transactions!$D:$D,$A154,Transactions!$B:$B,"Sell call")/COUNTIFS(Transactions!$D:$D,$A154,Transactions!$B:$B,"Sell call"),""))</f>
        <v/>
      </c>
      <c r="F154" s="10" t="str">
        <f aca="false">IF($A154="","",IFERROR(SUMIFS(Transactions!$G:$G,Transactions!$D:$D,$A154,Transactions!$B:$B,"Sell call")/COUNTIFS(Transactions!$D:$D,$A154,Transactions!$B:$B,"Sell call"),""))</f>
        <v/>
      </c>
      <c r="G154" s="8" t="str">
        <f aca="false">IF($A154="","",-SUMIFS(Transactions!$E:$E,Transactions!$D:$D,$A154,Transactions!$B:$B,"Sell call")*100+SUMIFS(Transactions!$E:$E,Transactions!$D:$D,$A154,Transactions!$B:$B,"Sell shares"))</f>
        <v/>
      </c>
      <c r="H154" s="14" t="str">
        <f aca="false">IF($A154="","",IF(SUMIFS(Transactions!$J:$J,Transactions!$D:$D,$A154,Transactions!$B:$B,"Buy shares")&lt;&gt;0,-SUMIFS(Transactions!$J:$J,Transactions!$D:$D,$A154,Transactions!$B:$B,"Buy shares"),IFERROR(INDEX(Lots!$E:$E,MATCH($W154,Lots!$A:$A,0))*-SUMIFS(Transactions!$E:$E,Transactions!$D:$D,$A154,Transactions!$B:$B,"Sell call")*100,0)))</f>
        <v/>
      </c>
      <c r="I154" s="14" t="str">
        <f aca="false">IF($A154="","",SUMIFS(Transactions!$J:$J,Transactions!$D:$D,$A154,Transactions!$B:$B,"Sell call"))</f>
        <v/>
      </c>
      <c r="J154" s="14" t="str">
        <f aca="false">IF($A154="","",-SUMIFS(Transactions!$J:$J,Transactions!$D:$D,$A154,Transactions!$B:$B,"Buy to close"))</f>
        <v/>
      </c>
      <c r="K154" s="23"/>
      <c r="L154" s="23"/>
      <c r="M154" s="23"/>
      <c r="N154" s="21"/>
      <c r="O154" s="28"/>
      <c r="P154" s="14" t="str">
        <f aca="false">IF(OR(C154&lt;&gt;"Open",L154=""),"",L154*100*D154)</f>
        <v/>
      </c>
      <c r="Q154" s="14" t="str">
        <f aca="false">IF(OR(C154&lt;&gt;"Open",P154=""),"",I154-J154-P154)</f>
        <v/>
      </c>
      <c r="R154" s="14" t="str">
        <f aca="false">IF(OR(C154&lt;&gt;"Open",K154=""),"",K154*G154)</f>
        <v/>
      </c>
      <c r="S154" s="14" t="str">
        <f aca="false">IF(OR(R154="",Q154=""),"",R154-H154+Q154)</f>
        <v/>
      </c>
      <c r="T154" s="13" t="str">
        <f aca="false">IF(OR(R154="",Q154="",N(H154)=0),"",(R154+Q154)/H154)</f>
        <v/>
      </c>
      <c r="U154" s="10" t="str">
        <f aca="false">IF(C154&lt;&gt;"Closed","",_xlfn.MAXIFS(Transactions!$A:$A,Transactions!$D:$D,$A154))</f>
        <v/>
      </c>
      <c r="V154" s="14" t="str">
        <f aca="false">IF(C154&lt;&gt;"Closed","",I154-J154)</f>
        <v/>
      </c>
      <c r="W154" s="8" t="str">
        <f aca="false">IF($A154="","",IFERROR(INDEX(Transactions!$O:$O,MATCH($A154,Transactions!$D:$D,0)),""))</f>
        <v/>
      </c>
    </row>
    <row r="155" customFormat="false" ht="15" hidden="false" customHeight="false" outlineLevel="0" collapsed="false">
      <c r="A155" s="21"/>
      <c r="B155" s="8" t="str">
        <f aca="false">IF($A155="","",IFERROR(INDEX(Transactions!$C:$C,MATCH($A155,Transactions!$D:$D,0)),""))</f>
        <v/>
      </c>
      <c r="C155" s="8" t="str">
        <f aca="false">IF($A155="","",IF(D155&gt;0,"Open","Closed"))</f>
        <v/>
      </c>
      <c r="D155" s="8" t="str">
        <f aca="false">IF($A155="","",-SUMIFS(Transactions!$E:$E,Transactions!$D:$D,$A155,Transactions!$B:$B,"Sell call")-SUMIFS(Transactions!$E:$E,Transactions!$D:$D,$A155,Transactions!$B:$B,"Buy to close")-SUMIFS(Transactions!$E:$E,Transactions!$D:$D,$A155,Transactions!$B:$B,"Expired")-SUMIFS(Transactions!$E:$E,Transactions!$D:$D,$A155,Transactions!$B:$B,"Assigned"))</f>
        <v/>
      </c>
      <c r="E155" s="27" t="str">
        <f aca="false">IF($A155="","",IFERROR(SUMIFS(Transactions!$F:$F,Transactions!$D:$D,$A155,Transactions!$B:$B,"Sell call")/COUNTIFS(Transactions!$D:$D,$A155,Transactions!$B:$B,"Sell call"),""))</f>
        <v/>
      </c>
      <c r="F155" s="10" t="str">
        <f aca="false">IF($A155="","",IFERROR(SUMIFS(Transactions!$G:$G,Transactions!$D:$D,$A155,Transactions!$B:$B,"Sell call")/COUNTIFS(Transactions!$D:$D,$A155,Transactions!$B:$B,"Sell call"),""))</f>
        <v/>
      </c>
      <c r="G155" s="8" t="str">
        <f aca="false">IF($A155="","",-SUMIFS(Transactions!$E:$E,Transactions!$D:$D,$A155,Transactions!$B:$B,"Sell call")*100+SUMIFS(Transactions!$E:$E,Transactions!$D:$D,$A155,Transactions!$B:$B,"Sell shares"))</f>
        <v/>
      </c>
      <c r="H155" s="14" t="str">
        <f aca="false">IF($A155="","",IF(SUMIFS(Transactions!$J:$J,Transactions!$D:$D,$A155,Transactions!$B:$B,"Buy shares")&lt;&gt;0,-SUMIFS(Transactions!$J:$J,Transactions!$D:$D,$A155,Transactions!$B:$B,"Buy shares"),IFERROR(INDEX(Lots!$E:$E,MATCH($W155,Lots!$A:$A,0))*-SUMIFS(Transactions!$E:$E,Transactions!$D:$D,$A155,Transactions!$B:$B,"Sell call")*100,0)))</f>
        <v/>
      </c>
      <c r="I155" s="14" t="str">
        <f aca="false">IF($A155="","",SUMIFS(Transactions!$J:$J,Transactions!$D:$D,$A155,Transactions!$B:$B,"Sell call"))</f>
        <v/>
      </c>
      <c r="J155" s="14" t="str">
        <f aca="false">IF($A155="","",-SUMIFS(Transactions!$J:$J,Transactions!$D:$D,$A155,Transactions!$B:$B,"Buy to close"))</f>
        <v/>
      </c>
      <c r="K155" s="23"/>
      <c r="L155" s="23"/>
      <c r="M155" s="23"/>
      <c r="N155" s="21"/>
      <c r="O155" s="28"/>
      <c r="P155" s="14" t="str">
        <f aca="false">IF(OR(C155&lt;&gt;"Open",L155=""),"",L155*100*D155)</f>
        <v/>
      </c>
      <c r="Q155" s="14" t="str">
        <f aca="false">IF(OR(C155&lt;&gt;"Open",P155=""),"",I155-J155-P155)</f>
        <v/>
      </c>
      <c r="R155" s="14" t="str">
        <f aca="false">IF(OR(C155&lt;&gt;"Open",K155=""),"",K155*G155)</f>
        <v/>
      </c>
      <c r="S155" s="14" t="str">
        <f aca="false">IF(OR(R155="",Q155=""),"",R155-H155+Q155)</f>
        <v/>
      </c>
      <c r="T155" s="13" t="str">
        <f aca="false">IF(OR(R155="",Q155="",N(H155)=0),"",(R155+Q155)/H155)</f>
        <v/>
      </c>
      <c r="U155" s="10" t="str">
        <f aca="false">IF(C155&lt;&gt;"Closed","",_xlfn.MAXIFS(Transactions!$A:$A,Transactions!$D:$D,$A155))</f>
        <v/>
      </c>
      <c r="V155" s="14" t="str">
        <f aca="false">IF(C155&lt;&gt;"Closed","",I155-J155)</f>
        <v/>
      </c>
      <c r="W155" s="8" t="str">
        <f aca="false">IF($A155="","",IFERROR(INDEX(Transactions!$O:$O,MATCH($A155,Transactions!$D:$D,0)),""))</f>
        <v/>
      </c>
    </row>
    <row r="156" customFormat="false" ht="15" hidden="false" customHeight="false" outlineLevel="0" collapsed="false">
      <c r="A156" s="21"/>
      <c r="B156" s="8" t="str">
        <f aca="false">IF($A156="","",IFERROR(INDEX(Transactions!$C:$C,MATCH($A156,Transactions!$D:$D,0)),""))</f>
        <v/>
      </c>
      <c r="C156" s="8" t="str">
        <f aca="false">IF($A156="","",IF(D156&gt;0,"Open","Closed"))</f>
        <v/>
      </c>
      <c r="D156" s="8" t="str">
        <f aca="false">IF($A156="","",-SUMIFS(Transactions!$E:$E,Transactions!$D:$D,$A156,Transactions!$B:$B,"Sell call")-SUMIFS(Transactions!$E:$E,Transactions!$D:$D,$A156,Transactions!$B:$B,"Buy to close")-SUMIFS(Transactions!$E:$E,Transactions!$D:$D,$A156,Transactions!$B:$B,"Expired")-SUMIFS(Transactions!$E:$E,Transactions!$D:$D,$A156,Transactions!$B:$B,"Assigned"))</f>
        <v/>
      </c>
      <c r="E156" s="27" t="str">
        <f aca="false">IF($A156="","",IFERROR(SUMIFS(Transactions!$F:$F,Transactions!$D:$D,$A156,Transactions!$B:$B,"Sell call")/COUNTIFS(Transactions!$D:$D,$A156,Transactions!$B:$B,"Sell call"),""))</f>
        <v/>
      </c>
      <c r="F156" s="10" t="str">
        <f aca="false">IF($A156="","",IFERROR(SUMIFS(Transactions!$G:$G,Transactions!$D:$D,$A156,Transactions!$B:$B,"Sell call")/COUNTIFS(Transactions!$D:$D,$A156,Transactions!$B:$B,"Sell call"),""))</f>
        <v/>
      </c>
      <c r="G156" s="8" t="str">
        <f aca="false">IF($A156="","",-SUMIFS(Transactions!$E:$E,Transactions!$D:$D,$A156,Transactions!$B:$B,"Sell call")*100+SUMIFS(Transactions!$E:$E,Transactions!$D:$D,$A156,Transactions!$B:$B,"Sell shares"))</f>
        <v/>
      </c>
      <c r="H156" s="14" t="str">
        <f aca="false">IF($A156="","",IF(SUMIFS(Transactions!$J:$J,Transactions!$D:$D,$A156,Transactions!$B:$B,"Buy shares")&lt;&gt;0,-SUMIFS(Transactions!$J:$J,Transactions!$D:$D,$A156,Transactions!$B:$B,"Buy shares"),IFERROR(INDEX(Lots!$E:$E,MATCH($W156,Lots!$A:$A,0))*-SUMIFS(Transactions!$E:$E,Transactions!$D:$D,$A156,Transactions!$B:$B,"Sell call")*100,0)))</f>
        <v/>
      </c>
      <c r="I156" s="14" t="str">
        <f aca="false">IF($A156="","",SUMIFS(Transactions!$J:$J,Transactions!$D:$D,$A156,Transactions!$B:$B,"Sell call"))</f>
        <v/>
      </c>
      <c r="J156" s="14" t="str">
        <f aca="false">IF($A156="","",-SUMIFS(Transactions!$J:$J,Transactions!$D:$D,$A156,Transactions!$B:$B,"Buy to close"))</f>
        <v/>
      </c>
      <c r="K156" s="23"/>
      <c r="L156" s="23"/>
      <c r="M156" s="23"/>
      <c r="N156" s="21"/>
      <c r="O156" s="28"/>
      <c r="P156" s="14" t="str">
        <f aca="false">IF(OR(C156&lt;&gt;"Open",L156=""),"",L156*100*D156)</f>
        <v/>
      </c>
      <c r="Q156" s="14" t="str">
        <f aca="false">IF(OR(C156&lt;&gt;"Open",P156=""),"",I156-J156-P156)</f>
        <v/>
      </c>
      <c r="R156" s="14" t="str">
        <f aca="false">IF(OR(C156&lt;&gt;"Open",K156=""),"",K156*G156)</f>
        <v/>
      </c>
      <c r="S156" s="14" t="str">
        <f aca="false">IF(OR(R156="",Q156=""),"",R156-H156+Q156)</f>
        <v/>
      </c>
      <c r="T156" s="13" t="str">
        <f aca="false">IF(OR(R156="",Q156="",N(H156)=0),"",(R156+Q156)/H156)</f>
        <v/>
      </c>
      <c r="U156" s="10" t="str">
        <f aca="false">IF(C156&lt;&gt;"Closed","",_xlfn.MAXIFS(Transactions!$A:$A,Transactions!$D:$D,$A156))</f>
        <v/>
      </c>
      <c r="V156" s="14" t="str">
        <f aca="false">IF(C156&lt;&gt;"Closed","",I156-J156)</f>
        <v/>
      </c>
      <c r="W156" s="8" t="str">
        <f aca="false">IF($A156="","",IFERROR(INDEX(Transactions!$O:$O,MATCH($A156,Transactions!$D:$D,0)),""))</f>
        <v/>
      </c>
    </row>
    <row r="157" customFormat="false" ht="15" hidden="false" customHeight="false" outlineLevel="0" collapsed="false">
      <c r="A157" s="21"/>
      <c r="B157" s="8" t="str">
        <f aca="false">IF($A157="","",IFERROR(INDEX(Transactions!$C:$C,MATCH($A157,Transactions!$D:$D,0)),""))</f>
        <v/>
      </c>
      <c r="C157" s="8" t="str">
        <f aca="false">IF($A157="","",IF(D157&gt;0,"Open","Closed"))</f>
        <v/>
      </c>
      <c r="D157" s="8" t="str">
        <f aca="false">IF($A157="","",-SUMIFS(Transactions!$E:$E,Transactions!$D:$D,$A157,Transactions!$B:$B,"Sell call")-SUMIFS(Transactions!$E:$E,Transactions!$D:$D,$A157,Transactions!$B:$B,"Buy to close")-SUMIFS(Transactions!$E:$E,Transactions!$D:$D,$A157,Transactions!$B:$B,"Expired")-SUMIFS(Transactions!$E:$E,Transactions!$D:$D,$A157,Transactions!$B:$B,"Assigned"))</f>
        <v/>
      </c>
      <c r="E157" s="27" t="str">
        <f aca="false">IF($A157="","",IFERROR(SUMIFS(Transactions!$F:$F,Transactions!$D:$D,$A157,Transactions!$B:$B,"Sell call")/COUNTIFS(Transactions!$D:$D,$A157,Transactions!$B:$B,"Sell call"),""))</f>
        <v/>
      </c>
      <c r="F157" s="10" t="str">
        <f aca="false">IF($A157="","",IFERROR(SUMIFS(Transactions!$G:$G,Transactions!$D:$D,$A157,Transactions!$B:$B,"Sell call")/COUNTIFS(Transactions!$D:$D,$A157,Transactions!$B:$B,"Sell call"),""))</f>
        <v/>
      </c>
      <c r="G157" s="8" t="str">
        <f aca="false">IF($A157="","",-SUMIFS(Transactions!$E:$E,Transactions!$D:$D,$A157,Transactions!$B:$B,"Sell call")*100+SUMIFS(Transactions!$E:$E,Transactions!$D:$D,$A157,Transactions!$B:$B,"Sell shares"))</f>
        <v/>
      </c>
      <c r="H157" s="14" t="str">
        <f aca="false">IF($A157="","",IF(SUMIFS(Transactions!$J:$J,Transactions!$D:$D,$A157,Transactions!$B:$B,"Buy shares")&lt;&gt;0,-SUMIFS(Transactions!$J:$J,Transactions!$D:$D,$A157,Transactions!$B:$B,"Buy shares"),IFERROR(INDEX(Lots!$E:$E,MATCH($W157,Lots!$A:$A,0))*-SUMIFS(Transactions!$E:$E,Transactions!$D:$D,$A157,Transactions!$B:$B,"Sell call")*100,0)))</f>
        <v/>
      </c>
      <c r="I157" s="14" t="str">
        <f aca="false">IF($A157="","",SUMIFS(Transactions!$J:$J,Transactions!$D:$D,$A157,Transactions!$B:$B,"Sell call"))</f>
        <v/>
      </c>
      <c r="J157" s="14" t="str">
        <f aca="false">IF($A157="","",-SUMIFS(Transactions!$J:$J,Transactions!$D:$D,$A157,Transactions!$B:$B,"Buy to close"))</f>
        <v/>
      </c>
      <c r="K157" s="23"/>
      <c r="L157" s="23"/>
      <c r="M157" s="23"/>
      <c r="N157" s="21"/>
      <c r="O157" s="28"/>
      <c r="P157" s="14" t="str">
        <f aca="false">IF(OR(C157&lt;&gt;"Open",L157=""),"",L157*100*D157)</f>
        <v/>
      </c>
      <c r="Q157" s="14" t="str">
        <f aca="false">IF(OR(C157&lt;&gt;"Open",P157=""),"",I157-J157-P157)</f>
        <v/>
      </c>
      <c r="R157" s="14" t="str">
        <f aca="false">IF(OR(C157&lt;&gt;"Open",K157=""),"",K157*G157)</f>
        <v/>
      </c>
      <c r="S157" s="14" t="str">
        <f aca="false">IF(OR(R157="",Q157=""),"",R157-H157+Q157)</f>
        <v/>
      </c>
      <c r="T157" s="13" t="str">
        <f aca="false">IF(OR(R157="",Q157="",N(H157)=0),"",(R157+Q157)/H157)</f>
        <v/>
      </c>
      <c r="U157" s="10" t="str">
        <f aca="false">IF(C157&lt;&gt;"Closed","",_xlfn.MAXIFS(Transactions!$A:$A,Transactions!$D:$D,$A157))</f>
        <v/>
      </c>
      <c r="V157" s="14" t="str">
        <f aca="false">IF(C157&lt;&gt;"Closed","",I157-J157)</f>
        <v/>
      </c>
      <c r="W157" s="8" t="str">
        <f aca="false">IF($A157="","",IFERROR(INDEX(Transactions!$O:$O,MATCH($A157,Transactions!$D:$D,0)),""))</f>
        <v/>
      </c>
    </row>
    <row r="158" customFormat="false" ht="15" hidden="false" customHeight="false" outlineLevel="0" collapsed="false">
      <c r="A158" s="21"/>
      <c r="B158" s="8" t="str">
        <f aca="false">IF($A158="","",IFERROR(INDEX(Transactions!$C:$C,MATCH($A158,Transactions!$D:$D,0)),""))</f>
        <v/>
      </c>
      <c r="C158" s="8" t="str">
        <f aca="false">IF($A158="","",IF(D158&gt;0,"Open","Closed"))</f>
        <v/>
      </c>
      <c r="D158" s="8" t="str">
        <f aca="false">IF($A158="","",-SUMIFS(Transactions!$E:$E,Transactions!$D:$D,$A158,Transactions!$B:$B,"Sell call")-SUMIFS(Transactions!$E:$E,Transactions!$D:$D,$A158,Transactions!$B:$B,"Buy to close")-SUMIFS(Transactions!$E:$E,Transactions!$D:$D,$A158,Transactions!$B:$B,"Expired")-SUMIFS(Transactions!$E:$E,Transactions!$D:$D,$A158,Transactions!$B:$B,"Assigned"))</f>
        <v/>
      </c>
      <c r="E158" s="27" t="str">
        <f aca="false">IF($A158="","",IFERROR(SUMIFS(Transactions!$F:$F,Transactions!$D:$D,$A158,Transactions!$B:$B,"Sell call")/COUNTIFS(Transactions!$D:$D,$A158,Transactions!$B:$B,"Sell call"),""))</f>
        <v/>
      </c>
      <c r="F158" s="10" t="str">
        <f aca="false">IF($A158="","",IFERROR(SUMIFS(Transactions!$G:$G,Transactions!$D:$D,$A158,Transactions!$B:$B,"Sell call")/COUNTIFS(Transactions!$D:$D,$A158,Transactions!$B:$B,"Sell call"),""))</f>
        <v/>
      </c>
      <c r="G158" s="8" t="str">
        <f aca="false">IF($A158="","",-SUMIFS(Transactions!$E:$E,Transactions!$D:$D,$A158,Transactions!$B:$B,"Sell call")*100+SUMIFS(Transactions!$E:$E,Transactions!$D:$D,$A158,Transactions!$B:$B,"Sell shares"))</f>
        <v/>
      </c>
      <c r="H158" s="14" t="str">
        <f aca="false">IF($A158="","",IF(SUMIFS(Transactions!$J:$J,Transactions!$D:$D,$A158,Transactions!$B:$B,"Buy shares")&lt;&gt;0,-SUMIFS(Transactions!$J:$J,Transactions!$D:$D,$A158,Transactions!$B:$B,"Buy shares"),IFERROR(INDEX(Lots!$E:$E,MATCH($W158,Lots!$A:$A,0))*-SUMIFS(Transactions!$E:$E,Transactions!$D:$D,$A158,Transactions!$B:$B,"Sell call")*100,0)))</f>
        <v/>
      </c>
      <c r="I158" s="14" t="str">
        <f aca="false">IF($A158="","",SUMIFS(Transactions!$J:$J,Transactions!$D:$D,$A158,Transactions!$B:$B,"Sell call"))</f>
        <v/>
      </c>
      <c r="J158" s="14" t="str">
        <f aca="false">IF($A158="","",-SUMIFS(Transactions!$J:$J,Transactions!$D:$D,$A158,Transactions!$B:$B,"Buy to close"))</f>
        <v/>
      </c>
      <c r="K158" s="23"/>
      <c r="L158" s="23"/>
      <c r="M158" s="23"/>
      <c r="N158" s="21"/>
      <c r="O158" s="28"/>
      <c r="P158" s="14" t="str">
        <f aca="false">IF(OR(C158&lt;&gt;"Open",L158=""),"",L158*100*D158)</f>
        <v/>
      </c>
      <c r="Q158" s="14" t="str">
        <f aca="false">IF(OR(C158&lt;&gt;"Open",P158=""),"",I158-J158-P158)</f>
        <v/>
      </c>
      <c r="R158" s="14" t="str">
        <f aca="false">IF(OR(C158&lt;&gt;"Open",K158=""),"",K158*G158)</f>
        <v/>
      </c>
      <c r="S158" s="14" t="str">
        <f aca="false">IF(OR(R158="",Q158=""),"",R158-H158+Q158)</f>
        <v/>
      </c>
      <c r="T158" s="13" t="str">
        <f aca="false">IF(OR(R158="",Q158="",N(H158)=0),"",(R158+Q158)/H158)</f>
        <v/>
      </c>
      <c r="U158" s="10" t="str">
        <f aca="false">IF(C158&lt;&gt;"Closed","",_xlfn.MAXIFS(Transactions!$A:$A,Transactions!$D:$D,$A158))</f>
        <v/>
      </c>
      <c r="V158" s="14" t="str">
        <f aca="false">IF(C158&lt;&gt;"Closed","",I158-J158)</f>
        <v/>
      </c>
      <c r="W158" s="8" t="str">
        <f aca="false">IF($A158="","",IFERROR(INDEX(Transactions!$O:$O,MATCH($A158,Transactions!$D:$D,0)),""))</f>
        <v/>
      </c>
    </row>
    <row r="159" customFormat="false" ht="15" hidden="false" customHeight="false" outlineLevel="0" collapsed="false">
      <c r="A159" s="21"/>
      <c r="B159" s="8" t="str">
        <f aca="false">IF($A159="","",IFERROR(INDEX(Transactions!$C:$C,MATCH($A159,Transactions!$D:$D,0)),""))</f>
        <v/>
      </c>
      <c r="C159" s="8" t="str">
        <f aca="false">IF($A159="","",IF(D159&gt;0,"Open","Closed"))</f>
        <v/>
      </c>
      <c r="D159" s="8" t="str">
        <f aca="false">IF($A159="","",-SUMIFS(Transactions!$E:$E,Transactions!$D:$D,$A159,Transactions!$B:$B,"Sell call")-SUMIFS(Transactions!$E:$E,Transactions!$D:$D,$A159,Transactions!$B:$B,"Buy to close")-SUMIFS(Transactions!$E:$E,Transactions!$D:$D,$A159,Transactions!$B:$B,"Expired")-SUMIFS(Transactions!$E:$E,Transactions!$D:$D,$A159,Transactions!$B:$B,"Assigned"))</f>
        <v/>
      </c>
      <c r="E159" s="27" t="str">
        <f aca="false">IF($A159="","",IFERROR(SUMIFS(Transactions!$F:$F,Transactions!$D:$D,$A159,Transactions!$B:$B,"Sell call")/COUNTIFS(Transactions!$D:$D,$A159,Transactions!$B:$B,"Sell call"),""))</f>
        <v/>
      </c>
      <c r="F159" s="10" t="str">
        <f aca="false">IF($A159="","",IFERROR(SUMIFS(Transactions!$G:$G,Transactions!$D:$D,$A159,Transactions!$B:$B,"Sell call")/COUNTIFS(Transactions!$D:$D,$A159,Transactions!$B:$B,"Sell call"),""))</f>
        <v/>
      </c>
      <c r="G159" s="8" t="str">
        <f aca="false">IF($A159="","",-SUMIFS(Transactions!$E:$E,Transactions!$D:$D,$A159,Transactions!$B:$B,"Sell call")*100+SUMIFS(Transactions!$E:$E,Transactions!$D:$D,$A159,Transactions!$B:$B,"Sell shares"))</f>
        <v/>
      </c>
      <c r="H159" s="14" t="str">
        <f aca="false">IF($A159="","",IF(SUMIFS(Transactions!$J:$J,Transactions!$D:$D,$A159,Transactions!$B:$B,"Buy shares")&lt;&gt;0,-SUMIFS(Transactions!$J:$J,Transactions!$D:$D,$A159,Transactions!$B:$B,"Buy shares"),IFERROR(INDEX(Lots!$E:$E,MATCH($W159,Lots!$A:$A,0))*-SUMIFS(Transactions!$E:$E,Transactions!$D:$D,$A159,Transactions!$B:$B,"Sell call")*100,0)))</f>
        <v/>
      </c>
      <c r="I159" s="14" t="str">
        <f aca="false">IF($A159="","",SUMIFS(Transactions!$J:$J,Transactions!$D:$D,$A159,Transactions!$B:$B,"Sell call"))</f>
        <v/>
      </c>
      <c r="J159" s="14" t="str">
        <f aca="false">IF($A159="","",-SUMIFS(Transactions!$J:$J,Transactions!$D:$D,$A159,Transactions!$B:$B,"Buy to close"))</f>
        <v/>
      </c>
      <c r="K159" s="23"/>
      <c r="L159" s="23"/>
      <c r="M159" s="23"/>
      <c r="N159" s="21"/>
      <c r="O159" s="28"/>
      <c r="P159" s="14" t="str">
        <f aca="false">IF(OR(C159&lt;&gt;"Open",L159=""),"",L159*100*D159)</f>
        <v/>
      </c>
      <c r="Q159" s="14" t="str">
        <f aca="false">IF(OR(C159&lt;&gt;"Open",P159=""),"",I159-J159-P159)</f>
        <v/>
      </c>
      <c r="R159" s="14" t="str">
        <f aca="false">IF(OR(C159&lt;&gt;"Open",K159=""),"",K159*G159)</f>
        <v/>
      </c>
      <c r="S159" s="14" t="str">
        <f aca="false">IF(OR(R159="",Q159=""),"",R159-H159+Q159)</f>
        <v/>
      </c>
      <c r="T159" s="13" t="str">
        <f aca="false">IF(OR(R159="",Q159="",N(H159)=0),"",(R159+Q159)/H159)</f>
        <v/>
      </c>
      <c r="U159" s="10" t="str">
        <f aca="false">IF(C159&lt;&gt;"Closed","",_xlfn.MAXIFS(Transactions!$A:$A,Transactions!$D:$D,$A159))</f>
        <v/>
      </c>
      <c r="V159" s="14" t="str">
        <f aca="false">IF(C159&lt;&gt;"Closed","",I159-J159)</f>
        <v/>
      </c>
      <c r="W159" s="8" t="str">
        <f aca="false">IF($A159="","",IFERROR(INDEX(Transactions!$O:$O,MATCH($A159,Transactions!$D:$D,0)),""))</f>
        <v/>
      </c>
    </row>
    <row r="160" customFormat="false" ht="15" hidden="false" customHeight="false" outlineLevel="0" collapsed="false">
      <c r="A160" s="21"/>
      <c r="B160" s="8" t="str">
        <f aca="false">IF($A160="","",IFERROR(INDEX(Transactions!$C:$C,MATCH($A160,Transactions!$D:$D,0)),""))</f>
        <v/>
      </c>
      <c r="C160" s="8" t="str">
        <f aca="false">IF($A160="","",IF(D160&gt;0,"Open","Closed"))</f>
        <v/>
      </c>
      <c r="D160" s="8" t="str">
        <f aca="false">IF($A160="","",-SUMIFS(Transactions!$E:$E,Transactions!$D:$D,$A160,Transactions!$B:$B,"Sell call")-SUMIFS(Transactions!$E:$E,Transactions!$D:$D,$A160,Transactions!$B:$B,"Buy to close")-SUMIFS(Transactions!$E:$E,Transactions!$D:$D,$A160,Transactions!$B:$B,"Expired")-SUMIFS(Transactions!$E:$E,Transactions!$D:$D,$A160,Transactions!$B:$B,"Assigned"))</f>
        <v/>
      </c>
      <c r="E160" s="27" t="str">
        <f aca="false">IF($A160="","",IFERROR(SUMIFS(Transactions!$F:$F,Transactions!$D:$D,$A160,Transactions!$B:$B,"Sell call")/COUNTIFS(Transactions!$D:$D,$A160,Transactions!$B:$B,"Sell call"),""))</f>
        <v/>
      </c>
      <c r="F160" s="10" t="str">
        <f aca="false">IF($A160="","",IFERROR(SUMIFS(Transactions!$G:$G,Transactions!$D:$D,$A160,Transactions!$B:$B,"Sell call")/COUNTIFS(Transactions!$D:$D,$A160,Transactions!$B:$B,"Sell call"),""))</f>
        <v/>
      </c>
      <c r="G160" s="8" t="str">
        <f aca="false">IF($A160="","",-SUMIFS(Transactions!$E:$E,Transactions!$D:$D,$A160,Transactions!$B:$B,"Sell call")*100+SUMIFS(Transactions!$E:$E,Transactions!$D:$D,$A160,Transactions!$B:$B,"Sell shares"))</f>
        <v/>
      </c>
      <c r="H160" s="14" t="str">
        <f aca="false">IF($A160="","",IF(SUMIFS(Transactions!$J:$J,Transactions!$D:$D,$A160,Transactions!$B:$B,"Buy shares")&lt;&gt;0,-SUMIFS(Transactions!$J:$J,Transactions!$D:$D,$A160,Transactions!$B:$B,"Buy shares"),IFERROR(INDEX(Lots!$E:$E,MATCH($W160,Lots!$A:$A,0))*-SUMIFS(Transactions!$E:$E,Transactions!$D:$D,$A160,Transactions!$B:$B,"Sell call")*100,0)))</f>
        <v/>
      </c>
      <c r="I160" s="14" t="str">
        <f aca="false">IF($A160="","",SUMIFS(Transactions!$J:$J,Transactions!$D:$D,$A160,Transactions!$B:$B,"Sell call"))</f>
        <v/>
      </c>
      <c r="J160" s="14" t="str">
        <f aca="false">IF($A160="","",-SUMIFS(Transactions!$J:$J,Transactions!$D:$D,$A160,Transactions!$B:$B,"Buy to close"))</f>
        <v/>
      </c>
      <c r="K160" s="23"/>
      <c r="L160" s="23"/>
      <c r="M160" s="23"/>
      <c r="N160" s="21"/>
      <c r="O160" s="28"/>
      <c r="P160" s="14" t="str">
        <f aca="false">IF(OR(C160&lt;&gt;"Open",L160=""),"",L160*100*D160)</f>
        <v/>
      </c>
      <c r="Q160" s="14" t="str">
        <f aca="false">IF(OR(C160&lt;&gt;"Open",P160=""),"",I160-J160-P160)</f>
        <v/>
      </c>
      <c r="R160" s="14" t="str">
        <f aca="false">IF(OR(C160&lt;&gt;"Open",K160=""),"",K160*G160)</f>
        <v/>
      </c>
      <c r="S160" s="14" t="str">
        <f aca="false">IF(OR(R160="",Q160=""),"",R160-H160+Q160)</f>
        <v/>
      </c>
      <c r="T160" s="13" t="str">
        <f aca="false">IF(OR(R160="",Q160="",N(H160)=0),"",(R160+Q160)/H160)</f>
        <v/>
      </c>
      <c r="U160" s="10" t="str">
        <f aca="false">IF(C160&lt;&gt;"Closed","",_xlfn.MAXIFS(Transactions!$A:$A,Transactions!$D:$D,$A160))</f>
        <v/>
      </c>
      <c r="V160" s="14" t="str">
        <f aca="false">IF(C160&lt;&gt;"Closed","",I160-J160)</f>
        <v/>
      </c>
      <c r="W160" s="8" t="str">
        <f aca="false">IF($A160="","",IFERROR(INDEX(Transactions!$O:$O,MATCH($A160,Transactions!$D:$D,0)),""))</f>
        <v/>
      </c>
    </row>
    <row r="161" customFormat="false" ht="15" hidden="false" customHeight="false" outlineLevel="0" collapsed="false">
      <c r="A161" s="21"/>
      <c r="B161" s="8" t="str">
        <f aca="false">IF($A161="","",IFERROR(INDEX(Transactions!$C:$C,MATCH($A161,Transactions!$D:$D,0)),""))</f>
        <v/>
      </c>
      <c r="C161" s="8" t="str">
        <f aca="false">IF($A161="","",IF(D161&gt;0,"Open","Closed"))</f>
        <v/>
      </c>
      <c r="D161" s="8" t="str">
        <f aca="false">IF($A161="","",-SUMIFS(Transactions!$E:$E,Transactions!$D:$D,$A161,Transactions!$B:$B,"Sell call")-SUMIFS(Transactions!$E:$E,Transactions!$D:$D,$A161,Transactions!$B:$B,"Buy to close")-SUMIFS(Transactions!$E:$E,Transactions!$D:$D,$A161,Transactions!$B:$B,"Expired")-SUMIFS(Transactions!$E:$E,Transactions!$D:$D,$A161,Transactions!$B:$B,"Assigned"))</f>
        <v/>
      </c>
      <c r="E161" s="27" t="str">
        <f aca="false">IF($A161="","",IFERROR(SUMIFS(Transactions!$F:$F,Transactions!$D:$D,$A161,Transactions!$B:$B,"Sell call")/COUNTIFS(Transactions!$D:$D,$A161,Transactions!$B:$B,"Sell call"),""))</f>
        <v/>
      </c>
      <c r="F161" s="10" t="str">
        <f aca="false">IF($A161="","",IFERROR(SUMIFS(Transactions!$G:$G,Transactions!$D:$D,$A161,Transactions!$B:$B,"Sell call")/COUNTIFS(Transactions!$D:$D,$A161,Transactions!$B:$B,"Sell call"),""))</f>
        <v/>
      </c>
      <c r="G161" s="8" t="str">
        <f aca="false">IF($A161="","",-SUMIFS(Transactions!$E:$E,Transactions!$D:$D,$A161,Transactions!$B:$B,"Sell call")*100+SUMIFS(Transactions!$E:$E,Transactions!$D:$D,$A161,Transactions!$B:$B,"Sell shares"))</f>
        <v/>
      </c>
      <c r="H161" s="14" t="str">
        <f aca="false">IF($A161="","",IF(SUMIFS(Transactions!$J:$J,Transactions!$D:$D,$A161,Transactions!$B:$B,"Buy shares")&lt;&gt;0,-SUMIFS(Transactions!$J:$J,Transactions!$D:$D,$A161,Transactions!$B:$B,"Buy shares"),IFERROR(INDEX(Lots!$E:$E,MATCH($W161,Lots!$A:$A,0))*-SUMIFS(Transactions!$E:$E,Transactions!$D:$D,$A161,Transactions!$B:$B,"Sell call")*100,0)))</f>
        <v/>
      </c>
      <c r="I161" s="14" t="str">
        <f aca="false">IF($A161="","",SUMIFS(Transactions!$J:$J,Transactions!$D:$D,$A161,Transactions!$B:$B,"Sell call"))</f>
        <v/>
      </c>
      <c r="J161" s="14" t="str">
        <f aca="false">IF($A161="","",-SUMIFS(Transactions!$J:$J,Transactions!$D:$D,$A161,Transactions!$B:$B,"Buy to close"))</f>
        <v/>
      </c>
      <c r="K161" s="23"/>
      <c r="L161" s="23"/>
      <c r="M161" s="23"/>
      <c r="N161" s="21"/>
      <c r="O161" s="28"/>
      <c r="P161" s="14" t="str">
        <f aca="false">IF(OR(C161&lt;&gt;"Open",L161=""),"",L161*100*D161)</f>
        <v/>
      </c>
      <c r="Q161" s="14" t="str">
        <f aca="false">IF(OR(C161&lt;&gt;"Open",P161=""),"",I161-J161-P161)</f>
        <v/>
      </c>
      <c r="R161" s="14" t="str">
        <f aca="false">IF(OR(C161&lt;&gt;"Open",K161=""),"",K161*G161)</f>
        <v/>
      </c>
      <c r="S161" s="14" t="str">
        <f aca="false">IF(OR(R161="",Q161=""),"",R161-H161+Q161)</f>
        <v/>
      </c>
      <c r="T161" s="13" t="str">
        <f aca="false">IF(OR(R161="",Q161="",N(H161)=0),"",(R161+Q161)/H161)</f>
        <v/>
      </c>
      <c r="U161" s="10" t="str">
        <f aca="false">IF(C161&lt;&gt;"Closed","",_xlfn.MAXIFS(Transactions!$A:$A,Transactions!$D:$D,$A161))</f>
        <v/>
      </c>
      <c r="V161" s="14" t="str">
        <f aca="false">IF(C161&lt;&gt;"Closed","",I161-J161)</f>
        <v/>
      </c>
      <c r="W161" s="8" t="str">
        <f aca="false">IF($A161="","",IFERROR(INDEX(Transactions!$O:$O,MATCH($A161,Transactions!$D:$D,0)),""))</f>
        <v/>
      </c>
    </row>
    <row r="162" customFormat="false" ht="15" hidden="false" customHeight="false" outlineLevel="0" collapsed="false">
      <c r="A162" s="21"/>
      <c r="B162" s="8" t="str">
        <f aca="false">IF($A162="","",IFERROR(INDEX(Transactions!$C:$C,MATCH($A162,Transactions!$D:$D,0)),""))</f>
        <v/>
      </c>
      <c r="C162" s="8" t="str">
        <f aca="false">IF($A162="","",IF(D162&gt;0,"Open","Closed"))</f>
        <v/>
      </c>
      <c r="D162" s="8" t="str">
        <f aca="false">IF($A162="","",-SUMIFS(Transactions!$E:$E,Transactions!$D:$D,$A162,Transactions!$B:$B,"Sell call")-SUMIFS(Transactions!$E:$E,Transactions!$D:$D,$A162,Transactions!$B:$B,"Buy to close")-SUMIFS(Transactions!$E:$E,Transactions!$D:$D,$A162,Transactions!$B:$B,"Expired")-SUMIFS(Transactions!$E:$E,Transactions!$D:$D,$A162,Transactions!$B:$B,"Assigned"))</f>
        <v/>
      </c>
      <c r="E162" s="27" t="str">
        <f aca="false">IF($A162="","",IFERROR(SUMIFS(Transactions!$F:$F,Transactions!$D:$D,$A162,Transactions!$B:$B,"Sell call")/COUNTIFS(Transactions!$D:$D,$A162,Transactions!$B:$B,"Sell call"),""))</f>
        <v/>
      </c>
      <c r="F162" s="10" t="str">
        <f aca="false">IF($A162="","",IFERROR(SUMIFS(Transactions!$G:$G,Transactions!$D:$D,$A162,Transactions!$B:$B,"Sell call")/COUNTIFS(Transactions!$D:$D,$A162,Transactions!$B:$B,"Sell call"),""))</f>
        <v/>
      </c>
      <c r="G162" s="8" t="str">
        <f aca="false">IF($A162="","",-SUMIFS(Transactions!$E:$E,Transactions!$D:$D,$A162,Transactions!$B:$B,"Sell call")*100+SUMIFS(Transactions!$E:$E,Transactions!$D:$D,$A162,Transactions!$B:$B,"Sell shares"))</f>
        <v/>
      </c>
      <c r="H162" s="14" t="str">
        <f aca="false">IF($A162="","",IF(SUMIFS(Transactions!$J:$J,Transactions!$D:$D,$A162,Transactions!$B:$B,"Buy shares")&lt;&gt;0,-SUMIFS(Transactions!$J:$J,Transactions!$D:$D,$A162,Transactions!$B:$B,"Buy shares"),IFERROR(INDEX(Lots!$E:$E,MATCH($W162,Lots!$A:$A,0))*-SUMIFS(Transactions!$E:$E,Transactions!$D:$D,$A162,Transactions!$B:$B,"Sell call")*100,0)))</f>
        <v/>
      </c>
      <c r="I162" s="14" t="str">
        <f aca="false">IF($A162="","",SUMIFS(Transactions!$J:$J,Transactions!$D:$D,$A162,Transactions!$B:$B,"Sell call"))</f>
        <v/>
      </c>
      <c r="J162" s="14" t="str">
        <f aca="false">IF($A162="","",-SUMIFS(Transactions!$J:$J,Transactions!$D:$D,$A162,Transactions!$B:$B,"Buy to close"))</f>
        <v/>
      </c>
      <c r="K162" s="23"/>
      <c r="L162" s="23"/>
      <c r="M162" s="23"/>
      <c r="N162" s="21"/>
      <c r="O162" s="28"/>
      <c r="P162" s="14" t="str">
        <f aca="false">IF(OR(C162&lt;&gt;"Open",L162=""),"",L162*100*D162)</f>
        <v/>
      </c>
      <c r="Q162" s="14" t="str">
        <f aca="false">IF(OR(C162&lt;&gt;"Open",P162=""),"",I162-J162-P162)</f>
        <v/>
      </c>
      <c r="R162" s="14" t="str">
        <f aca="false">IF(OR(C162&lt;&gt;"Open",K162=""),"",K162*G162)</f>
        <v/>
      </c>
      <c r="S162" s="14" t="str">
        <f aca="false">IF(OR(R162="",Q162=""),"",R162-H162+Q162)</f>
        <v/>
      </c>
      <c r="T162" s="13" t="str">
        <f aca="false">IF(OR(R162="",Q162="",N(H162)=0),"",(R162+Q162)/H162)</f>
        <v/>
      </c>
      <c r="U162" s="10" t="str">
        <f aca="false">IF(C162&lt;&gt;"Closed","",_xlfn.MAXIFS(Transactions!$A:$A,Transactions!$D:$D,$A162))</f>
        <v/>
      </c>
      <c r="V162" s="14" t="str">
        <f aca="false">IF(C162&lt;&gt;"Closed","",I162-J162)</f>
        <v/>
      </c>
      <c r="W162" s="8" t="str">
        <f aca="false">IF($A162="","",IFERROR(INDEX(Transactions!$O:$O,MATCH($A162,Transactions!$D:$D,0)),""))</f>
        <v/>
      </c>
    </row>
    <row r="163" customFormat="false" ht="15" hidden="false" customHeight="false" outlineLevel="0" collapsed="false">
      <c r="A163" s="21"/>
      <c r="B163" s="8" t="str">
        <f aca="false">IF($A163="","",IFERROR(INDEX(Transactions!$C:$C,MATCH($A163,Transactions!$D:$D,0)),""))</f>
        <v/>
      </c>
      <c r="C163" s="8" t="str">
        <f aca="false">IF($A163="","",IF(D163&gt;0,"Open","Closed"))</f>
        <v/>
      </c>
      <c r="D163" s="8" t="str">
        <f aca="false">IF($A163="","",-SUMIFS(Transactions!$E:$E,Transactions!$D:$D,$A163,Transactions!$B:$B,"Sell call")-SUMIFS(Transactions!$E:$E,Transactions!$D:$D,$A163,Transactions!$B:$B,"Buy to close")-SUMIFS(Transactions!$E:$E,Transactions!$D:$D,$A163,Transactions!$B:$B,"Expired")-SUMIFS(Transactions!$E:$E,Transactions!$D:$D,$A163,Transactions!$B:$B,"Assigned"))</f>
        <v/>
      </c>
      <c r="E163" s="27" t="str">
        <f aca="false">IF($A163="","",IFERROR(SUMIFS(Transactions!$F:$F,Transactions!$D:$D,$A163,Transactions!$B:$B,"Sell call")/COUNTIFS(Transactions!$D:$D,$A163,Transactions!$B:$B,"Sell call"),""))</f>
        <v/>
      </c>
      <c r="F163" s="10" t="str">
        <f aca="false">IF($A163="","",IFERROR(SUMIFS(Transactions!$G:$G,Transactions!$D:$D,$A163,Transactions!$B:$B,"Sell call")/COUNTIFS(Transactions!$D:$D,$A163,Transactions!$B:$B,"Sell call"),""))</f>
        <v/>
      </c>
      <c r="G163" s="8" t="str">
        <f aca="false">IF($A163="","",-SUMIFS(Transactions!$E:$E,Transactions!$D:$D,$A163,Transactions!$B:$B,"Sell call")*100+SUMIFS(Transactions!$E:$E,Transactions!$D:$D,$A163,Transactions!$B:$B,"Sell shares"))</f>
        <v/>
      </c>
      <c r="H163" s="14" t="str">
        <f aca="false">IF($A163="","",IF(SUMIFS(Transactions!$J:$J,Transactions!$D:$D,$A163,Transactions!$B:$B,"Buy shares")&lt;&gt;0,-SUMIFS(Transactions!$J:$J,Transactions!$D:$D,$A163,Transactions!$B:$B,"Buy shares"),IFERROR(INDEX(Lots!$E:$E,MATCH($W163,Lots!$A:$A,0))*-SUMIFS(Transactions!$E:$E,Transactions!$D:$D,$A163,Transactions!$B:$B,"Sell call")*100,0)))</f>
        <v/>
      </c>
      <c r="I163" s="14" t="str">
        <f aca="false">IF($A163="","",SUMIFS(Transactions!$J:$J,Transactions!$D:$D,$A163,Transactions!$B:$B,"Sell call"))</f>
        <v/>
      </c>
      <c r="J163" s="14" t="str">
        <f aca="false">IF($A163="","",-SUMIFS(Transactions!$J:$J,Transactions!$D:$D,$A163,Transactions!$B:$B,"Buy to close"))</f>
        <v/>
      </c>
      <c r="K163" s="23"/>
      <c r="L163" s="23"/>
      <c r="M163" s="23"/>
      <c r="N163" s="21"/>
      <c r="O163" s="28"/>
      <c r="P163" s="14" t="str">
        <f aca="false">IF(OR(C163&lt;&gt;"Open",L163=""),"",L163*100*D163)</f>
        <v/>
      </c>
      <c r="Q163" s="14" t="str">
        <f aca="false">IF(OR(C163&lt;&gt;"Open",P163=""),"",I163-J163-P163)</f>
        <v/>
      </c>
      <c r="R163" s="14" t="str">
        <f aca="false">IF(OR(C163&lt;&gt;"Open",K163=""),"",K163*G163)</f>
        <v/>
      </c>
      <c r="S163" s="14" t="str">
        <f aca="false">IF(OR(R163="",Q163=""),"",R163-H163+Q163)</f>
        <v/>
      </c>
      <c r="T163" s="13" t="str">
        <f aca="false">IF(OR(R163="",Q163="",N(H163)=0),"",(R163+Q163)/H163)</f>
        <v/>
      </c>
      <c r="U163" s="10" t="str">
        <f aca="false">IF(C163&lt;&gt;"Closed","",_xlfn.MAXIFS(Transactions!$A:$A,Transactions!$D:$D,$A163))</f>
        <v/>
      </c>
      <c r="V163" s="14" t="str">
        <f aca="false">IF(C163&lt;&gt;"Closed","",I163-J163)</f>
        <v/>
      </c>
      <c r="W163" s="8" t="str">
        <f aca="false">IF($A163="","",IFERROR(INDEX(Transactions!$O:$O,MATCH($A163,Transactions!$D:$D,0)),""))</f>
        <v/>
      </c>
    </row>
    <row r="164" customFormat="false" ht="15" hidden="false" customHeight="false" outlineLevel="0" collapsed="false">
      <c r="A164" s="21"/>
      <c r="B164" s="8" t="str">
        <f aca="false">IF($A164="","",IFERROR(INDEX(Transactions!$C:$C,MATCH($A164,Transactions!$D:$D,0)),""))</f>
        <v/>
      </c>
      <c r="C164" s="8" t="str">
        <f aca="false">IF($A164="","",IF(D164&gt;0,"Open","Closed"))</f>
        <v/>
      </c>
      <c r="D164" s="8" t="str">
        <f aca="false">IF($A164="","",-SUMIFS(Transactions!$E:$E,Transactions!$D:$D,$A164,Transactions!$B:$B,"Sell call")-SUMIFS(Transactions!$E:$E,Transactions!$D:$D,$A164,Transactions!$B:$B,"Buy to close")-SUMIFS(Transactions!$E:$E,Transactions!$D:$D,$A164,Transactions!$B:$B,"Expired")-SUMIFS(Transactions!$E:$E,Transactions!$D:$D,$A164,Transactions!$B:$B,"Assigned"))</f>
        <v/>
      </c>
      <c r="E164" s="27" t="str">
        <f aca="false">IF($A164="","",IFERROR(SUMIFS(Transactions!$F:$F,Transactions!$D:$D,$A164,Transactions!$B:$B,"Sell call")/COUNTIFS(Transactions!$D:$D,$A164,Transactions!$B:$B,"Sell call"),""))</f>
        <v/>
      </c>
      <c r="F164" s="10" t="str">
        <f aca="false">IF($A164="","",IFERROR(SUMIFS(Transactions!$G:$G,Transactions!$D:$D,$A164,Transactions!$B:$B,"Sell call")/COUNTIFS(Transactions!$D:$D,$A164,Transactions!$B:$B,"Sell call"),""))</f>
        <v/>
      </c>
      <c r="G164" s="8" t="str">
        <f aca="false">IF($A164="","",-SUMIFS(Transactions!$E:$E,Transactions!$D:$D,$A164,Transactions!$B:$B,"Sell call")*100+SUMIFS(Transactions!$E:$E,Transactions!$D:$D,$A164,Transactions!$B:$B,"Sell shares"))</f>
        <v/>
      </c>
      <c r="H164" s="14" t="str">
        <f aca="false">IF($A164="","",IF(SUMIFS(Transactions!$J:$J,Transactions!$D:$D,$A164,Transactions!$B:$B,"Buy shares")&lt;&gt;0,-SUMIFS(Transactions!$J:$J,Transactions!$D:$D,$A164,Transactions!$B:$B,"Buy shares"),IFERROR(INDEX(Lots!$E:$E,MATCH($W164,Lots!$A:$A,0))*-SUMIFS(Transactions!$E:$E,Transactions!$D:$D,$A164,Transactions!$B:$B,"Sell call")*100,0)))</f>
        <v/>
      </c>
      <c r="I164" s="14" t="str">
        <f aca="false">IF($A164="","",SUMIFS(Transactions!$J:$J,Transactions!$D:$D,$A164,Transactions!$B:$B,"Sell call"))</f>
        <v/>
      </c>
      <c r="J164" s="14" t="str">
        <f aca="false">IF($A164="","",-SUMIFS(Transactions!$J:$J,Transactions!$D:$D,$A164,Transactions!$B:$B,"Buy to close"))</f>
        <v/>
      </c>
      <c r="K164" s="23"/>
      <c r="L164" s="23"/>
      <c r="M164" s="23"/>
      <c r="N164" s="21"/>
      <c r="O164" s="28"/>
      <c r="P164" s="14" t="str">
        <f aca="false">IF(OR(C164&lt;&gt;"Open",L164=""),"",L164*100*D164)</f>
        <v/>
      </c>
      <c r="Q164" s="14" t="str">
        <f aca="false">IF(OR(C164&lt;&gt;"Open",P164=""),"",I164-J164-P164)</f>
        <v/>
      </c>
      <c r="R164" s="14" t="str">
        <f aca="false">IF(OR(C164&lt;&gt;"Open",K164=""),"",K164*G164)</f>
        <v/>
      </c>
      <c r="S164" s="14" t="str">
        <f aca="false">IF(OR(R164="",Q164=""),"",R164-H164+Q164)</f>
        <v/>
      </c>
      <c r="T164" s="13" t="str">
        <f aca="false">IF(OR(R164="",Q164="",N(H164)=0),"",(R164+Q164)/H164)</f>
        <v/>
      </c>
      <c r="U164" s="10" t="str">
        <f aca="false">IF(C164&lt;&gt;"Closed","",_xlfn.MAXIFS(Transactions!$A:$A,Transactions!$D:$D,$A164))</f>
        <v/>
      </c>
      <c r="V164" s="14" t="str">
        <f aca="false">IF(C164&lt;&gt;"Closed","",I164-J164)</f>
        <v/>
      </c>
      <c r="W164" s="8" t="str">
        <f aca="false">IF($A164="","",IFERROR(INDEX(Transactions!$O:$O,MATCH($A164,Transactions!$D:$D,0)),""))</f>
        <v/>
      </c>
    </row>
    <row r="165" customFormat="false" ht="15" hidden="false" customHeight="false" outlineLevel="0" collapsed="false">
      <c r="A165" s="21"/>
      <c r="B165" s="8" t="str">
        <f aca="false">IF($A165="","",IFERROR(INDEX(Transactions!$C:$C,MATCH($A165,Transactions!$D:$D,0)),""))</f>
        <v/>
      </c>
      <c r="C165" s="8" t="str">
        <f aca="false">IF($A165="","",IF(D165&gt;0,"Open","Closed"))</f>
        <v/>
      </c>
      <c r="D165" s="8" t="str">
        <f aca="false">IF($A165="","",-SUMIFS(Transactions!$E:$E,Transactions!$D:$D,$A165,Transactions!$B:$B,"Sell call")-SUMIFS(Transactions!$E:$E,Transactions!$D:$D,$A165,Transactions!$B:$B,"Buy to close")-SUMIFS(Transactions!$E:$E,Transactions!$D:$D,$A165,Transactions!$B:$B,"Expired")-SUMIFS(Transactions!$E:$E,Transactions!$D:$D,$A165,Transactions!$B:$B,"Assigned"))</f>
        <v/>
      </c>
      <c r="E165" s="27" t="str">
        <f aca="false">IF($A165="","",IFERROR(SUMIFS(Transactions!$F:$F,Transactions!$D:$D,$A165,Transactions!$B:$B,"Sell call")/COUNTIFS(Transactions!$D:$D,$A165,Transactions!$B:$B,"Sell call"),""))</f>
        <v/>
      </c>
      <c r="F165" s="10" t="str">
        <f aca="false">IF($A165="","",IFERROR(SUMIFS(Transactions!$G:$G,Transactions!$D:$D,$A165,Transactions!$B:$B,"Sell call")/COUNTIFS(Transactions!$D:$D,$A165,Transactions!$B:$B,"Sell call"),""))</f>
        <v/>
      </c>
      <c r="G165" s="8" t="str">
        <f aca="false">IF($A165="","",-SUMIFS(Transactions!$E:$E,Transactions!$D:$D,$A165,Transactions!$B:$B,"Sell call")*100+SUMIFS(Transactions!$E:$E,Transactions!$D:$D,$A165,Transactions!$B:$B,"Sell shares"))</f>
        <v/>
      </c>
      <c r="H165" s="14" t="str">
        <f aca="false">IF($A165="","",IF(SUMIFS(Transactions!$J:$J,Transactions!$D:$D,$A165,Transactions!$B:$B,"Buy shares")&lt;&gt;0,-SUMIFS(Transactions!$J:$J,Transactions!$D:$D,$A165,Transactions!$B:$B,"Buy shares"),IFERROR(INDEX(Lots!$E:$E,MATCH($W165,Lots!$A:$A,0))*-SUMIFS(Transactions!$E:$E,Transactions!$D:$D,$A165,Transactions!$B:$B,"Sell call")*100,0)))</f>
        <v/>
      </c>
      <c r="I165" s="14" t="str">
        <f aca="false">IF($A165="","",SUMIFS(Transactions!$J:$J,Transactions!$D:$D,$A165,Transactions!$B:$B,"Sell call"))</f>
        <v/>
      </c>
      <c r="J165" s="14" t="str">
        <f aca="false">IF($A165="","",-SUMIFS(Transactions!$J:$J,Transactions!$D:$D,$A165,Transactions!$B:$B,"Buy to close"))</f>
        <v/>
      </c>
      <c r="K165" s="23"/>
      <c r="L165" s="23"/>
      <c r="M165" s="23"/>
      <c r="N165" s="21"/>
      <c r="O165" s="28"/>
      <c r="P165" s="14" t="str">
        <f aca="false">IF(OR(C165&lt;&gt;"Open",L165=""),"",L165*100*D165)</f>
        <v/>
      </c>
      <c r="Q165" s="14" t="str">
        <f aca="false">IF(OR(C165&lt;&gt;"Open",P165=""),"",I165-J165-P165)</f>
        <v/>
      </c>
      <c r="R165" s="14" t="str">
        <f aca="false">IF(OR(C165&lt;&gt;"Open",K165=""),"",K165*G165)</f>
        <v/>
      </c>
      <c r="S165" s="14" t="str">
        <f aca="false">IF(OR(R165="",Q165=""),"",R165-H165+Q165)</f>
        <v/>
      </c>
      <c r="T165" s="13" t="str">
        <f aca="false">IF(OR(R165="",Q165="",N(H165)=0),"",(R165+Q165)/H165)</f>
        <v/>
      </c>
      <c r="U165" s="10" t="str">
        <f aca="false">IF(C165&lt;&gt;"Closed","",_xlfn.MAXIFS(Transactions!$A:$A,Transactions!$D:$D,$A165))</f>
        <v/>
      </c>
      <c r="V165" s="14" t="str">
        <f aca="false">IF(C165&lt;&gt;"Closed","",I165-J165)</f>
        <v/>
      </c>
      <c r="W165" s="8" t="str">
        <f aca="false">IF($A165="","",IFERROR(INDEX(Transactions!$O:$O,MATCH($A165,Transactions!$D:$D,0)),""))</f>
        <v/>
      </c>
    </row>
    <row r="166" customFormat="false" ht="15" hidden="false" customHeight="false" outlineLevel="0" collapsed="false">
      <c r="A166" s="21"/>
      <c r="B166" s="8" t="str">
        <f aca="false">IF($A166="","",IFERROR(INDEX(Transactions!$C:$C,MATCH($A166,Transactions!$D:$D,0)),""))</f>
        <v/>
      </c>
      <c r="C166" s="8" t="str">
        <f aca="false">IF($A166="","",IF(D166&gt;0,"Open","Closed"))</f>
        <v/>
      </c>
      <c r="D166" s="8" t="str">
        <f aca="false">IF($A166="","",-SUMIFS(Transactions!$E:$E,Transactions!$D:$D,$A166,Transactions!$B:$B,"Sell call")-SUMIFS(Transactions!$E:$E,Transactions!$D:$D,$A166,Transactions!$B:$B,"Buy to close")-SUMIFS(Transactions!$E:$E,Transactions!$D:$D,$A166,Transactions!$B:$B,"Expired")-SUMIFS(Transactions!$E:$E,Transactions!$D:$D,$A166,Transactions!$B:$B,"Assigned"))</f>
        <v/>
      </c>
      <c r="E166" s="27" t="str">
        <f aca="false">IF($A166="","",IFERROR(SUMIFS(Transactions!$F:$F,Transactions!$D:$D,$A166,Transactions!$B:$B,"Sell call")/COUNTIFS(Transactions!$D:$D,$A166,Transactions!$B:$B,"Sell call"),""))</f>
        <v/>
      </c>
      <c r="F166" s="10" t="str">
        <f aca="false">IF($A166="","",IFERROR(SUMIFS(Transactions!$G:$G,Transactions!$D:$D,$A166,Transactions!$B:$B,"Sell call")/COUNTIFS(Transactions!$D:$D,$A166,Transactions!$B:$B,"Sell call"),""))</f>
        <v/>
      </c>
      <c r="G166" s="8" t="str">
        <f aca="false">IF($A166="","",-SUMIFS(Transactions!$E:$E,Transactions!$D:$D,$A166,Transactions!$B:$B,"Sell call")*100+SUMIFS(Transactions!$E:$E,Transactions!$D:$D,$A166,Transactions!$B:$B,"Sell shares"))</f>
        <v/>
      </c>
      <c r="H166" s="14" t="str">
        <f aca="false">IF($A166="","",IF(SUMIFS(Transactions!$J:$J,Transactions!$D:$D,$A166,Transactions!$B:$B,"Buy shares")&lt;&gt;0,-SUMIFS(Transactions!$J:$J,Transactions!$D:$D,$A166,Transactions!$B:$B,"Buy shares"),IFERROR(INDEX(Lots!$E:$E,MATCH($W166,Lots!$A:$A,0))*-SUMIFS(Transactions!$E:$E,Transactions!$D:$D,$A166,Transactions!$B:$B,"Sell call")*100,0)))</f>
        <v/>
      </c>
      <c r="I166" s="14" t="str">
        <f aca="false">IF($A166="","",SUMIFS(Transactions!$J:$J,Transactions!$D:$D,$A166,Transactions!$B:$B,"Sell call"))</f>
        <v/>
      </c>
      <c r="J166" s="14" t="str">
        <f aca="false">IF($A166="","",-SUMIFS(Transactions!$J:$J,Transactions!$D:$D,$A166,Transactions!$B:$B,"Buy to close"))</f>
        <v/>
      </c>
      <c r="K166" s="23"/>
      <c r="L166" s="23"/>
      <c r="M166" s="23"/>
      <c r="N166" s="21"/>
      <c r="O166" s="28"/>
      <c r="P166" s="14" t="str">
        <f aca="false">IF(OR(C166&lt;&gt;"Open",L166=""),"",L166*100*D166)</f>
        <v/>
      </c>
      <c r="Q166" s="14" t="str">
        <f aca="false">IF(OR(C166&lt;&gt;"Open",P166=""),"",I166-J166-P166)</f>
        <v/>
      </c>
      <c r="R166" s="14" t="str">
        <f aca="false">IF(OR(C166&lt;&gt;"Open",K166=""),"",K166*G166)</f>
        <v/>
      </c>
      <c r="S166" s="14" t="str">
        <f aca="false">IF(OR(R166="",Q166=""),"",R166-H166+Q166)</f>
        <v/>
      </c>
      <c r="T166" s="13" t="str">
        <f aca="false">IF(OR(R166="",Q166="",N(H166)=0),"",(R166+Q166)/H166)</f>
        <v/>
      </c>
      <c r="U166" s="10" t="str">
        <f aca="false">IF(C166&lt;&gt;"Closed","",_xlfn.MAXIFS(Transactions!$A:$A,Transactions!$D:$D,$A166))</f>
        <v/>
      </c>
      <c r="V166" s="14" t="str">
        <f aca="false">IF(C166&lt;&gt;"Closed","",I166-J166)</f>
        <v/>
      </c>
      <c r="W166" s="8" t="str">
        <f aca="false">IF($A166="","",IFERROR(INDEX(Transactions!$O:$O,MATCH($A166,Transactions!$D:$D,0)),""))</f>
        <v/>
      </c>
    </row>
    <row r="167" customFormat="false" ht="15" hidden="false" customHeight="false" outlineLevel="0" collapsed="false">
      <c r="A167" s="21"/>
      <c r="B167" s="8" t="str">
        <f aca="false">IF($A167="","",IFERROR(INDEX(Transactions!$C:$C,MATCH($A167,Transactions!$D:$D,0)),""))</f>
        <v/>
      </c>
      <c r="C167" s="8" t="str">
        <f aca="false">IF($A167="","",IF(D167&gt;0,"Open","Closed"))</f>
        <v/>
      </c>
      <c r="D167" s="8" t="str">
        <f aca="false">IF($A167="","",-SUMIFS(Transactions!$E:$E,Transactions!$D:$D,$A167,Transactions!$B:$B,"Sell call")-SUMIFS(Transactions!$E:$E,Transactions!$D:$D,$A167,Transactions!$B:$B,"Buy to close")-SUMIFS(Transactions!$E:$E,Transactions!$D:$D,$A167,Transactions!$B:$B,"Expired")-SUMIFS(Transactions!$E:$E,Transactions!$D:$D,$A167,Transactions!$B:$B,"Assigned"))</f>
        <v/>
      </c>
      <c r="E167" s="27" t="str">
        <f aca="false">IF($A167="","",IFERROR(SUMIFS(Transactions!$F:$F,Transactions!$D:$D,$A167,Transactions!$B:$B,"Sell call")/COUNTIFS(Transactions!$D:$D,$A167,Transactions!$B:$B,"Sell call"),""))</f>
        <v/>
      </c>
      <c r="F167" s="10" t="str">
        <f aca="false">IF($A167="","",IFERROR(SUMIFS(Transactions!$G:$G,Transactions!$D:$D,$A167,Transactions!$B:$B,"Sell call")/COUNTIFS(Transactions!$D:$D,$A167,Transactions!$B:$B,"Sell call"),""))</f>
        <v/>
      </c>
      <c r="G167" s="8" t="str">
        <f aca="false">IF($A167="","",-SUMIFS(Transactions!$E:$E,Transactions!$D:$D,$A167,Transactions!$B:$B,"Sell call")*100+SUMIFS(Transactions!$E:$E,Transactions!$D:$D,$A167,Transactions!$B:$B,"Sell shares"))</f>
        <v/>
      </c>
      <c r="H167" s="14" t="str">
        <f aca="false">IF($A167="","",IF(SUMIFS(Transactions!$J:$J,Transactions!$D:$D,$A167,Transactions!$B:$B,"Buy shares")&lt;&gt;0,-SUMIFS(Transactions!$J:$J,Transactions!$D:$D,$A167,Transactions!$B:$B,"Buy shares"),IFERROR(INDEX(Lots!$E:$E,MATCH($W167,Lots!$A:$A,0))*-SUMIFS(Transactions!$E:$E,Transactions!$D:$D,$A167,Transactions!$B:$B,"Sell call")*100,0)))</f>
        <v/>
      </c>
      <c r="I167" s="14" t="str">
        <f aca="false">IF($A167="","",SUMIFS(Transactions!$J:$J,Transactions!$D:$D,$A167,Transactions!$B:$B,"Sell call"))</f>
        <v/>
      </c>
      <c r="J167" s="14" t="str">
        <f aca="false">IF($A167="","",-SUMIFS(Transactions!$J:$J,Transactions!$D:$D,$A167,Transactions!$B:$B,"Buy to close"))</f>
        <v/>
      </c>
      <c r="K167" s="23"/>
      <c r="L167" s="23"/>
      <c r="M167" s="23"/>
      <c r="N167" s="21"/>
      <c r="O167" s="28"/>
      <c r="P167" s="14" t="str">
        <f aca="false">IF(OR(C167&lt;&gt;"Open",L167=""),"",L167*100*D167)</f>
        <v/>
      </c>
      <c r="Q167" s="14" t="str">
        <f aca="false">IF(OR(C167&lt;&gt;"Open",P167=""),"",I167-J167-P167)</f>
        <v/>
      </c>
      <c r="R167" s="14" t="str">
        <f aca="false">IF(OR(C167&lt;&gt;"Open",K167=""),"",K167*G167)</f>
        <v/>
      </c>
      <c r="S167" s="14" t="str">
        <f aca="false">IF(OR(R167="",Q167=""),"",R167-H167+Q167)</f>
        <v/>
      </c>
      <c r="T167" s="13" t="str">
        <f aca="false">IF(OR(R167="",Q167="",N(H167)=0),"",(R167+Q167)/H167)</f>
        <v/>
      </c>
      <c r="U167" s="10" t="str">
        <f aca="false">IF(C167&lt;&gt;"Closed","",_xlfn.MAXIFS(Transactions!$A:$A,Transactions!$D:$D,$A167))</f>
        <v/>
      </c>
      <c r="V167" s="14" t="str">
        <f aca="false">IF(C167&lt;&gt;"Closed","",I167-J167)</f>
        <v/>
      </c>
      <c r="W167" s="8" t="str">
        <f aca="false">IF($A167="","",IFERROR(INDEX(Transactions!$O:$O,MATCH($A167,Transactions!$D:$D,0)),""))</f>
        <v/>
      </c>
    </row>
    <row r="168" customFormat="false" ht="15" hidden="false" customHeight="false" outlineLevel="0" collapsed="false">
      <c r="A168" s="21"/>
      <c r="B168" s="8" t="str">
        <f aca="false">IF($A168="","",IFERROR(INDEX(Transactions!$C:$C,MATCH($A168,Transactions!$D:$D,0)),""))</f>
        <v/>
      </c>
      <c r="C168" s="8" t="str">
        <f aca="false">IF($A168="","",IF(D168&gt;0,"Open","Closed"))</f>
        <v/>
      </c>
      <c r="D168" s="8" t="str">
        <f aca="false">IF($A168="","",-SUMIFS(Transactions!$E:$E,Transactions!$D:$D,$A168,Transactions!$B:$B,"Sell call")-SUMIFS(Transactions!$E:$E,Transactions!$D:$D,$A168,Transactions!$B:$B,"Buy to close")-SUMIFS(Transactions!$E:$E,Transactions!$D:$D,$A168,Transactions!$B:$B,"Expired")-SUMIFS(Transactions!$E:$E,Transactions!$D:$D,$A168,Transactions!$B:$B,"Assigned"))</f>
        <v/>
      </c>
      <c r="E168" s="27" t="str">
        <f aca="false">IF($A168="","",IFERROR(SUMIFS(Transactions!$F:$F,Transactions!$D:$D,$A168,Transactions!$B:$B,"Sell call")/COUNTIFS(Transactions!$D:$D,$A168,Transactions!$B:$B,"Sell call"),""))</f>
        <v/>
      </c>
      <c r="F168" s="10" t="str">
        <f aca="false">IF($A168="","",IFERROR(SUMIFS(Transactions!$G:$G,Transactions!$D:$D,$A168,Transactions!$B:$B,"Sell call")/COUNTIFS(Transactions!$D:$D,$A168,Transactions!$B:$B,"Sell call"),""))</f>
        <v/>
      </c>
      <c r="G168" s="8" t="str">
        <f aca="false">IF($A168="","",-SUMIFS(Transactions!$E:$E,Transactions!$D:$D,$A168,Transactions!$B:$B,"Sell call")*100+SUMIFS(Transactions!$E:$E,Transactions!$D:$D,$A168,Transactions!$B:$B,"Sell shares"))</f>
        <v/>
      </c>
      <c r="H168" s="14" t="str">
        <f aca="false">IF($A168="","",IF(SUMIFS(Transactions!$J:$J,Transactions!$D:$D,$A168,Transactions!$B:$B,"Buy shares")&lt;&gt;0,-SUMIFS(Transactions!$J:$J,Transactions!$D:$D,$A168,Transactions!$B:$B,"Buy shares"),IFERROR(INDEX(Lots!$E:$E,MATCH($W168,Lots!$A:$A,0))*-SUMIFS(Transactions!$E:$E,Transactions!$D:$D,$A168,Transactions!$B:$B,"Sell call")*100,0)))</f>
        <v/>
      </c>
      <c r="I168" s="14" t="str">
        <f aca="false">IF($A168="","",SUMIFS(Transactions!$J:$J,Transactions!$D:$D,$A168,Transactions!$B:$B,"Sell call"))</f>
        <v/>
      </c>
      <c r="J168" s="14" t="str">
        <f aca="false">IF($A168="","",-SUMIFS(Transactions!$J:$J,Transactions!$D:$D,$A168,Transactions!$B:$B,"Buy to close"))</f>
        <v/>
      </c>
      <c r="K168" s="23"/>
      <c r="L168" s="23"/>
      <c r="M168" s="23"/>
      <c r="N168" s="21"/>
      <c r="O168" s="28"/>
      <c r="P168" s="14" t="str">
        <f aca="false">IF(OR(C168&lt;&gt;"Open",L168=""),"",L168*100*D168)</f>
        <v/>
      </c>
      <c r="Q168" s="14" t="str">
        <f aca="false">IF(OR(C168&lt;&gt;"Open",P168=""),"",I168-J168-P168)</f>
        <v/>
      </c>
      <c r="R168" s="14" t="str">
        <f aca="false">IF(OR(C168&lt;&gt;"Open",K168=""),"",K168*G168)</f>
        <v/>
      </c>
      <c r="S168" s="14" t="str">
        <f aca="false">IF(OR(R168="",Q168=""),"",R168-H168+Q168)</f>
        <v/>
      </c>
      <c r="T168" s="13" t="str">
        <f aca="false">IF(OR(R168="",Q168="",N(H168)=0),"",(R168+Q168)/H168)</f>
        <v/>
      </c>
      <c r="U168" s="10" t="str">
        <f aca="false">IF(C168&lt;&gt;"Closed","",_xlfn.MAXIFS(Transactions!$A:$A,Transactions!$D:$D,$A168))</f>
        <v/>
      </c>
      <c r="V168" s="14" t="str">
        <f aca="false">IF(C168&lt;&gt;"Closed","",I168-J168)</f>
        <v/>
      </c>
      <c r="W168" s="8" t="str">
        <f aca="false">IF($A168="","",IFERROR(INDEX(Transactions!$O:$O,MATCH($A168,Transactions!$D:$D,0)),""))</f>
        <v/>
      </c>
    </row>
    <row r="169" customFormat="false" ht="15" hidden="false" customHeight="false" outlineLevel="0" collapsed="false">
      <c r="A169" s="21"/>
      <c r="B169" s="8" t="str">
        <f aca="false">IF($A169="","",IFERROR(INDEX(Transactions!$C:$C,MATCH($A169,Transactions!$D:$D,0)),""))</f>
        <v/>
      </c>
      <c r="C169" s="8" t="str">
        <f aca="false">IF($A169="","",IF(D169&gt;0,"Open","Closed"))</f>
        <v/>
      </c>
      <c r="D169" s="8" t="str">
        <f aca="false">IF($A169="","",-SUMIFS(Transactions!$E:$E,Transactions!$D:$D,$A169,Transactions!$B:$B,"Sell call")-SUMIFS(Transactions!$E:$E,Transactions!$D:$D,$A169,Transactions!$B:$B,"Buy to close")-SUMIFS(Transactions!$E:$E,Transactions!$D:$D,$A169,Transactions!$B:$B,"Expired")-SUMIFS(Transactions!$E:$E,Transactions!$D:$D,$A169,Transactions!$B:$B,"Assigned"))</f>
        <v/>
      </c>
      <c r="E169" s="27" t="str">
        <f aca="false">IF($A169="","",IFERROR(SUMIFS(Transactions!$F:$F,Transactions!$D:$D,$A169,Transactions!$B:$B,"Sell call")/COUNTIFS(Transactions!$D:$D,$A169,Transactions!$B:$B,"Sell call"),""))</f>
        <v/>
      </c>
      <c r="F169" s="10" t="str">
        <f aca="false">IF($A169="","",IFERROR(SUMIFS(Transactions!$G:$G,Transactions!$D:$D,$A169,Transactions!$B:$B,"Sell call")/COUNTIFS(Transactions!$D:$D,$A169,Transactions!$B:$B,"Sell call"),""))</f>
        <v/>
      </c>
      <c r="G169" s="8" t="str">
        <f aca="false">IF($A169="","",-SUMIFS(Transactions!$E:$E,Transactions!$D:$D,$A169,Transactions!$B:$B,"Sell call")*100+SUMIFS(Transactions!$E:$E,Transactions!$D:$D,$A169,Transactions!$B:$B,"Sell shares"))</f>
        <v/>
      </c>
      <c r="H169" s="14" t="str">
        <f aca="false">IF($A169="","",IF(SUMIFS(Transactions!$J:$J,Transactions!$D:$D,$A169,Transactions!$B:$B,"Buy shares")&lt;&gt;0,-SUMIFS(Transactions!$J:$J,Transactions!$D:$D,$A169,Transactions!$B:$B,"Buy shares"),IFERROR(INDEX(Lots!$E:$E,MATCH($W169,Lots!$A:$A,0))*-SUMIFS(Transactions!$E:$E,Transactions!$D:$D,$A169,Transactions!$B:$B,"Sell call")*100,0)))</f>
        <v/>
      </c>
      <c r="I169" s="14" t="str">
        <f aca="false">IF($A169="","",SUMIFS(Transactions!$J:$J,Transactions!$D:$D,$A169,Transactions!$B:$B,"Sell call"))</f>
        <v/>
      </c>
      <c r="J169" s="14" t="str">
        <f aca="false">IF($A169="","",-SUMIFS(Transactions!$J:$J,Transactions!$D:$D,$A169,Transactions!$B:$B,"Buy to close"))</f>
        <v/>
      </c>
      <c r="K169" s="23"/>
      <c r="L169" s="23"/>
      <c r="M169" s="23"/>
      <c r="N169" s="21"/>
      <c r="O169" s="28"/>
      <c r="P169" s="14" t="str">
        <f aca="false">IF(OR(C169&lt;&gt;"Open",L169=""),"",L169*100*D169)</f>
        <v/>
      </c>
      <c r="Q169" s="14" t="str">
        <f aca="false">IF(OR(C169&lt;&gt;"Open",P169=""),"",I169-J169-P169)</f>
        <v/>
      </c>
      <c r="R169" s="14" t="str">
        <f aca="false">IF(OR(C169&lt;&gt;"Open",K169=""),"",K169*G169)</f>
        <v/>
      </c>
      <c r="S169" s="14" t="str">
        <f aca="false">IF(OR(R169="",Q169=""),"",R169-H169+Q169)</f>
        <v/>
      </c>
      <c r="T169" s="13" t="str">
        <f aca="false">IF(OR(R169="",Q169="",N(H169)=0),"",(R169+Q169)/H169)</f>
        <v/>
      </c>
      <c r="U169" s="10" t="str">
        <f aca="false">IF(C169&lt;&gt;"Closed","",_xlfn.MAXIFS(Transactions!$A:$A,Transactions!$D:$D,$A169))</f>
        <v/>
      </c>
      <c r="V169" s="14" t="str">
        <f aca="false">IF(C169&lt;&gt;"Closed","",I169-J169)</f>
        <v/>
      </c>
      <c r="W169" s="8" t="str">
        <f aca="false">IF($A169="","",IFERROR(INDEX(Transactions!$O:$O,MATCH($A169,Transactions!$D:$D,0)),""))</f>
        <v/>
      </c>
    </row>
    <row r="170" customFormat="false" ht="15" hidden="false" customHeight="false" outlineLevel="0" collapsed="false">
      <c r="A170" s="21"/>
      <c r="B170" s="8" t="str">
        <f aca="false">IF($A170="","",IFERROR(INDEX(Transactions!$C:$C,MATCH($A170,Transactions!$D:$D,0)),""))</f>
        <v/>
      </c>
      <c r="C170" s="8" t="str">
        <f aca="false">IF($A170="","",IF(D170&gt;0,"Open","Closed"))</f>
        <v/>
      </c>
      <c r="D170" s="8" t="str">
        <f aca="false">IF($A170="","",-SUMIFS(Transactions!$E:$E,Transactions!$D:$D,$A170,Transactions!$B:$B,"Sell call")-SUMIFS(Transactions!$E:$E,Transactions!$D:$D,$A170,Transactions!$B:$B,"Buy to close")-SUMIFS(Transactions!$E:$E,Transactions!$D:$D,$A170,Transactions!$B:$B,"Expired")-SUMIFS(Transactions!$E:$E,Transactions!$D:$D,$A170,Transactions!$B:$B,"Assigned"))</f>
        <v/>
      </c>
      <c r="E170" s="27" t="str">
        <f aca="false">IF($A170="","",IFERROR(SUMIFS(Transactions!$F:$F,Transactions!$D:$D,$A170,Transactions!$B:$B,"Sell call")/COUNTIFS(Transactions!$D:$D,$A170,Transactions!$B:$B,"Sell call"),""))</f>
        <v/>
      </c>
      <c r="F170" s="10" t="str">
        <f aca="false">IF($A170="","",IFERROR(SUMIFS(Transactions!$G:$G,Transactions!$D:$D,$A170,Transactions!$B:$B,"Sell call")/COUNTIFS(Transactions!$D:$D,$A170,Transactions!$B:$B,"Sell call"),""))</f>
        <v/>
      </c>
      <c r="G170" s="8" t="str">
        <f aca="false">IF($A170="","",-SUMIFS(Transactions!$E:$E,Transactions!$D:$D,$A170,Transactions!$B:$B,"Sell call")*100+SUMIFS(Transactions!$E:$E,Transactions!$D:$D,$A170,Transactions!$B:$B,"Sell shares"))</f>
        <v/>
      </c>
      <c r="H170" s="14" t="str">
        <f aca="false">IF($A170="","",IF(SUMIFS(Transactions!$J:$J,Transactions!$D:$D,$A170,Transactions!$B:$B,"Buy shares")&lt;&gt;0,-SUMIFS(Transactions!$J:$J,Transactions!$D:$D,$A170,Transactions!$B:$B,"Buy shares"),IFERROR(INDEX(Lots!$E:$E,MATCH($W170,Lots!$A:$A,0))*-SUMIFS(Transactions!$E:$E,Transactions!$D:$D,$A170,Transactions!$B:$B,"Sell call")*100,0)))</f>
        <v/>
      </c>
      <c r="I170" s="14" t="str">
        <f aca="false">IF($A170="","",SUMIFS(Transactions!$J:$J,Transactions!$D:$D,$A170,Transactions!$B:$B,"Sell call"))</f>
        <v/>
      </c>
      <c r="J170" s="14" t="str">
        <f aca="false">IF($A170="","",-SUMIFS(Transactions!$J:$J,Transactions!$D:$D,$A170,Transactions!$B:$B,"Buy to close"))</f>
        <v/>
      </c>
      <c r="K170" s="23"/>
      <c r="L170" s="23"/>
      <c r="M170" s="23"/>
      <c r="N170" s="21"/>
      <c r="O170" s="28"/>
      <c r="P170" s="14" t="str">
        <f aca="false">IF(OR(C170&lt;&gt;"Open",L170=""),"",L170*100*D170)</f>
        <v/>
      </c>
      <c r="Q170" s="14" t="str">
        <f aca="false">IF(OR(C170&lt;&gt;"Open",P170=""),"",I170-J170-P170)</f>
        <v/>
      </c>
      <c r="R170" s="14" t="str">
        <f aca="false">IF(OR(C170&lt;&gt;"Open",K170=""),"",K170*G170)</f>
        <v/>
      </c>
      <c r="S170" s="14" t="str">
        <f aca="false">IF(OR(R170="",Q170=""),"",R170-H170+Q170)</f>
        <v/>
      </c>
      <c r="T170" s="13" t="str">
        <f aca="false">IF(OR(R170="",Q170="",N(H170)=0),"",(R170+Q170)/H170)</f>
        <v/>
      </c>
      <c r="U170" s="10" t="str">
        <f aca="false">IF(C170&lt;&gt;"Closed","",_xlfn.MAXIFS(Transactions!$A:$A,Transactions!$D:$D,$A170))</f>
        <v/>
      </c>
      <c r="V170" s="14" t="str">
        <f aca="false">IF(C170&lt;&gt;"Closed","",I170-J170)</f>
        <v/>
      </c>
      <c r="W170" s="8" t="str">
        <f aca="false">IF($A170="","",IFERROR(INDEX(Transactions!$O:$O,MATCH($A170,Transactions!$D:$D,0)),""))</f>
        <v/>
      </c>
    </row>
    <row r="171" customFormat="false" ht="15" hidden="false" customHeight="false" outlineLevel="0" collapsed="false">
      <c r="A171" s="21"/>
      <c r="B171" s="8" t="str">
        <f aca="false">IF($A171="","",IFERROR(INDEX(Transactions!$C:$C,MATCH($A171,Transactions!$D:$D,0)),""))</f>
        <v/>
      </c>
      <c r="C171" s="8" t="str">
        <f aca="false">IF($A171="","",IF(D171&gt;0,"Open","Closed"))</f>
        <v/>
      </c>
      <c r="D171" s="8" t="str">
        <f aca="false">IF($A171="","",-SUMIFS(Transactions!$E:$E,Transactions!$D:$D,$A171,Transactions!$B:$B,"Sell call")-SUMIFS(Transactions!$E:$E,Transactions!$D:$D,$A171,Transactions!$B:$B,"Buy to close")-SUMIFS(Transactions!$E:$E,Transactions!$D:$D,$A171,Transactions!$B:$B,"Expired")-SUMIFS(Transactions!$E:$E,Transactions!$D:$D,$A171,Transactions!$B:$B,"Assigned"))</f>
        <v/>
      </c>
      <c r="E171" s="27" t="str">
        <f aca="false">IF($A171="","",IFERROR(SUMIFS(Transactions!$F:$F,Transactions!$D:$D,$A171,Transactions!$B:$B,"Sell call")/COUNTIFS(Transactions!$D:$D,$A171,Transactions!$B:$B,"Sell call"),""))</f>
        <v/>
      </c>
      <c r="F171" s="10" t="str">
        <f aca="false">IF($A171="","",IFERROR(SUMIFS(Transactions!$G:$G,Transactions!$D:$D,$A171,Transactions!$B:$B,"Sell call")/COUNTIFS(Transactions!$D:$D,$A171,Transactions!$B:$B,"Sell call"),""))</f>
        <v/>
      </c>
      <c r="G171" s="8" t="str">
        <f aca="false">IF($A171="","",-SUMIFS(Transactions!$E:$E,Transactions!$D:$D,$A171,Transactions!$B:$B,"Sell call")*100+SUMIFS(Transactions!$E:$E,Transactions!$D:$D,$A171,Transactions!$B:$B,"Sell shares"))</f>
        <v/>
      </c>
      <c r="H171" s="14" t="str">
        <f aca="false">IF($A171="","",IF(SUMIFS(Transactions!$J:$J,Transactions!$D:$D,$A171,Transactions!$B:$B,"Buy shares")&lt;&gt;0,-SUMIFS(Transactions!$J:$J,Transactions!$D:$D,$A171,Transactions!$B:$B,"Buy shares"),IFERROR(INDEX(Lots!$E:$E,MATCH($W171,Lots!$A:$A,0))*-SUMIFS(Transactions!$E:$E,Transactions!$D:$D,$A171,Transactions!$B:$B,"Sell call")*100,0)))</f>
        <v/>
      </c>
      <c r="I171" s="14" t="str">
        <f aca="false">IF($A171="","",SUMIFS(Transactions!$J:$J,Transactions!$D:$D,$A171,Transactions!$B:$B,"Sell call"))</f>
        <v/>
      </c>
      <c r="J171" s="14" t="str">
        <f aca="false">IF($A171="","",-SUMIFS(Transactions!$J:$J,Transactions!$D:$D,$A171,Transactions!$B:$B,"Buy to close"))</f>
        <v/>
      </c>
      <c r="K171" s="23"/>
      <c r="L171" s="23"/>
      <c r="M171" s="23"/>
      <c r="N171" s="21"/>
      <c r="O171" s="28"/>
      <c r="P171" s="14" t="str">
        <f aca="false">IF(OR(C171&lt;&gt;"Open",L171=""),"",L171*100*D171)</f>
        <v/>
      </c>
      <c r="Q171" s="14" t="str">
        <f aca="false">IF(OR(C171&lt;&gt;"Open",P171=""),"",I171-J171-P171)</f>
        <v/>
      </c>
      <c r="R171" s="14" t="str">
        <f aca="false">IF(OR(C171&lt;&gt;"Open",K171=""),"",K171*G171)</f>
        <v/>
      </c>
      <c r="S171" s="14" t="str">
        <f aca="false">IF(OR(R171="",Q171=""),"",R171-H171+Q171)</f>
        <v/>
      </c>
      <c r="T171" s="13" t="str">
        <f aca="false">IF(OR(R171="",Q171="",N(H171)=0),"",(R171+Q171)/H171)</f>
        <v/>
      </c>
      <c r="U171" s="10" t="str">
        <f aca="false">IF(C171&lt;&gt;"Closed","",_xlfn.MAXIFS(Transactions!$A:$A,Transactions!$D:$D,$A171))</f>
        <v/>
      </c>
      <c r="V171" s="14" t="str">
        <f aca="false">IF(C171&lt;&gt;"Closed","",I171-J171)</f>
        <v/>
      </c>
      <c r="W171" s="8" t="str">
        <f aca="false">IF($A171="","",IFERROR(INDEX(Transactions!$O:$O,MATCH($A171,Transactions!$D:$D,0)),""))</f>
        <v/>
      </c>
    </row>
    <row r="172" customFormat="false" ht="15" hidden="false" customHeight="false" outlineLevel="0" collapsed="false">
      <c r="A172" s="21"/>
      <c r="B172" s="8" t="str">
        <f aca="false">IF($A172="","",IFERROR(INDEX(Transactions!$C:$C,MATCH($A172,Transactions!$D:$D,0)),""))</f>
        <v/>
      </c>
      <c r="C172" s="8" t="str">
        <f aca="false">IF($A172="","",IF(D172&gt;0,"Open","Closed"))</f>
        <v/>
      </c>
      <c r="D172" s="8" t="str">
        <f aca="false">IF($A172="","",-SUMIFS(Transactions!$E:$E,Transactions!$D:$D,$A172,Transactions!$B:$B,"Sell call")-SUMIFS(Transactions!$E:$E,Transactions!$D:$D,$A172,Transactions!$B:$B,"Buy to close")-SUMIFS(Transactions!$E:$E,Transactions!$D:$D,$A172,Transactions!$B:$B,"Expired")-SUMIFS(Transactions!$E:$E,Transactions!$D:$D,$A172,Transactions!$B:$B,"Assigned"))</f>
        <v/>
      </c>
      <c r="E172" s="27" t="str">
        <f aca="false">IF($A172="","",IFERROR(SUMIFS(Transactions!$F:$F,Transactions!$D:$D,$A172,Transactions!$B:$B,"Sell call")/COUNTIFS(Transactions!$D:$D,$A172,Transactions!$B:$B,"Sell call"),""))</f>
        <v/>
      </c>
      <c r="F172" s="10" t="str">
        <f aca="false">IF($A172="","",IFERROR(SUMIFS(Transactions!$G:$G,Transactions!$D:$D,$A172,Transactions!$B:$B,"Sell call")/COUNTIFS(Transactions!$D:$D,$A172,Transactions!$B:$B,"Sell call"),""))</f>
        <v/>
      </c>
      <c r="G172" s="8" t="str">
        <f aca="false">IF($A172="","",-SUMIFS(Transactions!$E:$E,Transactions!$D:$D,$A172,Transactions!$B:$B,"Sell call")*100+SUMIFS(Transactions!$E:$E,Transactions!$D:$D,$A172,Transactions!$B:$B,"Sell shares"))</f>
        <v/>
      </c>
      <c r="H172" s="14" t="str">
        <f aca="false">IF($A172="","",IF(SUMIFS(Transactions!$J:$J,Transactions!$D:$D,$A172,Transactions!$B:$B,"Buy shares")&lt;&gt;0,-SUMIFS(Transactions!$J:$J,Transactions!$D:$D,$A172,Transactions!$B:$B,"Buy shares"),IFERROR(INDEX(Lots!$E:$E,MATCH($W172,Lots!$A:$A,0))*-SUMIFS(Transactions!$E:$E,Transactions!$D:$D,$A172,Transactions!$B:$B,"Sell call")*100,0)))</f>
        <v/>
      </c>
      <c r="I172" s="14" t="str">
        <f aca="false">IF($A172="","",SUMIFS(Transactions!$J:$J,Transactions!$D:$D,$A172,Transactions!$B:$B,"Sell call"))</f>
        <v/>
      </c>
      <c r="J172" s="14" t="str">
        <f aca="false">IF($A172="","",-SUMIFS(Transactions!$J:$J,Transactions!$D:$D,$A172,Transactions!$B:$B,"Buy to close"))</f>
        <v/>
      </c>
      <c r="K172" s="23"/>
      <c r="L172" s="23"/>
      <c r="M172" s="23"/>
      <c r="N172" s="21"/>
      <c r="O172" s="28"/>
      <c r="P172" s="14" t="str">
        <f aca="false">IF(OR(C172&lt;&gt;"Open",L172=""),"",L172*100*D172)</f>
        <v/>
      </c>
      <c r="Q172" s="14" t="str">
        <f aca="false">IF(OR(C172&lt;&gt;"Open",P172=""),"",I172-J172-P172)</f>
        <v/>
      </c>
      <c r="R172" s="14" t="str">
        <f aca="false">IF(OR(C172&lt;&gt;"Open",K172=""),"",K172*G172)</f>
        <v/>
      </c>
      <c r="S172" s="14" t="str">
        <f aca="false">IF(OR(R172="",Q172=""),"",R172-H172+Q172)</f>
        <v/>
      </c>
      <c r="T172" s="13" t="str">
        <f aca="false">IF(OR(R172="",Q172="",N(H172)=0),"",(R172+Q172)/H172)</f>
        <v/>
      </c>
      <c r="U172" s="10" t="str">
        <f aca="false">IF(C172&lt;&gt;"Closed","",_xlfn.MAXIFS(Transactions!$A:$A,Transactions!$D:$D,$A172))</f>
        <v/>
      </c>
      <c r="V172" s="14" t="str">
        <f aca="false">IF(C172&lt;&gt;"Closed","",I172-J172)</f>
        <v/>
      </c>
      <c r="W172" s="8" t="str">
        <f aca="false">IF($A172="","",IFERROR(INDEX(Transactions!$O:$O,MATCH($A172,Transactions!$D:$D,0)),""))</f>
        <v/>
      </c>
    </row>
    <row r="173" customFormat="false" ht="15" hidden="false" customHeight="false" outlineLevel="0" collapsed="false">
      <c r="A173" s="21"/>
      <c r="B173" s="8" t="str">
        <f aca="false">IF($A173="","",IFERROR(INDEX(Transactions!$C:$C,MATCH($A173,Transactions!$D:$D,0)),""))</f>
        <v/>
      </c>
      <c r="C173" s="8" t="str">
        <f aca="false">IF($A173="","",IF(D173&gt;0,"Open","Closed"))</f>
        <v/>
      </c>
      <c r="D173" s="8" t="str">
        <f aca="false">IF($A173="","",-SUMIFS(Transactions!$E:$E,Transactions!$D:$D,$A173,Transactions!$B:$B,"Sell call")-SUMIFS(Transactions!$E:$E,Transactions!$D:$D,$A173,Transactions!$B:$B,"Buy to close")-SUMIFS(Transactions!$E:$E,Transactions!$D:$D,$A173,Transactions!$B:$B,"Expired")-SUMIFS(Transactions!$E:$E,Transactions!$D:$D,$A173,Transactions!$B:$B,"Assigned"))</f>
        <v/>
      </c>
      <c r="E173" s="27" t="str">
        <f aca="false">IF($A173="","",IFERROR(SUMIFS(Transactions!$F:$F,Transactions!$D:$D,$A173,Transactions!$B:$B,"Sell call")/COUNTIFS(Transactions!$D:$D,$A173,Transactions!$B:$B,"Sell call"),""))</f>
        <v/>
      </c>
      <c r="F173" s="10" t="str">
        <f aca="false">IF($A173="","",IFERROR(SUMIFS(Transactions!$G:$G,Transactions!$D:$D,$A173,Transactions!$B:$B,"Sell call")/COUNTIFS(Transactions!$D:$D,$A173,Transactions!$B:$B,"Sell call"),""))</f>
        <v/>
      </c>
      <c r="G173" s="8" t="str">
        <f aca="false">IF($A173="","",-SUMIFS(Transactions!$E:$E,Transactions!$D:$D,$A173,Transactions!$B:$B,"Sell call")*100+SUMIFS(Transactions!$E:$E,Transactions!$D:$D,$A173,Transactions!$B:$B,"Sell shares"))</f>
        <v/>
      </c>
      <c r="H173" s="14" t="str">
        <f aca="false">IF($A173="","",IF(SUMIFS(Transactions!$J:$J,Transactions!$D:$D,$A173,Transactions!$B:$B,"Buy shares")&lt;&gt;0,-SUMIFS(Transactions!$J:$J,Transactions!$D:$D,$A173,Transactions!$B:$B,"Buy shares"),IFERROR(INDEX(Lots!$E:$E,MATCH($W173,Lots!$A:$A,0))*-SUMIFS(Transactions!$E:$E,Transactions!$D:$D,$A173,Transactions!$B:$B,"Sell call")*100,0)))</f>
        <v/>
      </c>
      <c r="I173" s="14" t="str">
        <f aca="false">IF($A173="","",SUMIFS(Transactions!$J:$J,Transactions!$D:$D,$A173,Transactions!$B:$B,"Sell call"))</f>
        <v/>
      </c>
      <c r="J173" s="14" t="str">
        <f aca="false">IF($A173="","",-SUMIFS(Transactions!$J:$J,Transactions!$D:$D,$A173,Transactions!$B:$B,"Buy to close"))</f>
        <v/>
      </c>
      <c r="K173" s="23"/>
      <c r="L173" s="23"/>
      <c r="M173" s="23"/>
      <c r="N173" s="21"/>
      <c r="O173" s="28"/>
      <c r="P173" s="14" t="str">
        <f aca="false">IF(OR(C173&lt;&gt;"Open",L173=""),"",L173*100*D173)</f>
        <v/>
      </c>
      <c r="Q173" s="14" t="str">
        <f aca="false">IF(OR(C173&lt;&gt;"Open",P173=""),"",I173-J173-P173)</f>
        <v/>
      </c>
      <c r="R173" s="14" t="str">
        <f aca="false">IF(OR(C173&lt;&gt;"Open",K173=""),"",K173*G173)</f>
        <v/>
      </c>
      <c r="S173" s="14" t="str">
        <f aca="false">IF(OR(R173="",Q173=""),"",R173-H173+Q173)</f>
        <v/>
      </c>
      <c r="T173" s="13" t="str">
        <f aca="false">IF(OR(R173="",Q173="",N(H173)=0),"",(R173+Q173)/H173)</f>
        <v/>
      </c>
      <c r="U173" s="10" t="str">
        <f aca="false">IF(C173&lt;&gt;"Closed","",_xlfn.MAXIFS(Transactions!$A:$A,Transactions!$D:$D,$A173))</f>
        <v/>
      </c>
      <c r="V173" s="14" t="str">
        <f aca="false">IF(C173&lt;&gt;"Closed","",I173-J173)</f>
        <v/>
      </c>
      <c r="W173" s="8" t="str">
        <f aca="false">IF($A173="","",IFERROR(INDEX(Transactions!$O:$O,MATCH($A173,Transactions!$D:$D,0)),""))</f>
        <v/>
      </c>
    </row>
    <row r="174" customFormat="false" ht="15" hidden="false" customHeight="false" outlineLevel="0" collapsed="false">
      <c r="A174" s="21"/>
      <c r="B174" s="8" t="str">
        <f aca="false">IF($A174="","",IFERROR(INDEX(Transactions!$C:$C,MATCH($A174,Transactions!$D:$D,0)),""))</f>
        <v/>
      </c>
      <c r="C174" s="8" t="str">
        <f aca="false">IF($A174="","",IF(D174&gt;0,"Open","Closed"))</f>
        <v/>
      </c>
      <c r="D174" s="8" t="str">
        <f aca="false">IF($A174="","",-SUMIFS(Transactions!$E:$E,Transactions!$D:$D,$A174,Transactions!$B:$B,"Sell call")-SUMIFS(Transactions!$E:$E,Transactions!$D:$D,$A174,Transactions!$B:$B,"Buy to close")-SUMIFS(Transactions!$E:$E,Transactions!$D:$D,$A174,Transactions!$B:$B,"Expired")-SUMIFS(Transactions!$E:$E,Transactions!$D:$D,$A174,Transactions!$B:$B,"Assigned"))</f>
        <v/>
      </c>
      <c r="E174" s="27" t="str">
        <f aca="false">IF($A174="","",IFERROR(SUMIFS(Transactions!$F:$F,Transactions!$D:$D,$A174,Transactions!$B:$B,"Sell call")/COUNTIFS(Transactions!$D:$D,$A174,Transactions!$B:$B,"Sell call"),""))</f>
        <v/>
      </c>
      <c r="F174" s="10" t="str">
        <f aca="false">IF($A174="","",IFERROR(SUMIFS(Transactions!$G:$G,Transactions!$D:$D,$A174,Transactions!$B:$B,"Sell call")/COUNTIFS(Transactions!$D:$D,$A174,Transactions!$B:$B,"Sell call"),""))</f>
        <v/>
      </c>
      <c r="G174" s="8" t="str">
        <f aca="false">IF($A174="","",-SUMIFS(Transactions!$E:$E,Transactions!$D:$D,$A174,Transactions!$B:$B,"Sell call")*100+SUMIFS(Transactions!$E:$E,Transactions!$D:$D,$A174,Transactions!$B:$B,"Sell shares"))</f>
        <v/>
      </c>
      <c r="H174" s="14" t="str">
        <f aca="false">IF($A174="","",IF(SUMIFS(Transactions!$J:$J,Transactions!$D:$D,$A174,Transactions!$B:$B,"Buy shares")&lt;&gt;0,-SUMIFS(Transactions!$J:$J,Transactions!$D:$D,$A174,Transactions!$B:$B,"Buy shares"),IFERROR(INDEX(Lots!$E:$E,MATCH($W174,Lots!$A:$A,0))*-SUMIFS(Transactions!$E:$E,Transactions!$D:$D,$A174,Transactions!$B:$B,"Sell call")*100,0)))</f>
        <v/>
      </c>
      <c r="I174" s="14" t="str">
        <f aca="false">IF($A174="","",SUMIFS(Transactions!$J:$J,Transactions!$D:$D,$A174,Transactions!$B:$B,"Sell call"))</f>
        <v/>
      </c>
      <c r="J174" s="14" t="str">
        <f aca="false">IF($A174="","",-SUMIFS(Transactions!$J:$J,Transactions!$D:$D,$A174,Transactions!$B:$B,"Buy to close"))</f>
        <v/>
      </c>
      <c r="K174" s="23"/>
      <c r="L174" s="23"/>
      <c r="M174" s="23"/>
      <c r="N174" s="21"/>
      <c r="O174" s="28"/>
      <c r="P174" s="14" t="str">
        <f aca="false">IF(OR(C174&lt;&gt;"Open",L174=""),"",L174*100*D174)</f>
        <v/>
      </c>
      <c r="Q174" s="14" t="str">
        <f aca="false">IF(OR(C174&lt;&gt;"Open",P174=""),"",I174-J174-P174)</f>
        <v/>
      </c>
      <c r="R174" s="14" t="str">
        <f aca="false">IF(OR(C174&lt;&gt;"Open",K174=""),"",K174*G174)</f>
        <v/>
      </c>
      <c r="S174" s="14" t="str">
        <f aca="false">IF(OR(R174="",Q174=""),"",R174-H174+Q174)</f>
        <v/>
      </c>
      <c r="T174" s="13" t="str">
        <f aca="false">IF(OR(R174="",Q174="",N(H174)=0),"",(R174+Q174)/H174)</f>
        <v/>
      </c>
      <c r="U174" s="10" t="str">
        <f aca="false">IF(C174&lt;&gt;"Closed","",_xlfn.MAXIFS(Transactions!$A:$A,Transactions!$D:$D,$A174))</f>
        <v/>
      </c>
      <c r="V174" s="14" t="str">
        <f aca="false">IF(C174&lt;&gt;"Closed","",I174-J174)</f>
        <v/>
      </c>
      <c r="W174" s="8" t="str">
        <f aca="false">IF($A174="","",IFERROR(INDEX(Transactions!$O:$O,MATCH($A174,Transactions!$D:$D,0)),""))</f>
        <v/>
      </c>
    </row>
    <row r="175" customFormat="false" ht="15" hidden="false" customHeight="false" outlineLevel="0" collapsed="false">
      <c r="A175" s="21"/>
      <c r="B175" s="8" t="str">
        <f aca="false">IF($A175="","",IFERROR(INDEX(Transactions!$C:$C,MATCH($A175,Transactions!$D:$D,0)),""))</f>
        <v/>
      </c>
      <c r="C175" s="8" t="str">
        <f aca="false">IF($A175="","",IF(D175&gt;0,"Open","Closed"))</f>
        <v/>
      </c>
      <c r="D175" s="8" t="str">
        <f aca="false">IF($A175="","",-SUMIFS(Transactions!$E:$E,Transactions!$D:$D,$A175,Transactions!$B:$B,"Sell call")-SUMIFS(Transactions!$E:$E,Transactions!$D:$D,$A175,Transactions!$B:$B,"Buy to close")-SUMIFS(Transactions!$E:$E,Transactions!$D:$D,$A175,Transactions!$B:$B,"Expired")-SUMIFS(Transactions!$E:$E,Transactions!$D:$D,$A175,Transactions!$B:$B,"Assigned"))</f>
        <v/>
      </c>
      <c r="E175" s="27" t="str">
        <f aca="false">IF($A175="","",IFERROR(SUMIFS(Transactions!$F:$F,Transactions!$D:$D,$A175,Transactions!$B:$B,"Sell call")/COUNTIFS(Transactions!$D:$D,$A175,Transactions!$B:$B,"Sell call"),""))</f>
        <v/>
      </c>
      <c r="F175" s="10" t="str">
        <f aca="false">IF($A175="","",IFERROR(SUMIFS(Transactions!$G:$G,Transactions!$D:$D,$A175,Transactions!$B:$B,"Sell call")/COUNTIFS(Transactions!$D:$D,$A175,Transactions!$B:$B,"Sell call"),""))</f>
        <v/>
      </c>
      <c r="G175" s="8" t="str">
        <f aca="false">IF($A175="","",-SUMIFS(Transactions!$E:$E,Transactions!$D:$D,$A175,Transactions!$B:$B,"Sell call")*100+SUMIFS(Transactions!$E:$E,Transactions!$D:$D,$A175,Transactions!$B:$B,"Sell shares"))</f>
        <v/>
      </c>
      <c r="H175" s="14" t="str">
        <f aca="false">IF($A175="","",IF(SUMIFS(Transactions!$J:$J,Transactions!$D:$D,$A175,Transactions!$B:$B,"Buy shares")&lt;&gt;0,-SUMIFS(Transactions!$J:$J,Transactions!$D:$D,$A175,Transactions!$B:$B,"Buy shares"),IFERROR(INDEX(Lots!$E:$E,MATCH($W175,Lots!$A:$A,0))*-SUMIFS(Transactions!$E:$E,Transactions!$D:$D,$A175,Transactions!$B:$B,"Sell call")*100,0)))</f>
        <v/>
      </c>
      <c r="I175" s="14" t="str">
        <f aca="false">IF($A175="","",SUMIFS(Transactions!$J:$J,Transactions!$D:$D,$A175,Transactions!$B:$B,"Sell call"))</f>
        <v/>
      </c>
      <c r="J175" s="14" t="str">
        <f aca="false">IF($A175="","",-SUMIFS(Transactions!$J:$J,Transactions!$D:$D,$A175,Transactions!$B:$B,"Buy to close"))</f>
        <v/>
      </c>
      <c r="K175" s="23"/>
      <c r="L175" s="23"/>
      <c r="M175" s="23"/>
      <c r="N175" s="21"/>
      <c r="O175" s="28"/>
      <c r="P175" s="14" t="str">
        <f aca="false">IF(OR(C175&lt;&gt;"Open",L175=""),"",L175*100*D175)</f>
        <v/>
      </c>
      <c r="Q175" s="14" t="str">
        <f aca="false">IF(OR(C175&lt;&gt;"Open",P175=""),"",I175-J175-P175)</f>
        <v/>
      </c>
      <c r="R175" s="14" t="str">
        <f aca="false">IF(OR(C175&lt;&gt;"Open",K175=""),"",K175*G175)</f>
        <v/>
      </c>
      <c r="S175" s="14" t="str">
        <f aca="false">IF(OR(R175="",Q175=""),"",R175-H175+Q175)</f>
        <v/>
      </c>
      <c r="T175" s="13" t="str">
        <f aca="false">IF(OR(R175="",Q175="",N(H175)=0),"",(R175+Q175)/H175)</f>
        <v/>
      </c>
      <c r="U175" s="10" t="str">
        <f aca="false">IF(C175&lt;&gt;"Closed","",_xlfn.MAXIFS(Transactions!$A:$A,Transactions!$D:$D,$A175))</f>
        <v/>
      </c>
      <c r="V175" s="14" t="str">
        <f aca="false">IF(C175&lt;&gt;"Closed","",I175-J175)</f>
        <v/>
      </c>
      <c r="W175" s="8" t="str">
        <f aca="false">IF($A175="","",IFERROR(INDEX(Transactions!$O:$O,MATCH($A175,Transactions!$D:$D,0)),""))</f>
        <v/>
      </c>
    </row>
    <row r="176" customFormat="false" ht="15" hidden="false" customHeight="false" outlineLevel="0" collapsed="false">
      <c r="A176" s="21"/>
      <c r="B176" s="8" t="str">
        <f aca="false">IF($A176="","",IFERROR(INDEX(Transactions!$C:$C,MATCH($A176,Transactions!$D:$D,0)),""))</f>
        <v/>
      </c>
      <c r="C176" s="8" t="str">
        <f aca="false">IF($A176="","",IF(D176&gt;0,"Open","Closed"))</f>
        <v/>
      </c>
      <c r="D176" s="8" t="str">
        <f aca="false">IF($A176="","",-SUMIFS(Transactions!$E:$E,Transactions!$D:$D,$A176,Transactions!$B:$B,"Sell call")-SUMIFS(Transactions!$E:$E,Transactions!$D:$D,$A176,Transactions!$B:$B,"Buy to close")-SUMIFS(Transactions!$E:$E,Transactions!$D:$D,$A176,Transactions!$B:$B,"Expired")-SUMIFS(Transactions!$E:$E,Transactions!$D:$D,$A176,Transactions!$B:$B,"Assigned"))</f>
        <v/>
      </c>
      <c r="E176" s="27" t="str">
        <f aca="false">IF($A176="","",IFERROR(SUMIFS(Transactions!$F:$F,Transactions!$D:$D,$A176,Transactions!$B:$B,"Sell call")/COUNTIFS(Transactions!$D:$D,$A176,Transactions!$B:$B,"Sell call"),""))</f>
        <v/>
      </c>
      <c r="F176" s="10" t="str">
        <f aca="false">IF($A176="","",IFERROR(SUMIFS(Transactions!$G:$G,Transactions!$D:$D,$A176,Transactions!$B:$B,"Sell call")/COUNTIFS(Transactions!$D:$D,$A176,Transactions!$B:$B,"Sell call"),""))</f>
        <v/>
      </c>
      <c r="G176" s="8" t="str">
        <f aca="false">IF($A176="","",-SUMIFS(Transactions!$E:$E,Transactions!$D:$D,$A176,Transactions!$B:$B,"Sell call")*100+SUMIFS(Transactions!$E:$E,Transactions!$D:$D,$A176,Transactions!$B:$B,"Sell shares"))</f>
        <v/>
      </c>
      <c r="H176" s="14" t="str">
        <f aca="false">IF($A176="","",IF(SUMIFS(Transactions!$J:$J,Transactions!$D:$D,$A176,Transactions!$B:$B,"Buy shares")&lt;&gt;0,-SUMIFS(Transactions!$J:$J,Transactions!$D:$D,$A176,Transactions!$B:$B,"Buy shares"),IFERROR(INDEX(Lots!$E:$E,MATCH($W176,Lots!$A:$A,0))*-SUMIFS(Transactions!$E:$E,Transactions!$D:$D,$A176,Transactions!$B:$B,"Sell call")*100,0)))</f>
        <v/>
      </c>
      <c r="I176" s="14" t="str">
        <f aca="false">IF($A176="","",SUMIFS(Transactions!$J:$J,Transactions!$D:$D,$A176,Transactions!$B:$B,"Sell call"))</f>
        <v/>
      </c>
      <c r="J176" s="14" t="str">
        <f aca="false">IF($A176="","",-SUMIFS(Transactions!$J:$J,Transactions!$D:$D,$A176,Transactions!$B:$B,"Buy to close"))</f>
        <v/>
      </c>
      <c r="K176" s="23"/>
      <c r="L176" s="23"/>
      <c r="M176" s="23"/>
      <c r="N176" s="21"/>
      <c r="O176" s="28"/>
      <c r="P176" s="14" t="str">
        <f aca="false">IF(OR(C176&lt;&gt;"Open",L176=""),"",L176*100*D176)</f>
        <v/>
      </c>
      <c r="Q176" s="14" t="str">
        <f aca="false">IF(OR(C176&lt;&gt;"Open",P176=""),"",I176-J176-P176)</f>
        <v/>
      </c>
      <c r="R176" s="14" t="str">
        <f aca="false">IF(OR(C176&lt;&gt;"Open",K176=""),"",K176*G176)</f>
        <v/>
      </c>
      <c r="S176" s="14" t="str">
        <f aca="false">IF(OR(R176="",Q176=""),"",R176-H176+Q176)</f>
        <v/>
      </c>
      <c r="T176" s="13" t="str">
        <f aca="false">IF(OR(R176="",Q176="",N(H176)=0),"",(R176+Q176)/H176)</f>
        <v/>
      </c>
      <c r="U176" s="10" t="str">
        <f aca="false">IF(C176&lt;&gt;"Closed","",_xlfn.MAXIFS(Transactions!$A:$A,Transactions!$D:$D,$A176))</f>
        <v/>
      </c>
      <c r="V176" s="14" t="str">
        <f aca="false">IF(C176&lt;&gt;"Closed","",I176-J176)</f>
        <v/>
      </c>
      <c r="W176" s="8" t="str">
        <f aca="false">IF($A176="","",IFERROR(INDEX(Transactions!$O:$O,MATCH($A176,Transactions!$D:$D,0)),""))</f>
        <v/>
      </c>
    </row>
    <row r="177" customFormat="false" ht="15" hidden="false" customHeight="false" outlineLevel="0" collapsed="false">
      <c r="A177" s="21"/>
      <c r="B177" s="8" t="str">
        <f aca="false">IF($A177="","",IFERROR(INDEX(Transactions!$C:$C,MATCH($A177,Transactions!$D:$D,0)),""))</f>
        <v/>
      </c>
      <c r="C177" s="8" t="str">
        <f aca="false">IF($A177="","",IF(D177&gt;0,"Open","Closed"))</f>
        <v/>
      </c>
      <c r="D177" s="8" t="str">
        <f aca="false">IF($A177="","",-SUMIFS(Transactions!$E:$E,Transactions!$D:$D,$A177,Transactions!$B:$B,"Sell call")-SUMIFS(Transactions!$E:$E,Transactions!$D:$D,$A177,Transactions!$B:$B,"Buy to close")-SUMIFS(Transactions!$E:$E,Transactions!$D:$D,$A177,Transactions!$B:$B,"Expired")-SUMIFS(Transactions!$E:$E,Transactions!$D:$D,$A177,Transactions!$B:$B,"Assigned"))</f>
        <v/>
      </c>
      <c r="E177" s="27" t="str">
        <f aca="false">IF($A177="","",IFERROR(SUMIFS(Transactions!$F:$F,Transactions!$D:$D,$A177,Transactions!$B:$B,"Sell call")/COUNTIFS(Transactions!$D:$D,$A177,Transactions!$B:$B,"Sell call"),""))</f>
        <v/>
      </c>
      <c r="F177" s="10" t="str">
        <f aca="false">IF($A177="","",IFERROR(SUMIFS(Transactions!$G:$G,Transactions!$D:$D,$A177,Transactions!$B:$B,"Sell call")/COUNTIFS(Transactions!$D:$D,$A177,Transactions!$B:$B,"Sell call"),""))</f>
        <v/>
      </c>
      <c r="G177" s="8" t="str">
        <f aca="false">IF($A177="","",-SUMIFS(Transactions!$E:$E,Transactions!$D:$D,$A177,Transactions!$B:$B,"Sell call")*100+SUMIFS(Transactions!$E:$E,Transactions!$D:$D,$A177,Transactions!$B:$B,"Sell shares"))</f>
        <v/>
      </c>
      <c r="H177" s="14" t="str">
        <f aca="false">IF($A177="","",IF(SUMIFS(Transactions!$J:$J,Transactions!$D:$D,$A177,Transactions!$B:$B,"Buy shares")&lt;&gt;0,-SUMIFS(Transactions!$J:$J,Transactions!$D:$D,$A177,Transactions!$B:$B,"Buy shares"),IFERROR(INDEX(Lots!$E:$E,MATCH($W177,Lots!$A:$A,0))*-SUMIFS(Transactions!$E:$E,Transactions!$D:$D,$A177,Transactions!$B:$B,"Sell call")*100,0)))</f>
        <v/>
      </c>
      <c r="I177" s="14" t="str">
        <f aca="false">IF($A177="","",SUMIFS(Transactions!$J:$J,Transactions!$D:$D,$A177,Transactions!$B:$B,"Sell call"))</f>
        <v/>
      </c>
      <c r="J177" s="14" t="str">
        <f aca="false">IF($A177="","",-SUMIFS(Transactions!$J:$J,Transactions!$D:$D,$A177,Transactions!$B:$B,"Buy to close"))</f>
        <v/>
      </c>
      <c r="K177" s="23"/>
      <c r="L177" s="23"/>
      <c r="M177" s="23"/>
      <c r="N177" s="21"/>
      <c r="O177" s="28"/>
      <c r="P177" s="14" t="str">
        <f aca="false">IF(OR(C177&lt;&gt;"Open",L177=""),"",L177*100*D177)</f>
        <v/>
      </c>
      <c r="Q177" s="14" t="str">
        <f aca="false">IF(OR(C177&lt;&gt;"Open",P177=""),"",I177-J177-P177)</f>
        <v/>
      </c>
      <c r="R177" s="14" t="str">
        <f aca="false">IF(OR(C177&lt;&gt;"Open",K177=""),"",K177*G177)</f>
        <v/>
      </c>
      <c r="S177" s="14" t="str">
        <f aca="false">IF(OR(R177="",Q177=""),"",R177-H177+Q177)</f>
        <v/>
      </c>
      <c r="T177" s="13" t="str">
        <f aca="false">IF(OR(R177="",Q177="",N(H177)=0),"",(R177+Q177)/H177)</f>
        <v/>
      </c>
      <c r="U177" s="10" t="str">
        <f aca="false">IF(C177&lt;&gt;"Closed","",_xlfn.MAXIFS(Transactions!$A:$A,Transactions!$D:$D,$A177))</f>
        <v/>
      </c>
      <c r="V177" s="14" t="str">
        <f aca="false">IF(C177&lt;&gt;"Closed","",I177-J177)</f>
        <v/>
      </c>
      <c r="W177" s="8" t="str">
        <f aca="false">IF($A177="","",IFERROR(INDEX(Transactions!$O:$O,MATCH($A177,Transactions!$D:$D,0)),""))</f>
        <v/>
      </c>
    </row>
    <row r="178" customFormat="false" ht="15" hidden="false" customHeight="false" outlineLevel="0" collapsed="false">
      <c r="A178" s="21"/>
      <c r="B178" s="8" t="str">
        <f aca="false">IF($A178="","",IFERROR(INDEX(Transactions!$C:$C,MATCH($A178,Transactions!$D:$D,0)),""))</f>
        <v/>
      </c>
      <c r="C178" s="8" t="str">
        <f aca="false">IF($A178="","",IF(D178&gt;0,"Open","Closed"))</f>
        <v/>
      </c>
      <c r="D178" s="8" t="str">
        <f aca="false">IF($A178="","",-SUMIFS(Transactions!$E:$E,Transactions!$D:$D,$A178,Transactions!$B:$B,"Sell call")-SUMIFS(Transactions!$E:$E,Transactions!$D:$D,$A178,Transactions!$B:$B,"Buy to close")-SUMIFS(Transactions!$E:$E,Transactions!$D:$D,$A178,Transactions!$B:$B,"Expired")-SUMIFS(Transactions!$E:$E,Transactions!$D:$D,$A178,Transactions!$B:$B,"Assigned"))</f>
        <v/>
      </c>
      <c r="E178" s="27" t="str">
        <f aca="false">IF($A178="","",IFERROR(SUMIFS(Transactions!$F:$F,Transactions!$D:$D,$A178,Transactions!$B:$B,"Sell call")/COUNTIFS(Transactions!$D:$D,$A178,Transactions!$B:$B,"Sell call"),""))</f>
        <v/>
      </c>
      <c r="F178" s="10" t="str">
        <f aca="false">IF($A178="","",IFERROR(SUMIFS(Transactions!$G:$G,Transactions!$D:$D,$A178,Transactions!$B:$B,"Sell call")/COUNTIFS(Transactions!$D:$D,$A178,Transactions!$B:$B,"Sell call"),""))</f>
        <v/>
      </c>
      <c r="G178" s="8" t="str">
        <f aca="false">IF($A178="","",-SUMIFS(Transactions!$E:$E,Transactions!$D:$D,$A178,Transactions!$B:$B,"Sell call")*100+SUMIFS(Transactions!$E:$E,Transactions!$D:$D,$A178,Transactions!$B:$B,"Sell shares"))</f>
        <v/>
      </c>
      <c r="H178" s="14" t="str">
        <f aca="false">IF($A178="","",IF(SUMIFS(Transactions!$J:$J,Transactions!$D:$D,$A178,Transactions!$B:$B,"Buy shares")&lt;&gt;0,-SUMIFS(Transactions!$J:$J,Transactions!$D:$D,$A178,Transactions!$B:$B,"Buy shares"),IFERROR(INDEX(Lots!$E:$E,MATCH($W178,Lots!$A:$A,0))*-SUMIFS(Transactions!$E:$E,Transactions!$D:$D,$A178,Transactions!$B:$B,"Sell call")*100,0)))</f>
        <v/>
      </c>
      <c r="I178" s="14" t="str">
        <f aca="false">IF($A178="","",SUMIFS(Transactions!$J:$J,Transactions!$D:$D,$A178,Transactions!$B:$B,"Sell call"))</f>
        <v/>
      </c>
      <c r="J178" s="14" t="str">
        <f aca="false">IF($A178="","",-SUMIFS(Transactions!$J:$J,Transactions!$D:$D,$A178,Transactions!$B:$B,"Buy to close"))</f>
        <v/>
      </c>
      <c r="K178" s="23"/>
      <c r="L178" s="23"/>
      <c r="M178" s="23"/>
      <c r="N178" s="21"/>
      <c r="O178" s="28"/>
      <c r="P178" s="14" t="str">
        <f aca="false">IF(OR(C178&lt;&gt;"Open",L178=""),"",L178*100*D178)</f>
        <v/>
      </c>
      <c r="Q178" s="14" t="str">
        <f aca="false">IF(OR(C178&lt;&gt;"Open",P178=""),"",I178-J178-P178)</f>
        <v/>
      </c>
      <c r="R178" s="14" t="str">
        <f aca="false">IF(OR(C178&lt;&gt;"Open",K178=""),"",K178*G178)</f>
        <v/>
      </c>
      <c r="S178" s="14" t="str">
        <f aca="false">IF(OR(R178="",Q178=""),"",R178-H178+Q178)</f>
        <v/>
      </c>
      <c r="T178" s="13" t="str">
        <f aca="false">IF(OR(R178="",Q178="",N(H178)=0),"",(R178+Q178)/H178)</f>
        <v/>
      </c>
      <c r="U178" s="10" t="str">
        <f aca="false">IF(C178&lt;&gt;"Closed","",_xlfn.MAXIFS(Transactions!$A:$A,Transactions!$D:$D,$A178))</f>
        <v/>
      </c>
      <c r="V178" s="14" t="str">
        <f aca="false">IF(C178&lt;&gt;"Closed","",I178-J178)</f>
        <v/>
      </c>
      <c r="W178" s="8" t="str">
        <f aca="false">IF($A178="","",IFERROR(INDEX(Transactions!$O:$O,MATCH($A178,Transactions!$D:$D,0)),""))</f>
        <v/>
      </c>
    </row>
    <row r="179" customFormat="false" ht="15" hidden="false" customHeight="false" outlineLevel="0" collapsed="false">
      <c r="A179" s="21"/>
      <c r="B179" s="8" t="str">
        <f aca="false">IF($A179="","",IFERROR(INDEX(Transactions!$C:$C,MATCH($A179,Transactions!$D:$D,0)),""))</f>
        <v/>
      </c>
      <c r="C179" s="8" t="str">
        <f aca="false">IF($A179="","",IF(D179&gt;0,"Open","Closed"))</f>
        <v/>
      </c>
      <c r="D179" s="8" t="str">
        <f aca="false">IF($A179="","",-SUMIFS(Transactions!$E:$E,Transactions!$D:$D,$A179,Transactions!$B:$B,"Sell call")-SUMIFS(Transactions!$E:$E,Transactions!$D:$D,$A179,Transactions!$B:$B,"Buy to close")-SUMIFS(Transactions!$E:$E,Transactions!$D:$D,$A179,Transactions!$B:$B,"Expired")-SUMIFS(Transactions!$E:$E,Transactions!$D:$D,$A179,Transactions!$B:$B,"Assigned"))</f>
        <v/>
      </c>
      <c r="E179" s="27" t="str">
        <f aca="false">IF($A179="","",IFERROR(SUMIFS(Transactions!$F:$F,Transactions!$D:$D,$A179,Transactions!$B:$B,"Sell call")/COUNTIFS(Transactions!$D:$D,$A179,Transactions!$B:$B,"Sell call"),""))</f>
        <v/>
      </c>
      <c r="F179" s="10" t="str">
        <f aca="false">IF($A179="","",IFERROR(SUMIFS(Transactions!$G:$G,Transactions!$D:$D,$A179,Transactions!$B:$B,"Sell call")/COUNTIFS(Transactions!$D:$D,$A179,Transactions!$B:$B,"Sell call"),""))</f>
        <v/>
      </c>
      <c r="G179" s="8" t="str">
        <f aca="false">IF($A179="","",-SUMIFS(Transactions!$E:$E,Transactions!$D:$D,$A179,Transactions!$B:$B,"Sell call")*100+SUMIFS(Transactions!$E:$E,Transactions!$D:$D,$A179,Transactions!$B:$B,"Sell shares"))</f>
        <v/>
      </c>
      <c r="H179" s="14" t="str">
        <f aca="false">IF($A179="","",IF(SUMIFS(Transactions!$J:$J,Transactions!$D:$D,$A179,Transactions!$B:$B,"Buy shares")&lt;&gt;0,-SUMIFS(Transactions!$J:$J,Transactions!$D:$D,$A179,Transactions!$B:$B,"Buy shares"),IFERROR(INDEX(Lots!$E:$E,MATCH($W179,Lots!$A:$A,0))*-SUMIFS(Transactions!$E:$E,Transactions!$D:$D,$A179,Transactions!$B:$B,"Sell call")*100,0)))</f>
        <v/>
      </c>
      <c r="I179" s="14" t="str">
        <f aca="false">IF($A179="","",SUMIFS(Transactions!$J:$J,Transactions!$D:$D,$A179,Transactions!$B:$B,"Sell call"))</f>
        <v/>
      </c>
      <c r="J179" s="14" t="str">
        <f aca="false">IF($A179="","",-SUMIFS(Transactions!$J:$J,Transactions!$D:$D,$A179,Transactions!$B:$B,"Buy to close"))</f>
        <v/>
      </c>
      <c r="K179" s="23"/>
      <c r="L179" s="23"/>
      <c r="M179" s="23"/>
      <c r="N179" s="21"/>
      <c r="O179" s="28"/>
      <c r="P179" s="14" t="str">
        <f aca="false">IF(OR(C179&lt;&gt;"Open",L179=""),"",L179*100*D179)</f>
        <v/>
      </c>
      <c r="Q179" s="14" t="str">
        <f aca="false">IF(OR(C179&lt;&gt;"Open",P179=""),"",I179-J179-P179)</f>
        <v/>
      </c>
      <c r="R179" s="14" t="str">
        <f aca="false">IF(OR(C179&lt;&gt;"Open",K179=""),"",K179*G179)</f>
        <v/>
      </c>
      <c r="S179" s="14" t="str">
        <f aca="false">IF(OR(R179="",Q179=""),"",R179-H179+Q179)</f>
        <v/>
      </c>
      <c r="T179" s="13" t="str">
        <f aca="false">IF(OR(R179="",Q179="",N(H179)=0),"",(R179+Q179)/H179)</f>
        <v/>
      </c>
      <c r="U179" s="10" t="str">
        <f aca="false">IF(C179&lt;&gt;"Closed","",_xlfn.MAXIFS(Transactions!$A:$A,Transactions!$D:$D,$A179))</f>
        <v/>
      </c>
      <c r="V179" s="14" t="str">
        <f aca="false">IF(C179&lt;&gt;"Closed","",I179-J179)</f>
        <v/>
      </c>
      <c r="W179" s="8" t="str">
        <f aca="false">IF($A179="","",IFERROR(INDEX(Transactions!$O:$O,MATCH($A179,Transactions!$D:$D,0)),""))</f>
        <v/>
      </c>
    </row>
    <row r="180" customFormat="false" ht="15" hidden="false" customHeight="false" outlineLevel="0" collapsed="false">
      <c r="A180" s="21"/>
      <c r="B180" s="8" t="str">
        <f aca="false">IF($A180="","",IFERROR(INDEX(Transactions!$C:$C,MATCH($A180,Transactions!$D:$D,0)),""))</f>
        <v/>
      </c>
      <c r="C180" s="8" t="str">
        <f aca="false">IF($A180="","",IF(D180&gt;0,"Open","Closed"))</f>
        <v/>
      </c>
      <c r="D180" s="8" t="str">
        <f aca="false">IF($A180="","",-SUMIFS(Transactions!$E:$E,Transactions!$D:$D,$A180,Transactions!$B:$B,"Sell call")-SUMIFS(Transactions!$E:$E,Transactions!$D:$D,$A180,Transactions!$B:$B,"Buy to close")-SUMIFS(Transactions!$E:$E,Transactions!$D:$D,$A180,Transactions!$B:$B,"Expired")-SUMIFS(Transactions!$E:$E,Transactions!$D:$D,$A180,Transactions!$B:$B,"Assigned"))</f>
        <v/>
      </c>
      <c r="E180" s="27" t="str">
        <f aca="false">IF($A180="","",IFERROR(SUMIFS(Transactions!$F:$F,Transactions!$D:$D,$A180,Transactions!$B:$B,"Sell call")/COUNTIFS(Transactions!$D:$D,$A180,Transactions!$B:$B,"Sell call"),""))</f>
        <v/>
      </c>
      <c r="F180" s="10" t="str">
        <f aca="false">IF($A180="","",IFERROR(SUMIFS(Transactions!$G:$G,Transactions!$D:$D,$A180,Transactions!$B:$B,"Sell call")/COUNTIFS(Transactions!$D:$D,$A180,Transactions!$B:$B,"Sell call"),""))</f>
        <v/>
      </c>
      <c r="G180" s="8" t="str">
        <f aca="false">IF($A180="","",-SUMIFS(Transactions!$E:$E,Transactions!$D:$D,$A180,Transactions!$B:$B,"Sell call")*100+SUMIFS(Transactions!$E:$E,Transactions!$D:$D,$A180,Transactions!$B:$B,"Sell shares"))</f>
        <v/>
      </c>
      <c r="H180" s="14" t="str">
        <f aca="false">IF($A180="","",IF(SUMIFS(Transactions!$J:$J,Transactions!$D:$D,$A180,Transactions!$B:$B,"Buy shares")&lt;&gt;0,-SUMIFS(Transactions!$J:$J,Transactions!$D:$D,$A180,Transactions!$B:$B,"Buy shares"),IFERROR(INDEX(Lots!$E:$E,MATCH($W180,Lots!$A:$A,0))*-SUMIFS(Transactions!$E:$E,Transactions!$D:$D,$A180,Transactions!$B:$B,"Sell call")*100,0)))</f>
        <v/>
      </c>
      <c r="I180" s="14" t="str">
        <f aca="false">IF($A180="","",SUMIFS(Transactions!$J:$J,Transactions!$D:$D,$A180,Transactions!$B:$B,"Sell call"))</f>
        <v/>
      </c>
      <c r="J180" s="14" t="str">
        <f aca="false">IF($A180="","",-SUMIFS(Transactions!$J:$J,Transactions!$D:$D,$A180,Transactions!$B:$B,"Buy to close"))</f>
        <v/>
      </c>
      <c r="K180" s="23"/>
      <c r="L180" s="23"/>
      <c r="M180" s="23"/>
      <c r="N180" s="21"/>
      <c r="O180" s="28"/>
      <c r="P180" s="14" t="str">
        <f aca="false">IF(OR(C180&lt;&gt;"Open",L180=""),"",L180*100*D180)</f>
        <v/>
      </c>
      <c r="Q180" s="14" t="str">
        <f aca="false">IF(OR(C180&lt;&gt;"Open",P180=""),"",I180-J180-P180)</f>
        <v/>
      </c>
      <c r="R180" s="14" t="str">
        <f aca="false">IF(OR(C180&lt;&gt;"Open",K180=""),"",K180*G180)</f>
        <v/>
      </c>
      <c r="S180" s="14" t="str">
        <f aca="false">IF(OR(R180="",Q180=""),"",R180-H180+Q180)</f>
        <v/>
      </c>
      <c r="T180" s="13" t="str">
        <f aca="false">IF(OR(R180="",Q180="",N(H180)=0),"",(R180+Q180)/H180)</f>
        <v/>
      </c>
      <c r="U180" s="10" t="str">
        <f aca="false">IF(C180&lt;&gt;"Closed","",_xlfn.MAXIFS(Transactions!$A:$A,Transactions!$D:$D,$A180))</f>
        <v/>
      </c>
      <c r="V180" s="14" t="str">
        <f aca="false">IF(C180&lt;&gt;"Closed","",I180-J180)</f>
        <v/>
      </c>
      <c r="W180" s="8" t="str">
        <f aca="false">IF($A180="","",IFERROR(INDEX(Transactions!$O:$O,MATCH($A180,Transactions!$D:$D,0)),""))</f>
        <v/>
      </c>
    </row>
    <row r="181" customFormat="false" ht="15" hidden="false" customHeight="false" outlineLevel="0" collapsed="false">
      <c r="A181" s="21"/>
      <c r="B181" s="8" t="str">
        <f aca="false">IF($A181="","",IFERROR(INDEX(Transactions!$C:$C,MATCH($A181,Transactions!$D:$D,0)),""))</f>
        <v/>
      </c>
      <c r="C181" s="8" t="str">
        <f aca="false">IF($A181="","",IF(D181&gt;0,"Open","Closed"))</f>
        <v/>
      </c>
      <c r="D181" s="8" t="str">
        <f aca="false">IF($A181="","",-SUMIFS(Transactions!$E:$E,Transactions!$D:$D,$A181,Transactions!$B:$B,"Sell call")-SUMIFS(Transactions!$E:$E,Transactions!$D:$D,$A181,Transactions!$B:$B,"Buy to close")-SUMIFS(Transactions!$E:$E,Transactions!$D:$D,$A181,Transactions!$B:$B,"Expired")-SUMIFS(Transactions!$E:$E,Transactions!$D:$D,$A181,Transactions!$B:$B,"Assigned"))</f>
        <v/>
      </c>
      <c r="E181" s="27" t="str">
        <f aca="false">IF($A181="","",IFERROR(SUMIFS(Transactions!$F:$F,Transactions!$D:$D,$A181,Transactions!$B:$B,"Sell call")/COUNTIFS(Transactions!$D:$D,$A181,Transactions!$B:$B,"Sell call"),""))</f>
        <v/>
      </c>
      <c r="F181" s="10" t="str">
        <f aca="false">IF($A181="","",IFERROR(SUMIFS(Transactions!$G:$G,Transactions!$D:$D,$A181,Transactions!$B:$B,"Sell call")/COUNTIFS(Transactions!$D:$D,$A181,Transactions!$B:$B,"Sell call"),""))</f>
        <v/>
      </c>
      <c r="G181" s="8" t="str">
        <f aca="false">IF($A181="","",-SUMIFS(Transactions!$E:$E,Transactions!$D:$D,$A181,Transactions!$B:$B,"Sell call")*100+SUMIFS(Transactions!$E:$E,Transactions!$D:$D,$A181,Transactions!$B:$B,"Sell shares"))</f>
        <v/>
      </c>
      <c r="H181" s="14" t="str">
        <f aca="false">IF($A181="","",IF(SUMIFS(Transactions!$J:$J,Transactions!$D:$D,$A181,Transactions!$B:$B,"Buy shares")&lt;&gt;0,-SUMIFS(Transactions!$J:$J,Transactions!$D:$D,$A181,Transactions!$B:$B,"Buy shares"),IFERROR(INDEX(Lots!$E:$E,MATCH($W181,Lots!$A:$A,0))*-SUMIFS(Transactions!$E:$E,Transactions!$D:$D,$A181,Transactions!$B:$B,"Sell call")*100,0)))</f>
        <v/>
      </c>
      <c r="I181" s="14" t="str">
        <f aca="false">IF($A181="","",SUMIFS(Transactions!$J:$J,Transactions!$D:$D,$A181,Transactions!$B:$B,"Sell call"))</f>
        <v/>
      </c>
      <c r="J181" s="14" t="str">
        <f aca="false">IF($A181="","",-SUMIFS(Transactions!$J:$J,Transactions!$D:$D,$A181,Transactions!$B:$B,"Buy to close"))</f>
        <v/>
      </c>
      <c r="K181" s="23"/>
      <c r="L181" s="23"/>
      <c r="M181" s="23"/>
      <c r="N181" s="21"/>
      <c r="O181" s="28"/>
      <c r="P181" s="14" t="str">
        <f aca="false">IF(OR(C181&lt;&gt;"Open",L181=""),"",L181*100*D181)</f>
        <v/>
      </c>
      <c r="Q181" s="14" t="str">
        <f aca="false">IF(OR(C181&lt;&gt;"Open",P181=""),"",I181-J181-P181)</f>
        <v/>
      </c>
      <c r="R181" s="14" t="str">
        <f aca="false">IF(OR(C181&lt;&gt;"Open",K181=""),"",K181*G181)</f>
        <v/>
      </c>
      <c r="S181" s="14" t="str">
        <f aca="false">IF(OR(R181="",Q181=""),"",R181-H181+Q181)</f>
        <v/>
      </c>
      <c r="T181" s="13" t="str">
        <f aca="false">IF(OR(R181="",Q181="",N(H181)=0),"",(R181+Q181)/H181)</f>
        <v/>
      </c>
      <c r="U181" s="10" t="str">
        <f aca="false">IF(C181&lt;&gt;"Closed","",_xlfn.MAXIFS(Transactions!$A:$A,Transactions!$D:$D,$A181))</f>
        <v/>
      </c>
      <c r="V181" s="14" t="str">
        <f aca="false">IF(C181&lt;&gt;"Closed","",I181-J181)</f>
        <v/>
      </c>
      <c r="W181" s="8" t="str">
        <f aca="false">IF($A181="","",IFERROR(INDEX(Transactions!$O:$O,MATCH($A181,Transactions!$D:$D,0)),""))</f>
        <v/>
      </c>
    </row>
    <row r="182" customFormat="false" ht="15" hidden="false" customHeight="false" outlineLevel="0" collapsed="false">
      <c r="A182" s="21"/>
      <c r="B182" s="8" t="str">
        <f aca="false">IF($A182="","",IFERROR(INDEX(Transactions!$C:$C,MATCH($A182,Transactions!$D:$D,0)),""))</f>
        <v/>
      </c>
      <c r="C182" s="8" t="str">
        <f aca="false">IF($A182="","",IF(D182&gt;0,"Open","Closed"))</f>
        <v/>
      </c>
      <c r="D182" s="8" t="str">
        <f aca="false">IF($A182="","",-SUMIFS(Transactions!$E:$E,Transactions!$D:$D,$A182,Transactions!$B:$B,"Sell call")-SUMIFS(Transactions!$E:$E,Transactions!$D:$D,$A182,Transactions!$B:$B,"Buy to close")-SUMIFS(Transactions!$E:$E,Transactions!$D:$D,$A182,Transactions!$B:$B,"Expired")-SUMIFS(Transactions!$E:$E,Transactions!$D:$D,$A182,Transactions!$B:$B,"Assigned"))</f>
        <v/>
      </c>
      <c r="E182" s="27" t="str">
        <f aca="false">IF($A182="","",IFERROR(SUMIFS(Transactions!$F:$F,Transactions!$D:$D,$A182,Transactions!$B:$B,"Sell call")/COUNTIFS(Transactions!$D:$D,$A182,Transactions!$B:$B,"Sell call"),""))</f>
        <v/>
      </c>
      <c r="F182" s="10" t="str">
        <f aca="false">IF($A182="","",IFERROR(SUMIFS(Transactions!$G:$G,Transactions!$D:$D,$A182,Transactions!$B:$B,"Sell call")/COUNTIFS(Transactions!$D:$D,$A182,Transactions!$B:$B,"Sell call"),""))</f>
        <v/>
      </c>
      <c r="G182" s="8" t="str">
        <f aca="false">IF($A182="","",-SUMIFS(Transactions!$E:$E,Transactions!$D:$D,$A182,Transactions!$B:$B,"Sell call")*100+SUMIFS(Transactions!$E:$E,Transactions!$D:$D,$A182,Transactions!$B:$B,"Sell shares"))</f>
        <v/>
      </c>
      <c r="H182" s="14" t="str">
        <f aca="false">IF($A182="","",IF(SUMIFS(Transactions!$J:$J,Transactions!$D:$D,$A182,Transactions!$B:$B,"Buy shares")&lt;&gt;0,-SUMIFS(Transactions!$J:$J,Transactions!$D:$D,$A182,Transactions!$B:$B,"Buy shares"),IFERROR(INDEX(Lots!$E:$E,MATCH($W182,Lots!$A:$A,0))*-SUMIFS(Transactions!$E:$E,Transactions!$D:$D,$A182,Transactions!$B:$B,"Sell call")*100,0)))</f>
        <v/>
      </c>
      <c r="I182" s="14" t="str">
        <f aca="false">IF($A182="","",SUMIFS(Transactions!$J:$J,Transactions!$D:$D,$A182,Transactions!$B:$B,"Sell call"))</f>
        <v/>
      </c>
      <c r="J182" s="14" t="str">
        <f aca="false">IF($A182="","",-SUMIFS(Transactions!$J:$J,Transactions!$D:$D,$A182,Transactions!$B:$B,"Buy to close"))</f>
        <v/>
      </c>
      <c r="K182" s="23"/>
      <c r="L182" s="23"/>
      <c r="M182" s="23"/>
      <c r="N182" s="21"/>
      <c r="O182" s="28"/>
      <c r="P182" s="14" t="str">
        <f aca="false">IF(OR(C182&lt;&gt;"Open",L182=""),"",L182*100*D182)</f>
        <v/>
      </c>
      <c r="Q182" s="14" t="str">
        <f aca="false">IF(OR(C182&lt;&gt;"Open",P182=""),"",I182-J182-P182)</f>
        <v/>
      </c>
      <c r="R182" s="14" t="str">
        <f aca="false">IF(OR(C182&lt;&gt;"Open",K182=""),"",K182*G182)</f>
        <v/>
      </c>
      <c r="S182" s="14" t="str">
        <f aca="false">IF(OR(R182="",Q182=""),"",R182-H182+Q182)</f>
        <v/>
      </c>
      <c r="T182" s="13" t="str">
        <f aca="false">IF(OR(R182="",Q182="",N(H182)=0),"",(R182+Q182)/H182)</f>
        <v/>
      </c>
      <c r="U182" s="10" t="str">
        <f aca="false">IF(C182&lt;&gt;"Closed","",_xlfn.MAXIFS(Transactions!$A:$A,Transactions!$D:$D,$A182))</f>
        <v/>
      </c>
      <c r="V182" s="14" t="str">
        <f aca="false">IF(C182&lt;&gt;"Closed","",I182-J182)</f>
        <v/>
      </c>
      <c r="W182" s="8" t="str">
        <f aca="false">IF($A182="","",IFERROR(INDEX(Transactions!$O:$O,MATCH($A182,Transactions!$D:$D,0)),""))</f>
        <v/>
      </c>
    </row>
    <row r="183" customFormat="false" ht="15" hidden="false" customHeight="false" outlineLevel="0" collapsed="false">
      <c r="A183" s="21"/>
      <c r="B183" s="8" t="str">
        <f aca="false">IF($A183="","",IFERROR(INDEX(Transactions!$C:$C,MATCH($A183,Transactions!$D:$D,0)),""))</f>
        <v/>
      </c>
      <c r="C183" s="8" t="str">
        <f aca="false">IF($A183="","",IF(D183&gt;0,"Open","Closed"))</f>
        <v/>
      </c>
      <c r="D183" s="8" t="str">
        <f aca="false">IF($A183="","",-SUMIFS(Transactions!$E:$E,Transactions!$D:$D,$A183,Transactions!$B:$B,"Sell call")-SUMIFS(Transactions!$E:$E,Transactions!$D:$D,$A183,Transactions!$B:$B,"Buy to close")-SUMIFS(Transactions!$E:$E,Transactions!$D:$D,$A183,Transactions!$B:$B,"Expired")-SUMIFS(Transactions!$E:$E,Transactions!$D:$D,$A183,Transactions!$B:$B,"Assigned"))</f>
        <v/>
      </c>
      <c r="E183" s="27" t="str">
        <f aca="false">IF($A183="","",IFERROR(SUMIFS(Transactions!$F:$F,Transactions!$D:$D,$A183,Transactions!$B:$B,"Sell call")/COUNTIFS(Transactions!$D:$D,$A183,Transactions!$B:$B,"Sell call"),""))</f>
        <v/>
      </c>
      <c r="F183" s="10" t="str">
        <f aca="false">IF($A183="","",IFERROR(SUMIFS(Transactions!$G:$G,Transactions!$D:$D,$A183,Transactions!$B:$B,"Sell call")/COUNTIFS(Transactions!$D:$D,$A183,Transactions!$B:$B,"Sell call"),""))</f>
        <v/>
      </c>
      <c r="G183" s="8" t="str">
        <f aca="false">IF($A183="","",-SUMIFS(Transactions!$E:$E,Transactions!$D:$D,$A183,Transactions!$B:$B,"Sell call")*100+SUMIFS(Transactions!$E:$E,Transactions!$D:$D,$A183,Transactions!$B:$B,"Sell shares"))</f>
        <v/>
      </c>
      <c r="H183" s="14" t="str">
        <f aca="false">IF($A183="","",IF(SUMIFS(Transactions!$J:$J,Transactions!$D:$D,$A183,Transactions!$B:$B,"Buy shares")&lt;&gt;0,-SUMIFS(Transactions!$J:$J,Transactions!$D:$D,$A183,Transactions!$B:$B,"Buy shares"),IFERROR(INDEX(Lots!$E:$E,MATCH($W183,Lots!$A:$A,0))*-SUMIFS(Transactions!$E:$E,Transactions!$D:$D,$A183,Transactions!$B:$B,"Sell call")*100,0)))</f>
        <v/>
      </c>
      <c r="I183" s="14" t="str">
        <f aca="false">IF($A183="","",SUMIFS(Transactions!$J:$J,Transactions!$D:$D,$A183,Transactions!$B:$B,"Sell call"))</f>
        <v/>
      </c>
      <c r="J183" s="14" t="str">
        <f aca="false">IF($A183="","",-SUMIFS(Transactions!$J:$J,Transactions!$D:$D,$A183,Transactions!$B:$B,"Buy to close"))</f>
        <v/>
      </c>
      <c r="K183" s="23"/>
      <c r="L183" s="23"/>
      <c r="M183" s="23"/>
      <c r="N183" s="21"/>
      <c r="O183" s="28"/>
      <c r="P183" s="14" t="str">
        <f aca="false">IF(OR(C183&lt;&gt;"Open",L183=""),"",L183*100*D183)</f>
        <v/>
      </c>
      <c r="Q183" s="14" t="str">
        <f aca="false">IF(OR(C183&lt;&gt;"Open",P183=""),"",I183-J183-P183)</f>
        <v/>
      </c>
      <c r="R183" s="14" t="str">
        <f aca="false">IF(OR(C183&lt;&gt;"Open",K183=""),"",K183*G183)</f>
        <v/>
      </c>
      <c r="S183" s="14" t="str">
        <f aca="false">IF(OR(R183="",Q183=""),"",R183-H183+Q183)</f>
        <v/>
      </c>
      <c r="T183" s="13" t="str">
        <f aca="false">IF(OR(R183="",Q183="",N(H183)=0),"",(R183+Q183)/H183)</f>
        <v/>
      </c>
      <c r="U183" s="10" t="str">
        <f aca="false">IF(C183&lt;&gt;"Closed","",_xlfn.MAXIFS(Transactions!$A:$A,Transactions!$D:$D,$A183))</f>
        <v/>
      </c>
      <c r="V183" s="14" t="str">
        <f aca="false">IF(C183&lt;&gt;"Closed","",I183-J183)</f>
        <v/>
      </c>
      <c r="W183" s="8" t="str">
        <f aca="false">IF($A183="","",IFERROR(INDEX(Transactions!$O:$O,MATCH($A183,Transactions!$D:$D,0)),""))</f>
        <v/>
      </c>
    </row>
    <row r="184" customFormat="false" ht="15" hidden="false" customHeight="false" outlineLevel="0" collapsed="false">
      <c r="A184" s="21"/>
      <c r="B184" s="8" t="str">
        <f aca="false">IF($A184="","",IFERROR(INDEX(Transactions!$C:$C,MATCH($A184,Transactions!$D:$D,0)),""))</f>
        <v/>
      </c>
      <c r="C184" s="8" t="str">
        <f aca="false">IF($A184="","",IF(D184&gt;0,"Open","Closed"))</f>
        <v/>
      </c>
      <c r="D184" s="8" t="str">
        <f aca="false">IF($A184="","",-SUMIFS(Transactions!$E:$E,Transactions!$D:$D,$A184,Transactions!$B:$B,"Sell call")-SUMIFS(Transactions!$E:$E,Transactions!$D:$D,$A184,Transactions!$B:$B,"Buy to close")-SUMIFS(Transactions!$E:$E,Transactions!$D:$D,$A184,Transactions!$B:$B,"Expired")-SUMIFS(Transactions!$E:$E,Transactions!$D:$D,$A184,Transactions!$B:$B,"Assigned"))</f>
        <v/>
      </c>
      <c r="E184" s="27" t="str">
        <f aca="false">IF($A184="","",IFERROR(SUMIFS(Transactions!$F:$F,Transactions!$D:$D,$A184,Transactions!$B:$B,"Sell call")/COUNTIFS(Transactions!$D:$D,$A184,Transactions!$B:$B,"Sell call"),""))</f>
        <v/>
      </c>
      <c r="F184" s="10" t="str">
        <f aca="false">IF($A184="","",IFERROR(SUMIFS(Transactions!$G:$G,Transactions!$D:$D,$A184,Transactions!$B:$B,"Sell call")/COUNTIFS(Transactions!$D:$D,$A184,Transactions!$B:$B,"Sell call"),""))</f>
        <v/>
      </c>
      <c r="G184" s="8" t="str">
        <f aca="false">IF($A184="","",-SUMIFS(Transactions!$E:$E,Transactions!$D:$D,$A184,Transactions!$B:$B,"Sell call")*100+SUMIFS(Transactions!$E:$E,Transactions!$D:$D,$A184,Transactions!$B:$B,"Sell shares"))</f>
        <v/>
      </c>
      <c r="H184" s="14" t="str">
        <f aca="false">IF($A184="","",IF(SUMIFS(Transactions!$J:$J,Transactions!$D:$D,$A184,Transactions!$B:$B,"Buy shares")&lt;&gt;0,-SUMIFS(Transactions!$J:$J,Transactions!$D:$D,$A184,Transactions!$B:$B,"Buy shares"),IFERROR(INDEX(Lots!$E:$E,MATCH($W184,Lots!$A:$A,0))*-SUMIFS(Transactions!$E:$E,Transactions!$D:$D,$A184,Transactions!$B:$B,"Sell call")*100,0)))</f>
        <v/>
      </c>
      <c r="I184" s="14" t="str">
        <f aca="false">IF($A184="","",SUMIFS(Transactions!$J:$J,Transactions!$D:$D,$A184,Transactions!$B:$B,"Sell call"))</f>
        <v/>
      </c>
      <c r="J184" s="14" t="str">
        <f aca="false">IF($A184="","",-SUMIFS(Transactions!$J:$J,Transactions!$D:$D,$A184,Transactions!$B:$B,"Buy to close"))</f>
        <v/>
      </c>
      <c r="K184" s="23"/>
      <c r="L184" s="23"/>
      <c r="M184" s="23"/>
      <c r="N184" s="21"/>
      <c r="O184" s="28"/>
      <c r="P184" s="14" t="str">
        <f aca="false">IF(OR(C184&lt;&gt;"Open",L184=""),"",L184*100*D184)</f>
        <v/>
      </c>
      <c r="Q184" s="14" t="str">
        <f aca="false">IF(OR(C184&lt;&gt;"Open",P184=""),"",I184-J184-P184)</f>
        <v/>
      </c>
      <c r="R184" s="14" t="str">
        <f aca="false">IF(OR(C184&lt;&gt;"Open",K184=""),"",K184*G184)</f>
        <v/>
      </c>
      <c r="S184" s="14" t="str">
        <f aca="false">IF(OR(R184="",Q184=""),"",R184-H184+Q184)</f>
        <v/>
      </c>
      <c r="T184" s="13" t="str">
        <f aca="false">IF(OR(R184="",Q184="",N(H184)=0),"",(R184+Q184)/H184)</f>
        <v/>
      </c>
      <c r="U184" s="10" t="str">
        <f aca="false">IF(C184&lt;&gt;"Closed","",_xlfn.MAXIFS(Transactions!$A:$A,Transactions!$D:$D,$A184))</f>
        <v/>
      </c>
      <c r="V184" s="14" t="str">
        <f aca="false">IF(C184&lt;&gt;"Closed","",I184-J184)</f>
        <v/>
      </c>
      <c r="W184" s="8" t="str">
        <f aca="false">IF($A184="","",IFERROR(INDEX(Transactions!$O:$O,MATCH($A184,Transactions!$D:$D,0)),""))</f>
        <v/>
      </c>
    </row>
    <row r="185" customFormat="false" ht="15" hidden="false" customHeight="false" outlineLevel="0" collapsed="false">
      <c r="A185" s="21"/>
      <c r="B185" s="8" t="str">
        <f aca="false">IF($A185="","",IFERROR(INDEX(Transactions!$C:$C,MATCH($A185,Transactions!$D:$D,0)),""))</f>
        <v/>
      </c>
      <c r="C185" s="8" t="str">
        <f aca="false">IF($A185="","",IF(D185&gt;0,"Open","Closed"))</f>
        <v/>
      </c>
      <c r="D185" s="8" t="str">
        <f aca="false">IF($A185="","",-SUMIFS(Transactions!$E:$E,Transactions!$D:$D,$A185,Transactions!$B:$B,"Sell call")-SUMIFS(Transactions!$E:$E,Transactions!$D:$D,$A185,Transactions!$B:$B,"Buy to close")-SUMIFS(Transactions!$E:$E,Transactions!$D:$D,$A185,Transactions!$B:$B,"Expired")-SUMIFS(Transactions!$E:$E,Transactions!$D:$D,$A185,Transactions!$B:$B,"Assigned"))</f>
        <v/>
      </c>
      <c r="E185" s="27" t="str">
        <f aca="false">IF($A185="","",IFERROR(SUMIFS(Transactions!$F:$F,Transactions!$D:$D,$A185,Transactions!$B:$B,"Sell call")/COUNTIFS(Transactions!$D:$D,$A185,Transactions!$B:$B,"Sell call"),""))</f>
        <v/>
      </c>
      <c r="F185" s="10" t="str">
        <f aca="false">IF($A185="","",IFERROR(SUMIFS(Transactions!$G:$G,Transactions!$D:$D,$A185,Transactions!$B:$B,"Sell call")/COUNTIFS(Transactions!$D:$D,$A185,Transactions!$B:$B,"Sell call"),""))</f>
        <v/>
      </c>
      <c r="G185" s="8" t="str">
        <f aca="false">IF($A185="","",-SUMIFS(Transactions!$E:$E,Transactions!$D:$D,$A185,Transactions!$B:$B,"Sell call")*100+SUMIFS(Transactions!$E:$E,Transactions!$D:$D,$A185,Transactions!$B:$B,"Sell shares"))</f>
        <v/>
      </c>
      <c r="H185" s="14" t="str">
        <f aca="false">IF($A185="","",IF(SUMIFS(Transactions!$J:$J,Transactions!$D:$D,$A185,Transactions!$B:$B,"Buy shares")&lt;&gt;0,-SUMIFS(Transactions!$J:$J,Transactions!$D:$D,$A185,Transactions!$B:$B,"Buy shares"),IFERROR(INDEX(Lots!$E:$E,MATCH($W185,Lots!$A:$A,0))*-SUMIFS(Transactions!$E:$E,Transactions!$D:$D,$A185,Transactions!$B:$B,"Sell call")*100,0)))</f>
        <v/>
      </c>
      <c r="I185" s="14" t="str">
        <f aca="false">IF($A185="","",SUMIFS(Transactions!$J:$J,Transactions!$D:$D,$A185,Transactions!$B:$B,"Sell call"))</f>
        <v/>
      </c>
      <c r="J185" s="14" t="str">
        <f aca="false">IF($A185="","",-SUMIFS(Transactions!$J:$J,Transactions!$D:$D,$A185,Transactions!$B:$B,"Buy to close"))</f>
        <v/>
      </c>
      <c r="K185" s="23"/>
      <c r="L185" s="23"/>
      <c r="M185" s="23"/>
      <c r="N185" s="21"/>
      <c r="O185" s="28"/>
      <c r="P185" s="14" t="str">
        <f aca="false">IF(OR(C185&lt;&gt;"Open",L185=""),"",L185*100*D185)</f>
        <v/>
      </c>
      <c r="Q185" s="14" t="str">
        <f aca="false">IF(OR(C185&lt;&gt;"Open",P185=""),"",I185-J185-P185)</f>
        <v/>
      </c>
      <c r="R185" s="14" t="str">
        <f aca="false">IF(OR(C185&lt;&gt;"Open",K185=""),"",K185*G185)</f>
        <v/>
      </c>
      <c r="S185" s="14" t="str">
        <f aca="false">IF(OR(R185="",Q185=""),"",R185-H185+Q185)</f>
        <v/>
      </c>
      <c r="T185" s="13" t="str">
        <f aca="false">IF(OR(R185="",Q185="",N(H185)=0),"",(R185+Q185)/H185)</f>
        <v/>
      </c>
      <c r="U185" s="10" t="str">
        <f aca="false">IF(C185&lt;&gt;"Closed","",_xlfn.MAXIFS(Transactions!$A:$A,Transactions!$D:$D,$A185))</f>
        <v/>
      </c>
      <c r="V185" s="14" t="str">
        <f aca="false">IF(C185&lt;&gt;"Closed","",I185-J185)</f>
        <v/>
      </c>
      <c r="W185" s="8" t="str">
        <f aca="false">IF($A185="","",IFERROR(INDEX(Transactions!$O:$O,MATCH($A185,Transactions!$D:$D,0)),""))</f>
        <v/>
      </c>
    </row>
    <row r="186" customFormat="false" ht="15" hidden="false" customHeight="false" outlineLevel="0" collapsed="false">
      <c r="A186" s="21"/>
      <c r="B186" s="8" t="str">
        <f aca="false">IF($A186="","",IFERROR(INDEX(Transactions!$C:$C,MATCH($A186,Transactions!$D:$D,0)),""))</f>
        <v/>
      </c>
      <c r="C186" s="8" t="str">
        <f aca="false">IF($A186="","",IF(D186&gt;0,"Open","Closed"))</f>
        <v/>
      </c>
      <c r="D186" s="8" t="str">
        <f aca="false">IF($A186="","",-SUMIFS(Transactions!$E:$E,Transactions!$D:$D,$A186,Transactions!$B:$B,"Sell call")-SUMIFS(Transactions!$E:$E,Transactions!$D:$D,$A186,Transactions!$B:$B,"Buy to close")-SUMIFS(Transactions!$E:$E,Transactions!$D:$D,$A186,Transactions!$B:$B,"Expired")-SUMIFS(Transactions!$E:$E,Transactions!$D:$D,$A186,Transactions!$B:$B,"Assigned"))</f>
        <v/>
      </c>
      <c r="E186" s="27" t="str">
        <f aca="false">IF($A186="","",IFERROR(SUMIFS(Transactions!$F:$F,Transactions!$D:$D,$A186,Transactions!$B:$B,"Sell call")/COUNTIFS(Transactions!$D:$D,$A186,Transactions!$B:$B,"Sell call"),""))</f>
        <v/>
      </c>
      <c r="F186" s="10" t="str">
        <f aca="false">IF($A186="","",IFERROR(SUMIFS(Transactions!$G:$G,Transactions!$D:$D,$A186,Transactions!$B:$B,"Sell call")/COUNTIFS(Transactions!$D:$D,$A186,Transactions!$B:$B,"Sell call"),""))</f>
        <v/>
      </c>
      <c r="G186" s="8" t="str">
        <f aca="false">IF($A186="","",-SUMIFS(Transactions!$E:$E,Transactions!$D:$D,$A186,Transactions!$B:$B,"Sell call")*100+SUMIFS(Transactions!$E:$E,Transactions!$D:$D,$A186,Transactions!$B:$B,"Sell shares"))</f>
        <v/>
      </c>
      <c r="H186" s="14" t="str">
        <f aca="false">IF($A186="","",IF(SUMIFS(Transactions!$J:$J,Transactions!$D:$D,$A186,Transactions!$B:$B,"Buy shares")&lt;&gt;0,-SUMIFS(Transactions!$J:$J,Transactions!$D:$D,$A186,Transactions!$B:$B,"Buy shares"),IFERROR(INDEX(Lots!$E:$E,MATCH($W186,Lots!$A:$A,0))*-SUMIFS(Transactions!$E:$E,Transactions!$D:$D,$A186,Transactions!$B:$B,"Sell call")*100,0)))</f>
        <v/>
      </c>
      <c r="I186" s="14" t="str">
        <f aca="false">IF($A186="","",SUMIFS(Transactions!$J:$J,Transactions!$D:$D,$A186,Transactions!$B:$B,"Sell call"))</f>
        <v/>
      </c>
      <c r="J186" s="14" t="str">
        <f aca="false">IF($A186="","",-SUMIFS(Transactions!$J:$J,Transactions!$D:$D,$A186,Transactions!$B:$B,"Buy to close"))</f>
        <v/>
      </c>
      <c r="K186" s="23"/>
      <c r="L186" s="23"/>
      <c r="M186" s="23"/>
      <c r="N186" s="21"/>
      <c r="O186" s="28"/>
      <c r="P186" s="14" t="str">
        <f aca="false">IF(OR(C186&lt;&gt;"Open",L186=""),"",L186*100*D186)</f>
        <v/>
      </c>
      <c r="Q186" s="14" t="str">
        <f aca="false">IF(OR(C186&lt;&gt;"Open",P186=""),"",I186-J186-P186)</f>
        <v/>
      </c>
      <c r="R186" s="14" t="str">
        <f aca="false">IF(OR(C186&lt;&gt;"Open",K186=""),"",K186*G186)</f>
        <v/>
      </c>
      <c r="S186" s="14" t="str">
        <f aca="false">IF(OR(R186="",Q186=""),"",R186-H186+Q186)</f>
        <v/>
      </c>
      <c r="T186" s="13" t="str">
        <f aca="false">IF(OR(R186="",Q186="",N(H186)=0),"",(R186+Q186)/H186)</f>
        <v/>
      </c>
      <c r="U186" s="10" t="str">
        <f aca="false">IF(C186&lt;&gt;"Closed","",_xlfn.MAXIFS(Transactions!$A:$A,Transactions!$D:$D,$A186))</f>
        <v/>
      </c>
      <c r="V186" s="14" t="str">
        <f aca="false">IF(C186&lt;&gt;"Closed","",I186-J186)</f>
        <v/>
      </c>
      <c r="W186" s="8" t="str">
        <f aca="false">IF($A186="","",IFERROR(INDEX(Transactions!$O:$O,MATCH($A186,Transactions!$D:$D,0)),""))</f>
        <v/>
      </c>
    </row>
    <row r="187" customFormat="false" ht="15" hidden="false" customHeight="false" outlineLevel="0" collapsed="false">
      <c r="A187" s="21"/>
      <c r="B187" s="8" t="str">
        <f aca="false">IF($A187="","",IFERROR(INDEX(Transactions!$C:$C,MATCH($A187,Transactions!$D:$D,0)),""))</f>
        <v/>
      </c>
      <c r="C187" s="8" t="str">
        <f aca="false">IF($A187="","",IF(D187&gt;0,"Open","Closed"))</f>
        <v/>
      </c>
      <c r="D187" s="8" t="str">
        <f aca="false">IF($A187="","",-SUMIFS(Transactions!$E:$E,Transactions!$D:$D,$A187,Transactions!$B:$B,"Sell call")-SUMIFS(Transactions!$E:$E,Transactions!$D:$D,$A187,Transactions!$B:$B,"Buy to close")-SUMIFS(Transactions!$E:$E,Transactions!$D:$D,$A187,Transactions!$B:$B,"Expired")-SUMIFS(Transactions!$E:$E,Transactions!$D:$D,$A187,Transactions!$B:$B,"Assigned"))</f>
        <v/>
      </c>
      <c r="E187" s="27" t="str">
        <f aca="false">IF($A187="","",IFERROR(SUMIFS(Transactions!$F:$F,Transactions!$D:$D,$A187,Transactions!$B:$B,"Sell call")/COUNTIFS(Transactions!$D:$D,$A187,Transactions!$B:$B,"Sell call"),""))</f>
        <v/>
      </c>
      <c r="F187" s="10" t="str">
        <f aca="false">IF($A187="","",IFERROR(SUMIFS(Transactions!$G:$G,Transactions!$D:$D,$A187,Transactions!$B:$B,"Sell call")/COUNTIFS(Transactions!$D:$D,$A187,Transactions!$B:$B,"Sell call"),""))</f>
        <v/>
      </c>
      <c r="G187" s="8" t="str">
        <f aca="false">IF($A187="","",-SUMIFS(Transactions!$E:$E,Transactions!$D:$D,$A187,Transactions!$B:$B,"Sell call")*100+SUMIFS(Transactions!$E:$E,Transactions!$D:$D,$A187,Transactions!$B:$B,"Sell shares"))</f>
        <v/>
      </c>
      <c r="H187" s="14" t="str">
        <f aca="false">IF($A187="","",IF(SUMIFS(Transactions!$J:$J,Transactions!$D:$D,$A187,Transactions!$B:$B,"Buy shares")&lt;&gt;0,-SUMIFS(Transactions!$J:$J,Transactions!$D:$D,$A187,Transactions!$B:$B,"Buy shares"),IFERROR(INDEX(Lots!$E:$E,MATCH($W187,Lots!$A:$A,0))*-SUMIFS(Transactions!$E:$E,Transactions!$D:$D,$A187,Transactions!$B:$B,"Sell call")*100,0)))</f>
        <v/>
      </c>
      <c r="I187" s="14" t="str">
        <f aca="false">IF($A187="","",SUMIFS(Transactions!$J:$J,Transactions!$D:$D,$A187,Transactions!$B:$B,"Sell call"))</f>
        <v/>
      </c>
      <c r="J187" s="14" t="str">
        <f aca="false">IF($A187="","",-SUMIFS(Transactions!$J:$J,Transactions!$D:$D,$A187,Transactions!$B:$B,"Buy to close"))</f>
        <v/>
      </c>
      <c r="K187" s="23"/>
      <c r="L187" s="23"/>
      <c r="M187" s="23"/>
      <c r="N187" s="21"/>
      <c r="O187" s="28"/>
      <c r="P187" s="14" t="str">
        <f aca="false">IF(OR(C187&lt;&gt;"Open",L187=""),"",L187*100*D187)</f>
        <v/>
      </c>
      <c r="Q187" s="14" t="str">
        <f aca="false">IF(OR(C187&lt;&gt;"Open",P187=""),"",I187-J187-P187)</f>
        <v/>
      </c>
      <c r="R187" s="14" t="str">
        <f aca="false">IF(OR(C187&lt;&gt;"Open",K187=""),"",K187*G187)</f>
        <v/>
      </c>
      <c r="S187" s="14" t="str">
        <f aca="false">IF(OR(R187="",Q187=""),"",R187-H187+Q187)</f>
        <v/>
      </c>
      <c r="T187" s="13" t="str">
        <f aca="false">IF(OR(R187="",Q187="",N(H187)=0),"",(R187+Q187)/H187)</f>
        <v/>
      </c>
      <c r="U187" s="10" t="str">
        <f aca="false">IF(C187&lt;&gt;"Closed","",_xlfn.MAXIFS(Transactions!$A:$A,Transactions!$D:$D,$A187))</f>
        <v/>
      </c>
      <c r="V187" s="14" t="str">
        <f aca="false">IF(C187&lt;&gt;"Closed","",I187-J187)</f>
        <v/>
      </c>
      <c r="W187" s="8" t="str">
        <f aca="false">IF($A187="","",IFERROR(INDEX(Transactions!$O:$O,MATCH($A187,Transactions!$D:$D,0)),""))</f>
        <v/>
      </c>
    </row>
    <row r="188" customFormat="false" ht="15" hidden="false" customHeight="false" outlineLevel="0" collapsed="false">
      <c r="A188" s="21"/>
      <c r="B188" s="8" t="str">
        <f aca="false">IF($A188="","",IFERROR(INDEX(Transactions!$C:$C,MATCH($A188,Transactions!$D:$D,0)),""))</f>
        <v/>
      </c>
      <c r="C188" s="8" t="str">
        <f aca="false">IF($A188="","",IF(D188&gt;0,"Open","Closed"))</f>
        <v/>
      </c>
      <c r="D188" s="8" t="str">
        <f aca="false">IF($A188="","",-SUMIFS(Transactions!$E:$E,Transactions!$D:$D,$A188,Transactions!$B:$B,"Sell call")-SUMIFS(Transactions!$E:$E,Transactions!$D:$D,$A188,Transactions!$B:$B,"Buy to close")-SUMIFS(Transactions!$E:$E,Transactions!$D:$D,$A188,Transactions!$B:$B,"Expired")-SUMIFS(Transactions!$E:$E,Transactions!$D:$D,$A188,Transactions!$B:$B,"Assigned"))</f>
        <v/>
      </c>
      <c r="E188" s="27" t="str">
        <f aca="false">IF($A188="","",IFERROR(SUMIFS(Transactions!$F:$F,Transactions!$D:$D,$A188,Transactions!$B:$B,"Sell call")/COUNTIFS(Transactions!$D:$D,$A188,Transactions!$B:$B,"Sell call"),""))</f>
        <v/>
      </c>
      <c r="F188" s="10" t="str">
        <f aca="false">IF($A188="","",IFERROR(SUMIFS(Transactions!$G:$G,Transactions!$D:$D,$A188,Transactions!$B:$B,"Sell call")/COUNTIFS(Transactions!$D:$D,$A188,Transactions!$B:$B,"Sell call"),""))</f>
        <v/>
      </c>
      <c r="G188" s="8" t="str">
        <f aca="false">IF($A188="","",-SUMIFS(Transactions!$E:$E,Transactions!$D:$D,$A188,Transactions!$B:$B,"Sell call")*100+SUMIFS(Transactions!$E:$E,Transactions!$D:$D,$A188,Transactions!$B:$B,"Sell shares"))</f>
        <v/>
      </c>
      <c r="H188" s="14" t="str">
        <f aca="false">IF($A188="","",IF(SUMIFS(Transactions!$J:$J,Transactions!$D:$D,$A188,Transactions!$B:$B,"Buy shares")&lt;&gt;0,-SUMIFS(Transactions!$J:$J,Transactions!$D:$D,$A188,Transactions!$B:$B,"Buy shares"),IFERROR(INDEX(Lots!$E:$E,MATCH($W188,Lots!$A:$A,0))*-SUMIFS(Transactions!$E:$E,Transactions!$D:$D,$A188,Transactions!$B:$B,"Sell call")*100,0)))</f>
        <v/>
      </c>
      <c r="I188" s="14" t="str">
        <f aca="false">IF($A188="","",SUMIFS(Transactions!$J:$J,Transactions!$D:$D,$A188,Transactions!$B:$B,"Sell call"))</f>
        <v/>
      </c>
      <c r="J188" s="14" t="str">
        <f aca="false">IF($A188="","",-SUMIFS(Transactions!$J:$J,Transactions!$D:$D,$A188,Transactions!$B:$B,"Buy to close"))</f>
        <v/>
      </c>
      <c r="K188" s="23"/>
      <c r="L188" s="23"/>
      <c r="M188" s="23"/>
      <c r="N188" s="21"/>
      <c r="O188" s="28"/>
      <c r="P188" s="14" t="str">
        <f aca="false">IF(OR(C188&lt;&gt;"Open",L188=""),"",L188*100*D188)</f>
        <v/>
      </c>
      <c r="Q188" s="14" t="str">
        <f aca="false">IF(OR(C188&lt;&gt;"Open",P188=""),"",I188-J188-P188)</f>
        <v/>
      </c>
      <c r="R188" s="14" t="str">
        <f aca="false">IF(OR(C188&lt;&gt;"Open",K188=""),"",K188*G188)</f>
        <v/>
      </c>
      <c r="S188" s="14" t="str">
        <f aca="false">IF(OR(R188="",Q188=""),"",R188-H188+Q188)</f>
        <v/>
      </c>
      <c r="T188" s="13" t="str">
        <f aca="false">IF(OR(R188="",Q188="",N(H188)=0),"",(R188+Q188)/H188)</f>
        <v/>
      </c>
      <c r="U188" s="10" t="str">
        <f aca="false">IF(C188&lt;&gt;"Closed","",_xlfn.MAXIFS(Transactions!$A:$A,Transactions!$D:$D,$A188))</f>
        <v/>
      </c>
      <c r="V188" s="14" t="str">
        <f aca="false">IF(C188&lt;&gt;"Closed","",I188-J188)</f>
        <v/>
      </c>
      <c r="W188" s="8" t="str">
        <f aca="false">IF($A188="","",IFERROR(INDEX(Transactions!$O:$O,MATCH($A188,Transactions!$D:$D,0)),""))</f>
        <v/>
      </c>
    </row>
    <row r="189" customFormat="false" ht="15" hidden="false" customHeight="false" outlineLevel="0" collapsed="false">
      <c r="A189" s="21"/>
      <c r="B189" s="8" t="str">
        <f aca="false">IF($A189="","",IFERROR(INDEX(Transactions!$C:$C,MATCH($A189,Transactions!$D:$D,0)),""))</f>
        <v/>
      </c>
      <c r="C189" s="8" t="str">
        <f aca="false">IF($A189="","",IF(D189&gt;0,"Open","Closed"))</f>
        <v/>
      </c>
      <c r="D189" s="8" t="str">
        <f aca="false">IF($A189="","",-SUMIFS(Transactions!$E:$E,Transactions!$D:$D,$A189,Transactions!$B:$B,"Sell call")-SUMIFS(Transactions!$E:$E,Transactions!$D:$D,$A189,Transactions!$B:$B,"Buy to close")-SUMIFS(Transactions!$E:$E,Transactions!$D:$D,$A189,Transactions!$B:$B,"Expired")-SUMIFS(Transactions!$E:$E,Transactions!$D:$D,$A189,Transactions!$B:$B,"Assigned"))</f>
        <v/>
      </c>
      <c r="E189" s="27" t="str">
        <f aca="false">IF($A189="","",IFERROR(SUMIFS(Transactions!$F:$F,Transactions!$D:$D,$A189,Transactions!$B:$B,"Sell call")/COUNTIFS(Transactions!$D:$D,$A189,Transactions!$B:$B,"Sell call"),""))</f>
        <v/>
      </c>
      <c r="F189" s="10" t="str">
        <f aca="false">IF($A189="","",IFERROR(SUMIFS(Transactions!$G:$G,Transactions!$D:$D,$A189,Transactions!$B:$B,"Sell call")/COUNTIFS(Transactions!$D:$D,$A189,Transactions!$B:$B,"Sell call"),""))</f>
        <v/>
      </c>
      <c r="G189" s="8" t="str">
        <f aca="false">IF($A189="","",-SUMIFS(Transactions!$E:$E,Transactions!$D:$D,$A189,Transactions!$B:$B,"Sell call")*100+SUMIFS(Transactions!$E:$E,Transactions!$D:$D,$A189,Transactions!$B:$B,"Sell shares"))</f>
        <v/>
      </c>
      <c r="H189" s="14" t="str">
        <f aca="false">IF($A189="","",IF(SUMIFS(Transactions!$J:$J,Transactions!$D:$D,$A189,Transactions!$B:$B,"Buy shares")&lt;&gt;0,-SUMIFS(Transactions!$J:$J,Transactions!$D:$D,$A189,Transactions!$B:$B,"Buy shares"),IFERROR(INDEX(Lots!$E:$E,MATCH($W189,Lots!$A:$A,0))*-SUMIFS(Transactions!$E:$E,Transactions!$D:$D,$A189,Transactions!$B:$B,"Sell call")*100,0)))</f>
        <v/>
      </c>
      <c r="I189" s="14" t="str">
        <f aca="false">IF($A189="","",SUMIFS(Transactions!$J:$J,Transactions!$D:$D,$A189,Transactions!$B:$B,"Sell call"))</f>
        <v/>
      </c>
      <c r="J189" s="14" t="str">
        <f aca="false">IF($A189="","",-SUMIFS(Transactions!$J:$J,Transactions!$D:$D,$A189,Transactions!$B:$B,"Buy to close"))</f>
        <v/>
      </c>
      <c r="K189" s="23"/>
      <c r="L189" s="23"/>
      <c r="M189" s="23"/>
      <c r="N189" s="21"/>
      <c r="O189" s="28"/>
      <c r="P189" s="14" t="str">
        <f aca="false">IF(OR(C189&lt;&gt;"Open",L189=""),"",L189*100*D189)</f>
        <v/>
      </c>
      <c r="Q189" s="14" t="str">
        <f aca="false">IF(OR(C189&lt;&gt;"Open",P189=""),"",I189-J189-P189)</f>
        <v/>
      </c>
      <c r="R189" s="14" t="str">
        <f aca="false">IF(OR(C189&lt;&gt;"Open",K189=""),"",K189*G189)</f>
        <v/>
      </c>
      <c r="S189" s="14" t="str">
        <f aca="false">IF(OR(R189="",Q189=""),"",R189-H189+Q189)</f>
        <v/>
      </c>
      <c r="T189" s="13" t="str">
        <f aca="false">IF(OR(R189="",Q189="",N(H189)=0),"",(R189+Q189)/H189)</f>
        <v/>
      </c>
      <c r="U189" s="10" t="str">
        <f aca="false">IF(C189&lt;&gt;"Closed","",_xlfn.MAXIFS(Transactions!$A:$A,Transactions!$D:$D,$A189))</f>
        <v/>
      </c>
      <c r="V189" s="14" t="str">
        <f aca="false">IF(C189&lt;&gt;"Closed","",I189-J189)</f>
        <v/>
      </c>
      <c r="W189" s="8" t="str">
        <f aca="false">IF($A189="","",IFERROR(INDEX(Transactions!$O:$O,MATCH($A189,Transactions!$D:$D,0)),""))</f>
        <v/>
      </c>
    </row>
    <row r="190" customFormat="false" ht="15" hidden="false" customHeight="false" outlineLevel="0" collapsed="false">
      <c r="A190" s="21"/>
      <c r="B190" s="8" t="str">
        <f aca="false">IF($A190="","",IFERROR(INDEX(Transactions!$C:$C,MATCH($A190,Transactions!$D:$D,0)),""))</f>
        <v/>
      </c>
      <c r="C190" s="8" t="str">
        <f aca="false">IF($A190="","",IF(D190&gt;0,"Open","Closed"))</f>
        <v/>
      </c>
      <c r="D190" s="8" t="str">
        <f aca="false">IF($A190="","",-SUMIFS(Transactions!$E:$E,Transactions!$D:$D,$A190,Transactions!$B:$B,"Sell call")-SUMIFS(Transactions!$E:$E,Transactions!$D:$D,$A190,Transactions!$B:$B,"Buy to close")-SUMIFS(Transactions!$E:$E,Transactions!$D:$D,$A190,Transactions!$B:$B,"Expired")-SUMIFS(Transactions!$E:$E,Transactions!$D:$D,$A190,Transactions!$B:$B,"Assigned"))</f>
        <v/>
      </c>
      <c r="E190" s="27" t="str">
        <f aca="false">IF($A190="","",IFERROR(SUMIFS(Transactions!$F:$F,Transactions!$D:$D,$A190,Transactions!$B:$B,"Sell call")/COUNTIFS(Transactions!$D:$D,$A190,Transactions!$B:$B,"Sell call"),""))</f>
        <v/>
      </c>
      <c r="F190" s="10" t="str">
        <f aca="false">IF($A190="","",IFERROR(SUMIFS(Transactions!$G:$G,Transactions!$D:$D,$A190,Transactions!$B:$B,"Sell call")/COUNTIFS(Transactions!$D:$D,$A190,Transactions!$B:$B,"Sell call"),""))</f>
        <v/>
      </c>
      <c r="G190" s="8" t="str">
        <f aca="false">IF($A190="","",-SUMIFS(Transactions!$E:$E,Transactions!$D:$D,$A190,Transactions!$B:$B,"Sell call")*100+SUMIFS(Transactions!$E:$E,Transactions!$D:$D,$A190,Transactions!$B:$B,"Sell shares"))</f>
        <v/>
      </c>
      <c r="H190" s="14" t="str">
        <f aca="false">IF($A190="","",IF(SUMIFS(Transactions!$J:$J,Transactions!$D:$D,$A190,Transactions!$B:$B,"Buy shares")&lt;&gt;0,-SUMIFS(Transactions!$J:$J,Transactions!$D:$D,$A190,Transactions!$B:$B,"Buy shares"),IFERROR(INDEX(Lots!$E:$E,MATCH($W190,Lots!$A:$A,0))*-SUMIFS(Transactions!$E:$E,Transactions!$D:$D,$A190,Transactions!$B:$B,"Sell call")*100,0)))</f>
        <v/>
      </c>
      <c r="I190" s="14" t="str">
        <f aca="false">IF($A190="","",SUMIFS(Transactions!$J:$J,Transactions!$D:$D,$A190,Transactions!$B:$B,"Sell call"))</f>
        <v/>
      </c>
      <c r="J190" s="14" t="str">
        <f aca="false">IF($A190="","",-SUMIFS(Transactions!$J:$J,Transactions!$D:$D,$A190,Transactions!$B:$B,"Buy to close"))</f>
        <v/>
      </c>
      <c r="K190" s="23"/>
      <c r="L190" s="23"/>
      <c r="M190" s="23"/>
      <c r="N190" s="21"/>
      <c r="O190" s="28"/>
      <c r="P190" s="14" t="str">
        <f aca="false">IF(OR(C190&lt;&gt;"Open",L190=""),"",L190*100*D190)</f>
        <v/>
      </c>
      <c r="Q190" s="14" t="str">
        <f aca="false">IF(OR(C190&lt;&gt;"Open",P190=""),"",I190-J190-P190)</f>
        <v/>
      </c>
      <c r="R190" s="14" t="str">
        <f aca="false">IF(OR(C190&lt;&gt;"Open",K190=""),"",K190*G190)</f>
        <v/>
      </c>
      <c r="S190" s="14" t="str">
        <f aca="false">IF(OR(R190="",Q190=""),"",R190-H190+Q190)</f>
        <v/>
      </c>
      <c r="T190" s="13" t="str">
        <f aca="false">IF(OR(R190="",Q190="",N(H190)=0),"",(R190+Q190)/H190)</f>
        <v/>
      </c>
      <c r="U190" s="10" t="str">
        <f aca="false">IF(C190&lt;&gt;"Closed","",_xlfn.MAXIFS(Transactions!$A:$A,Transactions!$D:$D,$A190))</f>
        <v/>
      </c>
      <c r="V190" s="14" t="str">
        <f aca="false">IF(C190&lt;&gt;"Closed","",I190-J190)</f>
        <v/>
      </c>
      <c r="W190" s="8" t="str">
        <f aca="false">IF($A190="","",IFERROR(INDEX(Transactions!$O:$O,MATCH($A190,Transactions!$D:$D,0)),""))</f>
        <v/>
      </c>
    </row>
    <row r="191" customFormat="false" ht="15" hidden="false" customHeight="false" outlineLevel="0" collapsed="false">
      <c r="A191" s="21"/>
      <c r="B191" s="8" t="str">
        <f aca="false">IF($A191="","",IFERROR(INDEX(Transactions!$C:$C,MATCH($A191,Transactions!$D:$D,0)),""))</f>
        <v/>
      </c>
      <c r="C191" s="8" t="str">
        <f aca="false">IF($A191="","",IF(D191&gt;0,"Open","Closed"))</f>
        <v/>
      </c>
      <c r="D191" s="8" t="str">
        <f aca="false">IF($A191="","",-SUMIFS(Transactions!$E:$E,Transactions!$D:$D,$A191,Transactions!$B:$B,"Sell call")-SUMIFS(Transactions!$E:$E,Transactions!$D:$D,$A191,Transactions!$B:$B,"Buy to close")-SUMIFS(Transactions!$E:$E,Transactions!$D:$D,$A191,Transactions!$B:$B,"Expired")-SUMIFS(Transactions!$E:$E,Transactions!$D:$D,$A191,Transactions!$B:$B,"Assigned"))</f>
        <v/>
      </c>
      <c r="E191" s="27" t="str">
        <f aca="false">IF($A191="","",IFERROR(SUMIFS(Transactions!$F:$F,Transactions!$D:$D,$A191,Transactions!$B:$B,"Sell call")/COUNTIFS(Transactions!$D:$D,$A191,Transactions!$B:$B,"Sell call"),""))</f>
        <v/>
      </c>
      <c r="F191" s="10" t="str">
        <f aca="false">IF($A191="","",IFERROR(SUMIFS(Transactions!$G:$G,Transactions!$D:$D,$A191,Transactions!$B:$B,"Sell call")/COUNTIFS(Transactions!$D:$D,$A191,Transactions!$B:$B,"Sell call"),""))</f>
        <v/>
      </c>
      <c r="G191" s="8" t="str">
        <f aca="false">IF($A191="","",-SUMIFS(Transactions!$E:$E,Transactions!$D:$D,$A191,Transactions!$B:$B,"Sell call")*100+SUMIFS(Transactions!$E:$E,Transactions!$D:$D,$A191,Transactions!$B:$B,"Sell shares"))</f>
        <v/>
      </c>
      <c r="H191" s="14" t="str">
        <f aca="false">IF($A191="","",IF(SUMIFS(Transactions!$J:$J,Transactions!$D:$D,$A191,Transactions!$B:$B,"Buy shares")&lt;&gt;0,-SUMIFS(Transactions!$J:$J,Transactions!$D:$D,$A191,Transactions!$B:$B,"Buy shares"),IFERROR(INDEX(Lots!$E:$E,MATCH($W191,Lots!$A:$A,0))*-SUMIFS(Transactions!$E:$E,Transactions!$D:$D,$A191,Transactions!$B:$B,"Sell call")*100,0)))</f>
        <v/>
      </c>
      <c r="I191" s="14" t="str">
        <f aca="false">IF($A191="","",SUMIFS(Transactions!$J:$J,Transactions!$D:$D,$A191,Transactions!$B:$B,"Sell call"))</f>
        <v/>
      </c>
      <c r="J191" s="14" t="str">
        <f aca="false">IF($A191="","",-SUMIFS(Transactions!$J:$J,Transactions!$D:$D,$A191,Transactions!$B:$B,"Buy to close"))</f>
        <v/>
      </c>
      <c r="K191" s="23"/>
      <c r="L191" s="23"/>
      <c r="M191" s="23"/>
      <c r="N191" s="21"/>
      <c r="O191" s="28"/>
      <c r="P191" s="14" t="str">
        <f aca="false">IF(OR(C191&lt;&gt;"Open",L191=""),"",L191*100*D191)</f>
        <v/>
      </c>
      <c r="Q191" s="14" t="str">
        <f aca="false">IF(OR(C191&lt;&gt;"Open",P191=""),"",I191-J191-P191)</f>
        <v/>
      </c>
      <c r="R191" s="14" t="str">
        <f aca="false">IF(OR(C191&lt;&gt;"Open",K191=""),"",K191*G191)</f>
        <v/>
      </c>
      <c r="S191" s="14" t="str">
        <f aca="false">IF(OR(R191="",Q191=""),"",R191-H191+Q191)</f>
        <v/>
      </c>
      <c r="T191" s="13" t="str">
        <f aca="false">IF(OR(R191="",Q191="",N(H191)=0),"",(R191+Q191)/H191)</f>
        <v/>
      </c>
      <c r="U191" s="10" t="str">
        <f aca="false">IF(C191&lt;&gt;"Closed","",_xlfn.MAXIFS(Transactions!$A:$A,Transactions!$D:$D,$A191))</f>
        <v/>
      </c>
      <c r="V191" s="14" t="str">
        <f aca="false">IF(C191&lt;&gt;"Closed","",I191-J191)</f>
        <v/>
      </c>
      <c r="W191" s="8" t="str">
        <f aca="false">IF($A191="","",IFERROR(INDEX(Transactions!$O:$O,MATCH($A191,Transactions!$D:$D,0)),""))</f>
        <v/>
      </c>
    </row>
    <row r="192" customFormat="false" ht="15" hidden="false" customHeight="false" outlineLevel="0" collapsed="false">
      <c r="A192" s="21"/>
      <c r="B192" s="8" t="str">
        <f aca="false">IF($A192="","",IFERROR(INDEX(Transactions!$C:$C,MATCH($A192,Transactions!$D:$D,0)),""))</f>
        <v/>
      </c>
      <c r="C192" s="8" t="str">
        <f aca="false">IF($A192="","",IF(D192&gt;0,"Open","Closed"))</f>
        <v/>
      </c>
      <c r="D192" s="8" t="str">
        <f aca="false">IF($A192="","",-SUMIFS(Transactions!$E:$E,Transactions!$D:$D,$A192,Transactions!$B:$B,"Sell call")-SUMIFS(Transactions!$E:$E,Transactions!$D:$D,$A192,Transactions!$B:$B,"Buy to close")-SUMIFS(Transactions!$E:$E,Transactions!$D:$D,$A192,Transactions!$B:$B,"Expired")-SUMIFS(Transactions!$E:$E,Transactions!$D:$D,$A192,Transactions!$B:$B,"Assigned"))</f>
        <v/>
      </c>
      <c r="E192" s="27" t="str">
        <f aca="false">IF($A192="","",IFERROR(SUMIFS(Transactions!$F:$F,Transactions!$D:$D,$A192,Transactions!$B:$B,"Sell call")/COUNTIFS(Transactions!$D:$D,$A192,Transactions!$B:$B,"Sell call"),""))</f>
        <v/>
      </c>
      <c r="F192" s="10" t="str">
        <f aca="false">IF($A192="","",IFERROR(SUMIFS(Transactions!$G:$G,Transactions!$D:$D,$A192,Transactions!$B:$B,"Sell call")/COUNTIFS(Transactions!$D:$D,$A192,Transactions!$B:$B,"Sell call"),""))</f>
        <v/>
      </c>
      <c r="G192" s="8" t="str">
        <f aca="false">IF($A192="","",-SUMIFS(Transactions!$E:$E,Transactions!$D:$D,$A192,Transactions!$B:$B,"Sell call")*100+SUMIFS(Transactions!$E:$E,Transactions!$D:$D,$A192,Transactions!$B:$B,"Sell shares"))</f>
        <v/>
      </c>
      <c r="H192" s="14" t="str">
        <f aca="false">IF($A192="","",IF(SUMIFS(Transactions!$J:$J,Transactions!$D:$D,$A192,Transactions!$B:$B,"Buy shares")&lt;&gt;0,-SUMIFS(Transactions!$J:$J,Transactions!$D:$D,$A192,Transactions!$B:$B,"Buy shares"),IFERROR(INDEX(Lots!$E:$E,MATCH($W192,Lots!$A:$A,0))*-SUMIFS(Transactions!$E:$E,Transactions!$D:$D,$A192,Transactions!$B:$B,"Sell call")*100,0)))</f>
        <v/>
      </c>
      <c r="I192" s="14" t="str">
        <f aca="false">IF($A192="","",SUMIFS(Transactions!$J:$J,Transactions!$D:$D,$A192,Transactions!$B:$B,"Sell call"))</f>
        <v/>
      </c>
      <c r="J192" s="14" t="str">
        <f aca="false">IF($A192="","",-SUMIFS(Transactions!$J:$J,Transactions!$D:$D,$A192,Transactions!$B:$B,"Buy to close"))</f>
        <v/>
      </c>
      <c r="K192" s="23"/>
      <c r="L192" s="23"/>
      <c r="M192" s="23"/>
      <c r="N192" s="21"/>
      <c r="O192" s="28"/>
      <c r="P192" s="14" t="str">
        <f aca="false">IF(OR(C192&lt;&gt;"Open",L192=""),"",L192*100*D192)</f>
        <v/>
      </c>
      <c r="Q192" s="14" t="str">
        <f aca="false">IF(OR(C192&lt;&gt;"Open",P192=""),"",I192-J192-P192)</f>
        <v/>
      </c>
      <c r="R192" s="14" t="str">
        <f aca="false">IF(OR(C192&lt;&gt;"Open",K192=""),"",K192*G192)</f>
        <v/>
      </c>
      <c r="S192" s="14" t="str">
        <f aca="false">IF(OR(R192="",Q192=""),"",R192-H192+Q192)</f>
        <v/>
      </c>
      <c r="T192" s="13" t="str">
        <f aca="false">IF(OR(R192="",Q192="",N(H192)=0),"",(R192+Q192)/H192)</f>
        <v/>
      </c>
      <c r="U192" s="10" t="str">
        <f aca="false">IF(C192&lt;&gt;"Closed","",_xlfn.MAXIFS(Transactions!$A:$A,Transactions!$D:$D,$A192))</f>
        <v/>
      </c>
      <c r="V192" s="14" t="str">
        <f aca="false">IF(C192&lt;&gt;"Closed","",I192-J192)</f>
        <v/>
      </c>
      <c r="W192" s="8" t="str">
        <f aca="false">IF($A192="","",IFERROR(INDEX(Transactions!$O:$O,MATCH($A192,Transactions!$D:$D,0)),""))</f>
        <v/>
      </c>
    </row>
    <row r="193" customFormat="false" ht="15" hidden="false" customHeight="false" outlineLevel="0" collapsed="false">
      <c r="A193" s="21"/>
      <c r="B193" s="8" t="str">
        <f aca="false">IF($A193="","",IFERROR(INDEX(Transactions!$C:$C,MATCH($A193,Transactions!$D:$D,0)),""))</f>
        <v/>
      </c>
      <c r="C193" s="8" t="str">
        <f aca="false">IF($A193="","",IF(D193&gt;0,"Open","Closed"))</f>
        <v/>
      </c>
      <c r="D193" s="8" t="str">
        <f aca="false">IF($A193="","",-SUMIFS(Transactions!$E:$E,Transactions!$D:$D,$A193,Transactions!$B:$B,"Sell call")-SUMIFS(Transactions!$E:$E,Transactions!$D:$D,$A193,Transactions!$B:$B,"Buy to close")-SUMIFS(Transactions!$E:$E,Transactions!$D:$D,$A193,Transactions!$B:$B,"Expired")-SUMIFS(Transactions!$E:$E,Transactions!$D:$D,$A193,Transactions!$B:$B,"Assigned"))</f>
        <v/>
      </c>
      <c r="E193" s="27" t="str">
        <f aca="false">IF($A193="","",IFERROR(SUMIFS(Transactions!$F:$F,Transactions!$D:$D,$A193,Transactions!$B:$B,"Sell call")/COUNTIFS(Transactions!$D:$D,$A193,Transactions!$B:$B,"Sell call"),""))</f>
        <v/>
      </c>
      <c r="F193" s="10" t="str">
        <f aca="false">IF($A193="","",IFERROR(SUMIFS(Transactions!$G:$G,Transactions!$D:$D,$A193,Transactions!$B:$B,"Sell call")/COUNTIFS(Transactions!$D:$D,$A193,Transactions!$B:$B,"Sell call"),""))</f>
        <v/>
      </c>
      <c r="G193" s="8" t="str">
        <f aca="false">IF($A193="","",-SUMIFS(Transactions!$E:$E,Transactions!$D:$D,$A193,Transactions!$B:$B,"Sell call")*100+SUMIFS(Transactions!$E:$E,Transactions!$D:$D,$A193,Transactions!$B:$B,"Sell shares"))</f>
        <v/>
      </c>
      <c r="H193" s="14" t="str">
        <f aca="false">IF($A193="","",IF(SUMIFS(Transactions!$J:$J,Transactions!$D:$D,$A193,Transactions!$B:$B,"Buy shares")&lt;&gt;0,-SUMIFS(Transactions!$J:$J,Transactions!$D:$D,$A193,Transactions!$B:$B,"Buy shares"),IFERROR(INDEX(Lots!$E:$E,MATCH($W193,Lots!$A:$A,0))*-SUMIFS(Transactions!$E:$E,Transactions!$D:$D,$A193,Transactions!$B:$B,"Sell call")*100,0)))</f>
        <v/>
      </c>
      <c r="I193" s="14" t="str">
        <f aca="false">IF($A193="","",SUMIFS(Transactions!$J:$J,Transactions!$D:$D,$A193,Transactions!$B:$B,"Sell call"))</f>
        <v/>
      </c>
      <c r="J193" s="14" t="str">
        <f aca="false">IF($A193="","",-SUMIFS(Transactions!$J:$J,Transactions!$D:$D,$A193,Transactions!$B:$B,"Buy to close"))</f>
        <v/>
      </c>
      <c r="K193" s="23"/>
      <c r="L193" s="23"/>
      <c r="M193" s="23"/>
      <c r="N193" s="21"/>
      <c r="O193" s="28"/>
      <c r="P193" s="14" t="str">
        <f aca="false">IF(OR(C193&lt;&gt;"Open",L193=""),"",L193*100*D193)</f>
        <v/>
      </c>
      <c r="Q193" s="14" t="str">
        <f aca="false">IF(OR(C193&lt;&gt;"Open",P193=""),"",I193-J193-P193)</f>
        <v/>
      </c>
      <c r="R193" s="14" t="str">
        <f aca="false">IF(OR(C193&lt;&gt;"Open",K193=""),"",K193*G193)</f>
        <v/>
      </c>
      <c r="S193" s="14" t="str">
        <f aca="false">IF(OR(R193="",Q193=""),"",R193-H193+Q193)</f>
        <v/>
      </c>
      <c r="T193" s="13" t="str">
        <f aca="false">IF(OR(R193="",Q193="",N(H193)=0),"",(R193+Q193)/H193)</f>
        <v/>
      </c>
      <c r="U193" s="10" t="str">
        <f aca="false">IF(C193&lt;&gt;"Closed","",_xlfn.MAXIFS(Transactions!$A:$A,Transactions!$D:$D,$A193))</f>
        <v/>
      </c>
      <c r="V193" s="14" t="str">
        <f aca="false">IF(C193&lt;&gt;"Closed","",I193-J193)</f>
        <v/>
      </c>
      <c r="W193" s="8" t="str">
        <f aca="false">IF($A193="","",IFERROR(INDEX(Transactions!$O:$O,MATCH($A193,Transactions!$D:$D,0)),""))</f>
        <v/>
      </c>
    </row>
    <row r="194" customFormat="false" ht="15" hidden="false" customHeight="false" outlineLevel="0" collapsed="false">
      <c r="A194" s="21"/>
      <c r="B194" s="8" t="str">
        <f aca="false">IF($A194="","",IFERROR(INDEX(Transactions!$C:$C,MATCH($A194,Transactions!$D:$D,0)),""))</f>
        <v/>
      </c>
      <c r="C194" s="8" t="str">
        <f aca="false">IF($A194="","",IF(D194&gt;0,"Open","Closed"))</f>
        <v/>
      </c>
      <c r="D194" s="8" t="str">
        <f aca="false">IF($A194="","",-SUMIFS(Transactions!$E:$E,Transactions!$D:$D,$A194,Transactions!$B:$B,"Sell call")-SUMIFS(Transactions!$E:$E,Transactions!$D:$D,$A194,Transactions!$B:$B,"Buy to close")-SUMIFS(Transactions!$E:$E,Transactions!$D:$D,$A194,Transactions!$B:$B,"Expired")-SUMIFS(Transactions!$E:$E,Transactions!$D:$D,$A194,Transactions!$B:$B,"Assigned"))</f>
        <v/>
      </c>
      <c r="E194" s="27" t="str">
        <f aca="false">IF($A194="","",IFERROR(SUMIFS(Transactions!$F:$F,Transactions!$D:$D,$A194,Transactions!$B:$B,"Sell call")/COUNTIFS(Transactions!$D:$D,$A194,Transactions!$B:$B,"Sell call"),""))</f>
        <v/>
      </c>
      <c r="F194" s="10" t="str">
        <f aca="false">IF($A194="","",IFERROR(SUMIFS(Transactions!$G:$G,Transactions!$D:$D,$A194,Transactions!$B:$B,"Sell call")/COUNTIFS(Transactions!$D:$D,$A194,Transactions!$B:$B,"Sell call"),""))</f>
        <v/>
      </c>
      <c r="G194" s="8" t="str">
        <f aca="false">IF($A194="","",-SUMIFS(Transactions!$E:$E,Transactions!$D:$D,$A194,Transactions!$B:$B,"Sell call")*100+SUMIFS(Transactions!$E:$E,Transactions!$D:$D,$A194,Transactions!$B:$B,"Sell shares"))</f>
        <v/>
      </c>
      <c r="H194" s="14" t="str">
        <f aca="false">IF($A194="","",IF(SUMIFS(Transactions!$J:$J,Transactions!$D:$D,$A194,Transactions!$B:$B,"Buy shares")&lt;&gt;0,-SUMIFS(Transactions!$J:$J,Transactions!$D:$D,$A194,Transactions!$B:$B,"Buy shares"),IFERROR(INDEX(Lots!$E:$E,MATCH($W194,Lots!$A:$A,0))*-SUMIFS(Transactions!$E:$E,Transactions!$D:$D,$A194,Transactions!$B:$B,"Sell call")*100,0)))</f>
        <v/>
      </c>
      <c r="I194" s="14" t="str">
        <f aca="false">IF($A194="","",SUMIFS(Transactions!$J:$J,Transactions!$D:$D,$A194,Transactions!$B:$B,"Sell call"))</f>
        <v/>
      </c>
      <c r="J194" s="14" t="str">
        <f aca="false">IF($A194="","",-SUMIFS(Transactions!$J:$J,Transactions!$D:$D,$A194,Transactions!$B:$B,"Buy to close"))</f>
        <v/>
      </c>
      <c r="K194" s="23"/>
      <c r="L194" s="23"/>
      <c r="M194" s="23"/>
      <c r="N194" s="21"/>
      <c r="O194" s="28"/>
      <c r="P194" s="14" t="str">
        <f aca="false">IF(OR(C194&lt;&gt;"Open",L194=""),"",L194*100*D194)</f>
        <v/>
      </c>
      <c r="Q194" s="14" t="str">
        <f aca="false">IF(OR(C194&lt;&gt;"Open",P194=""),"",I194-J194-P194)</f>
        <v/>
      </c>
      <c r="R194" s="14" t="str">
        <f aca="false">IF(OR(C194&lt;&gt;"Open",K194=""),"",K194*G194)</f>
        <v/>
      </c>
      <c r="S194" s="14" t="str">
        <f aca="false">IF(OR(R194="",Q194=""),"",R194-H194+Q194)</f>
        <v/>
      </c>
      <c r="T194" s="13" t="str">
        <f aca="false">IF(OR(R194="",Q194="",N(H194)=0),"",(R194+Q194)/H194)</f>
        <v/>
      </c>
      <c r="U194" s="10" t="str">
        <f aca="false">IF(C194&lt;&gt;"Closed","",_xlfn.MAXIFS(Transactions!$A:$A,Transactions!$D:$D,$A194))</f>
        <v/>
      </c>
      <c r="V194" s="14" t="str">
        <f aca="false">IF(C194&lt;&gt;"Closed","",I194-J194)</f>
        <v/>
      </c>
      <c r="W194" s="8" t="str">
        <f aca="false">IF($A194="","",IFERROR(INDEX(Transactions!$O:$O,MATCH($A194,Transactions!$D:$D,0)),""))</f>
        <v/>
      </c>
    </row>
    <row r="195" customFormat="false" ht="15" hidden="false" customHeight="false" outlineLevel="0" collapsed="false">
      <c r="A195" s="21"/>
      <c r="B195" s="8" t="str">
        <f aca="false">IF($A195="","",IFERROR(INDEX(Transactions!$C:$C,MATCH($A195,Transactions!$D:$D,0)),""))</f>
        <v/>
      </c>
      <c r="C195" s="8" t="str">
        <f aca="false">IF($A195="","",IF(D195&gt;0,"Open","Closed"))</f>
        <v/>
      </c>
      <c r="D195" s="8" t="str">
        <f aca="false">IF($A195="","",-SUMIFS(Transactions!$E:$E,Transactions!$D:$D,$A195,Transactions!$B:$B,"Sell call")-SUMIFS(Transactions!$E:$E,Transactions!$D:$D,$A195,Transactions!$B:$B,"Buy to close")-SUMIFS(Transactions!$E:$E,Transactions!$D:$D,$A195,Transactions!$B:$B,"Expired")-SUMIFS(Transactions!$E:$E,Transactions!$D:$D,$A195,Transactions!$B:$B,"Assigned"))</f>
        <v/>
      </c>
      <c r="E195" s="27" t="str">
        <f aca="false">IF($A195="","",IFERROR(SUMIFS(Transactions!$F:$F,Transactions!$D:$D,$A195,Transactions!$B:$B,"Sell call")/COUNTIFS(Transactions!$D:$D,$A195,Transactions!$B:$B,"Sell call"),""))</f>
        <v/>
      </c>
      <c r="F195" s="10" t="str">
        <f aca="false">IF($A195="","",IFERROR(SUMIFS(Transactions!$G:$G,Transactions!$D:$D,$A195,Transactions!$B:$B,"Sell call")/COUNTIFS(Transactions!$D:$D,$A195,Transactions!$B:$B,"Sell call"),""))</f>
        <v/>
      </c>
      <c r="G195" s="8" t="str">
        <f aca="false">IF($A195="","",-SUMIFS(Transactions!$E:$E,Transactions!$D:$D,$A195,Transactions!$B:$B,"Sell call")*100+SUMIFS(Transactions!$E:$E,Transactions!$D:$D,$A195,Transactions!$B:$B,"Sell shares"))</f>
        <v/>
      </c>
      <c r="H195" s="14" t="str">
        <f aca="false">IF($A195="","",IF(SUMIFS(Transactions!$J:$J,Transactions!$D:$D,$A195,Transactions!$B:$B,"Buy shares")&lt;&gt;0,-SUMIFS(Transactions!$J:$J,Transactions!$D:$D,$A195,Transactions!$B:$B,"Buy shares"),IFERROR(INDEX(Lots!$E:$E,MATCH($W195,Lots!$A:$A,0))*-SUMIFS(Transactions!$E:$E,Transactions!$D:$D,$A195,Transactions!$B:$B,"Sell call")*100,0)))</f>
        <v/>
      </c>
      <c r="I195" s="14" t="str">
        <f aca="false">IF($A195="","",SUMIFS(Transactions!$J:$J,Transactions!$D:$D,$A195,Transactions!$B:$B,"Sell call"))</f>
        <v/>
      </c>
      <c r="J195" s="14" t="str">
        <f aca="false">IF($A195="","",-SUMIFS(Transactions!$J:$J,Transactions!$D:$D,$A195,Transactions!$B:$B,"Buy to close"))</f>
        <v/>
      </c>
      <c r="K195" s="23"/>
      <c r="L195" s="23"/>
      <c r="M195" s="23"/>
      <c r="N195" s="21"/>
      <c r="O195" s="28"/>
      <c r="P195" s="14" t="str">
        <f aca="false">IF(OR(C195&lt;&gt;"Open",L195=""),"",L195*100*D195)</f>
        <v/>
      </c>
      <c r="Q195" s="14" t="str">
        <f aca="false">IF(OR(C195&lt;&gt;"Open",P195=""),"",I195-J195-P195)</f>
        <v/>
      </c>
      <c r="R195" s="14" t="str">
        <f aca="false">IF(OR(C195&lt;&gt;"Open",K195=""),"",K195*G195)</f>
        <v/>
      </c>
      <c r="S195" s="14" t="str">
        <f aca="false">IF(OR(R195="",Q195=""),"",R195-H195+Q195)</f>
        <v/>
      </c>
      <c r="T195" s="13" t="str">
        <f aca="false">IF(OR(R195="",Q195="",N(H195)=0),"",(R195+Q195)/H195)</f>
        <v/>
      </c>
      <c r="U195" s="10" t="str">
        <f aca="false">IF(C195&lt;&gt;"Closed","",_xlfn.MAXIFS(Transactions!$A:$A,Transactions!$D:$D,$A195))</f>
        <v/>
      </c>
      <c r="V195" s="14" t="str">
        <f aca="false">IF(C195&lt;&gt;"Closed","",I195-J195)</f>
        <v/>
      </c>
      <c r="W195" s="8" t="str">
        <f aca="false">IF($A195="","",IFERROR(INDEX(Transactions!$O:$O,MATCH($A195,Transactions!$D:$D,0)),""))</f>
        <v/>
      </c>
    </row>
    <row r="196" customFormat="false" ht="15" hidden="false" customHeight="false" outlineLevel="0" collapsed="false">
      <c r="A196" s="21"/>
      <c r="B196" s="8" t="str">
        <f aca="false">IF($A196="","",IFERROR(INDEX(Transactions!$C:$C,MATCH($A196,Transactions!$D:$D,0)),""))</f>
        <v/>
      </c>
      <c r="C196" s="8" t="str">
        <f aca="false">IF($A196="","",IF(D196&gt;0,"Open","Closed"))</f>
        <v/>
      </c>
      <c r="D196" s="8" t="str">
        <f aca="false">IF($A196="","",-SUMIFS(Transactions!$E:$E,Transactions!$D:$D,$A196,Transactions!$B:$B,"Sell call")-SUMIFS(Transactions!$E:$E,Transactions!$D:$D,$A196,Transactions!$B:$B,"Buy to close")-SUMIFS(Transactions!$E:$E,Transactions!$D:$D,$A196,Transactions!$B:$B,"Expired")-SUMIFS(Transactions!$E:$E,Transactions!$D:$D,$A196,Transactions!$B:$B,"Assigned"))</f>
        <v/>
      </c>
      <c r="E196" s="27" t="str">
        <f aca="false">IF($A196="","",IFERROR(SUMIFS(Transactions!$F:$F,Transactions!$D:$D,$A196,Transactions!$B:$B,"Sell call")/COUNTIFS(Transactions!$D:$D,$A196,Transactions!$B:$B,"Sell call"),""))</f>
        <v/>
      </c>
      <c r="F196" s="10" t="str">
        <f aca="false">IF($A196="","",IFERROR(SUMIFS(Transactions!$G:$G,Transactions!$D:$D,$A196,Transactions!$B:$B,"Sell call")/COUNTIFS(Transactions!$D:$D,$A196,Transactions!$B:$B,"Sell call"),""))</f>
        <v/>
      </c>
      <c r="G196" s="8" t="str">
        <f aca="false">IF($A196="","",-SUMIFS(Transactions!$E:$E,Transactions!$D:$D,$A196,Transactions!$B:$B,"Sell call")*100+SUMIFS(Transactions!$E:$E,Transactions!$D:$D,$A196,Transactions!$B:$B,"Sell shares"))</f>
        <v/>
      </c>
      <c r="H196" s="14" t="str">
        <f aca="false">IF($A196="","",IF(SUMIFS(Transactions!$J:$J,Transactions!$D:$D,$A196,Transactions!$B:$B,"Buy shares")&lt;&gt;0,-SUMIFS(Transactions!$J:$J,Transactions!$D:$D,$A196,Transactions!$B:$B,"Buy shares"),IFERROR(INDEX(Lots!$E:$E,MATCH($W196,Lots!$A:$A,0))*-SUMIFS(Transactions!$E:$E,Transactions!$D:$D,$A196,Transactions!$B:$B,"Sell call")*100,0)))</f>
        <v/>
      </c>
      <c r="I196" s="14" t="str">
        <f aca="false">IF($A196="","",SUMIFS(Transactions!$J:$J,Transactions!$D:$D,$A196,Transactions!$B:$B,"Sell call"))</f>
        <v/>
      </c>
      <c r="J196" s="14" t="str">
        <f aca="false">IF($A196="","",-SUMIFS(Transactions!$J:$J,Transactions!$D:$D,$A196,Transactions!$B:$B,"Buy to close"))</f>
        <v/>
      </c>
      <c r="K196" s="23"/>
      <c r="L196" s="23"/>
      <c r="M196" s="23"/>
      <c r="N196" s="21"/>
      <c r="O196" s="28"/>
      <c r="P196" s="14" t="str">
        <f aca="false">IF(OR(C196&lt;&gt;"Open",L196=""),"",L196*100*D196)</f>
        <v/>
      </c>
      <c r="Q196" s="14" t="str">
        <f aca="false">IF(OR(C196&lt;&gt;"Open",P196=""),"",I196-J196-P196)</f>
        <v/>
      </c>
      <c r="R196" s="14" t="str">
        <f aca="false">IF(OR(C196&lt;&gt;"Open",K196=""),"",K196*G196)</f>
        <v/>
      </c>
      <c r="S196" s="14" t="str">
        <f aca="false">IF(OR(R196="",Q196=""),"",R196-H196+Q196)</f>
        <v/>
      </c>
      <c r="T196" s="13" t="str">
        <f aca="false">IF(OR(R196="",Q196="",N(H196)=0),"",(R196+Q196)/H196)</f>
        <v/>
      </c>
      <c r="U196" s="10" t="str">
        <f aca="false">IF(C196&lt;&gt;"Closed","",_xlfn.MAXIFS(Transactions!$A:$A,Transactions!$D:$D,$A196))</f>
        <v/>
      </c>
      <c r="V196" s="14" t="str">
        <f aca="false">IF(C196&lt;&gt;"Closed","",I196-J196)</f>
        <v/>
      </c>
      <c r="W196" s="8" t="str">
        <f aca="false">IF($A196="","",IFERROR(INDEX(Transactions!$O:$O,MATCH($A196,Transactions!$D:$D,0)),""))</f>
        <v/>
      </c>
    </row>
    <row r="197" customFormat="false" ht="15" hidden="false" customHeight="false" outlineLevel="0" collapsed="false">
      <c r="A197" s="21"/>
      <c r="B197" s="8" t="str">
        <f aca="false">IF($A197="","",IFERROR(INDEX(Transactions!$C:$C,MATCH($A197,Transactions!$D:$D,0)),""))</f>
        <v/>
      </c>
      <c r="C197" s="8" t="str">
        <f aca="false">IF($A197="","",IF(D197&gt;0,"Open","Closed"))</f>
        <v/>
      </c>
      <c r="D197" s="8" t="str">
        <f aca="false">IF($A197="","",-SUMIFS(Transactions!$E:$E,Transactions!$D:$D,$A197,Transactions!$B:$B,"Sell call")-SUMIFS(Transactions!$E:$E,Transactions!$D:$D,$A197,Transactions!$B:$B,"Buy to close")-SUMIFS(Transactions!$E:$E,Transactions!$D:$D,$A197,Transactions!$B:$B,"Expired")-SUMIFS(Transactions!$E:$E,Transactions!$D:$D,$A197,Transactions!$B:$B,"Assigned"))</f>
        <v/>
      </c>
      <c r="E197" s="27" t="str">
        <f aca="false">IF($A197="","",IFERROR(SUMIFS(Transactions!$F:$F,Transactions!$D:$D,$A197,Transactions!$B:$B,"Sell call")/COUNTIFS(Transactions!$D:$D,$A197,Transactions!$B:$B,"Sell call"),""))</f>
        <v/>
      </c>
      <c r="F197" s="10" t="str">
        <f aca="false">IF($A197="","",IFERROR(SUMIFS(Transactions!$G:$G,Transactions!$D:$D,$A197,Transactions!$B:$B,"Sell call")/COUNTIFS(Transactions!$D:$D,$A197,Transactions!$B:$B,"Sell call"),""))</f>
        <v/>
      </c>
      <c r="G197" s="8" t="str">
        <f aca="false">IF($A197="","",-SUMIFS(Transactions!$E:$E,Transactions!$D:$D,$A197,Transactions!$B:$B,"Sell call")*100+SUMIFS(Transactions!$E:$E,Transactions!$D:$D,$A197,Transactions!$B:$B,"Sell shares"))</f>
        <v/>
      </c>
      <c r="H197" s="14" t="str">
        <f aca="false">IF($A197="","",IF(SUMIFS(Transactions!$J:$J,Transactions!$D:$D,$A197,Transactions!$B:$B,"Buy shares")&lt;&gt;0,-SUMIFS(Transactions!$J:$J,Transactions!$D:$D,$A197,Transactions!$B:$B,"Buy shares"),IFERROR(INDEX(Lots!$E:$E,MATCH($W197,Lots!$A:$A,0))*-SUMIFS(Transactions!$E:$E,Transactions!$D:$D,$A197,Transactions!$B:$B,"Sell call")*100,0)))</f>
        <v/>
      </c>
      <c r="I197" s="14" t="str">
        <f aca="false">IF($A197="","",SUMIFS(Transactions!$J:$J,Transactions!$D:$D,$A197,Transactions!$B:$B,"Sell call"))</f>
        <v/>
      </c>
      <c r="J197" s="14" t="str">
        <f aca="false">IF($A197="","",-SUMIFS(Transactions!$J:$J,Transactions!$D:$D,$A197,Transactions!$B:$B,"Buy to close"))</f>
        <v/>
      </c>
      <c r="K197" s="23"/>
      <c r="L197" s="23"/>
      <c r="M197" s="23"/>
      <c r="N197" s="21"/>
      <c r="O197" s="28"/>
      <c r="P197" s="14" t="str">
        <f aca="false">IF(OR(C197&lt;&gt;"Open",L197=""),"",L197*100*D197)</f>
        <v/>
      </c>
      <c r="Q197" s="14" t="str">
        <f aca="false">IF(OR(C197&lt;&gt;"Open",P197=""),"",I197-J197-P197)</f>
        <v/>
      </c>
      <c r="R197" s="14" t="str">
        <f aca="false">IF(OR(C197&lt;&gt;"Open",K197=""),"",K197*G197)</f>
        <v/>
      </c>
      <c r="S197" s="14" t="str">
        <f aca="false">IF(OR(R197="",Q197=""),"",R197-H197+Q197)</f>
        <v/>
      </c>
      <c r="T197" s="13" t="str">
        <f aca="false">IF(OR(R197="",Q197="",N(H197)=0),"",(R197+Q197)/H197)</f>
        <v/>
      </c>
      <c r="U197" s="10" t="str">
        <f aca="false">IF(C197&lt;&gt;"Closed","",_xlfn.MAXIFS(Transactions!$A:$A,Transactions!$D:$D,$A197))</f>
        <v/>
      </c>
      <c r="V197" s="14" t="str">
        <f aca="false">IF(C197&lt;&gt;"Closed","",I197-J197)</f>
        <v/>
      </c>
      <c r="W197" s="8" t="str">
        <f aca="false">IF($A197="","",IFERROR(INDEX(Transactions!$O:$O,MATCH($A197,Transactions!$D:$D,0)),""))</f>
        <v/>
      </c>
    </row>
    <row r="198" customFormat="false" ht="15" hidden="false" customHeight="false" outlineLevel="0" collapsed="false">
      <c r="A198" s="21"/>
      <c r="B198" s="8" t="str">
        <f aca="false">IF($A198="","",IFERROR(INDEX(Transactions!$C:$C,MATCH($A198,Transactions!$D:$D,0)),""))</f>
        <v/>
      </c>
      <c r="C198" s="8" t="str">
        <f aca="false">IF($A198="","",IF(D198&gt;0,"Open","Closed"))</f>
        <v/>
      </c>
      <c r="D198" s="8" t="str">
        <f aca="false">IF($A198="","",-SUMIFS(Transactions!$E:$E,Transactions!$D:$D,$A198,Transactions!$B:$B,"Sell call")-SUMIFS(Transactions!$E:$E,Transactions!$D:$D,$A198,Transactions!$B:$B,"Buy to close")-SUMIFS(Transactions!$E:$E,Transactions!$D:$D,$A198,Transactions!$B:$B,"Expired")-SUMIFS(Transactions!$E:$E,Transactions!$D:$D,$A198,Transactions!$B:$B,"Assigned"))</f>
        <v/>
      </c>
      <c r="E198" s="27" t="str">
        <f aca="false">IF($A198="","",IFERROR(SUMIFS(Transactions!$F:$F,Transactions!$D:$D,$A198,Transactions!$B:$B,"Sell call")/COUNTIFS(Transactions!$D:$D,$A198,Transactions!$B:$B,"Sell call"),""))</f>
        <v/>
      </c>
      <c r="F198" s="10" t="str">
        <f aca="false">IF($A198="","",IFERROR(SUMIFS(Transactions!$G:$G,Transactions!$D:$D,$A198,Transactions!$B:$B,"Sell call")/COUNTIFS(Transactions!$D:$D,$A198,Transactions!$B:$B,"Sell call"),""))</f>
        <v/>
      </c>
      <c r="G198" s="8" t="str">
        <f aca="false">IF($A198="","",-SUMIFS(Transactions!$E:$E,Transactions!$D:$D,$A198,Transactions!$B:$B,"Sell call")*100+SUMIFS(Transactions!$E:$E,Transactions!$D:$D,$A198,Transactions!$B:$B,"Sell shares"))</f>
        <v/>
      </c>
      <c r="H198" s="14" t="str">
        <f aca="false">IF($A198="","",IF(SUMIFS(Transactions!$J:$J,Transactions!$D:$D,$A198,Transactions!$B:$B,"Buy shares")&lt;&gt;0,-SUMIFS(Transactions!$J:$J,Transactions!$D:$D,$A198,Transactions!$B:$B,"Buy shares"),IFERROR(INDEX(Lots!$E:$E,MATCH($W198,Lots!$A:$A,0))*-SUMIFS(Transactions!$E:$E,Transactions!$D:$D,$A198,Transactions!$B:$B,"Sell call")*100,0)))</f>
        <v/>
      </c>
      <c r="I198" s="14" t="str">
        <f aca="false">IF($A198="","",SUMIFS(Transactions!$J:$J,Transactions!$D:$D,$A198,Transactions!$B:$B,"Sell call"))</f>
        <v/>
      </c>
      <c r="J198" s="14" t="str">
        <f aca="false">IF($A198="","",-SUMIFS(Transactions!$J:$J,Transactions!$D:$D,$A198,Transactions!$B:$B,"Buy to close"))</f>
        <v/>
      </c>
      <c r="K198" s="23"/>
      <c r="L198" s="23"/>
      <c r="M198" s="23"/>
      <c r="N198" s="21"/>
      <c r="O198" s="28"/>
      <c r="P198" s="14" t="str">
        <f aca="false">IF(OR(C198&lt;&gt;"Open",L198=""),"",L198*100*D198)</f>
        <v/>
      </c>
      <c r="Q198" s="14" t="str">
        <f aca="false">IF(OR(C198&lt;&gt;"Open",P198=""),"",I198-J198-P198)</f>
        <v/>
      </c>
      <c r="R198" s="14" t="str">
        <f aca="false">IF(OR(C198&lt;&gt;"Open",K198=""),"",K198*G198)</f>
        <v/>
      </c>
      <c r="S198" s="14" t="str">
        <f aca="false">IF(OR(R198="",Q198=""),"",R198-H198+Q198)</f>
        <v/>
      </c>
      <c r="T198" s="13" t="str">
        <f aca="false">IF(OR(R198="",Q198="",N(H198)=0),"",(R198+Q198)/H198)</f>
        <v/>
      </c>
      <c r="U198" s="10" t="str">
        <f aca="false">IF(C198&lt;&gt;"Closed","",_xlfn.MAXIFS(Transactions!$A:$A,Transactions!$D:$D,$A198))</f>
        <v/>
      </c>
      <c r="V198" s="14" t="str">
        <f aca="false">IF(C198&lt;&gt;"Closed","",I198-J198)</f>
        <v/>
      </c>
      <c r="W198" s="8" t="str">
        <f aca="false">IF($A198="","",IFERROR(INDEX(Transactions!$O:$O,MATCH($A198,Transactions!$D:$D,0)),""))</f>
        <v/>
      </c>
    </row>
    <row r="199" customFormat="false" ht="15" hidden="false" customHeight="false" outlineLevel="0" collapsed="false">
      <c r="A199" s="21"/>
      <c r="B199" s="8" t="str">
        <f aca="false">IF($A199="","",IFERROR(INDEX(Transactions!$C:$C,MATCH($A199,Transactions!$D:$D,0)),""))</f>
        <v/>
      </c>
      <c r="C199" s="8" t="str">
        <f aca="false">IF($A199="","",IF(D199&gt;0,"Open","Closed"))</f>
        <v/>
      </c>
      <c r="D199" s="8" t="str">
        <f aca="false">IF($A199="","",-SUMIFS(Transactions!$E:$E,Transactions!$D:$D,$A199,Transactions!$B:$B,"Sell call")-SUMIFS(Transactions!$E:$E,Transactions!$D:$D,$A199,Transactions!$B:$B,"Buy to close")-SUMIFS(Transactions!$E:$E,Transactions!$D:$D,$A199,Transactions!$B:$B,"Expired")-SUMIFS(Transactions!$E:$E,Transactions!$D:$D,$A199,Transactions!$B:$B,"Assigned"))</f>
        <v/>
      </c>
      <c r="E199" s="27" t="str">
        <f aca="false">IF($A199="","",IFERROR(SUMIFS(Transactions!$F:$F,Transactions!$D:$D,$A199,Transactions!$B:$B,"Sell call")/COUNTIFS(Transactions!$D:$D,$A199,Transactions!$B:$B,"Sell call"),""))</f>
        <v/>
      </c>
      <c r="F199" s="10" t="str">
        <f aca="false">IF($A199="","",IFERROR(SUMIFS(Transactions!$G:$G,Transactions!$D:$D,$A199,Transactions!$B:$B,"Sell call")/COUNTIFS(Transactions!$D:$D,$A199,Transactions!$B:$B,"Sell call"),""))</f>
        <v/>
      </c>
      <c r="G199" s="8" t="str">
        <f aca="false">IF($A199="","",-SUMIFS(Transactions!$E:$E,Transactions!$D:$D,$A199,Transactions!$B:$B,"Sell call")*100+SUMIFS(Transactions!$E:$E,Transactions!$D:$D,$A199,Transactions!$B:$B,"Sell shares"))</f>
        <v/>
      </c>
      <c r="H199" s="14" t="str">
        <f aca="false">IF($A199="","",IF(SUMIFS(Transactions!$J:$J,Transactions!$D:$D,$A199,Transactions!$B:$B,"Buy shares")&lt;&gt;0,-SUMIFS(Transactions!$J:$J,Transactions!$D:$D,$A199,Transactions!$B:$B,"Buy shares"),IFERROR(INDEX(Lots!$E:$E,MATCH($W199,Lots!$A:$A,0))*-SUMIFS(Transactions!$E:$E,Transactions!$D:$D,$A199,Transactions!$B:$B,"Sell call")*100,0)))</f>
        <v/>
      </c>
      <c r="I199" s="14" t="str">
        <f aca="false">IF($A199="","",SUMIFS(Transactions!$J:$J,Transactions!$D:$D,$A199,Transactions!$B:$B,"Sell call"))</f>
        <v/>
      </c>
      <c r="J199" s="14" t="str">
        <f aca="false">IF($A199="","",-SUMIFS(Transactions!$J:$J,Transactions!$D:$D,$A199,Transactions!$B:$B,"Buy to close"))</f>
        <v/>
      </c>
      <c r="K199" s="23"/>
      <c r="L199" s="23"/>
      <c r="M199" s="23"/>
      <c r="N199" s="21"/>
      <c r="O199" s="28"/>
      <c r="P199" s="14" t="str">
        <f aca="false">IF(OR(C199&lt;&gt;"Open",L199=""),"",L199*100*D199)</f>
        <v/>
      </c>
      <c r="Q199" s="14" t="str">
        <f aca="false">IF(OR(C199&lt;&gt;"Open",P199=""),"",I199-J199-P199)</f>
        <v/>
      </c>
      <c r="R199" s="14" t="str">
        <f aca="false">IF(OR(C199&lt;&gt;"Open",K199=""),"",K199*G199)</f>
        <v/>
      </c>
      <c r="S199" s="14" t="str">
        <f aca="false">IF(OR(R199="",Q199=""),"",R199-H199+Q199)</f>
        <v/>
      </c>
      <c r="T199" s="13" t="str">
        <f aca="false">IF(OR(R199="",Q199="",N(H199)=0),"",(R199+Q199)/H199)</f>
        <v/>
      </c>
      <c r="U199" s="10" t="str">
        <f aca="false">IF(C199&lt;&gt;"Closed","",_xlfn.MAXIFS(Transactions!$A:$A,Transactions!$D:$D,$A199))</f>
        <v/>
      </c>
      <c r="V199" s="14" t="str">
        <f aca="false">IF(C199&lt;&gt;"Closed","",I199-J199)</f>
        <v/>
      </c>
      <c r="W199" s="8" t="str">
        <f aca="false">IF($A199="","",IFERROR(INDEX(Transactions!$O:$O,MATCH($A199,Transactions!$D:$D,0)),""))</f>
        <v/>
      </c>
    </row>
    <row r="200" customFormat="false" ht="15" hidden="false" customHeight="false" outlineLevel="0" collapsed="false">
      <c r="A200" s="21"/>
      <c r="B200" s="8" t="str">
        <f aca="false">IF($A200="","",IFERROR(INDEX(Transactions!$C:$C,MATCH($A200,Transactions!$D:$D,0)),""))</f>
        <v/>
      </c>
      <c r="C200" s="8" t="str">
        <f aca="false">IF($A200="","",IF(D200&gt;0,"Open","Closed"))</f>
        <v/>
      </c>
      <c r="D200" s="8" t="str">
        <f aca="false">IF($A200="","",-SUMIFS(Transactions!$E:$E,Transactions!$D:$D,$A200,Transactions!$B:$B,"Sell call")-SUMIFS(Transactions!$E:$E,Transactions!$D:$D,$A200,Transactions!$B:$B,"Buy to close")-SUMIFS(Transactions!$E:$E,Transactions!$D:$D,$A200,Transactions!$B:$B,"Expired")-SUMIFS(Transactions!$E:$E,Transactions!$D:$D,$A200,Transactions!$B:$B,"Assigned"))</f>
        <v/>
      </c>
      <c r="E200" s="27" t="str">
        <f aca="false">IF($A200="","",IFERROR(SUMIFS(Transactions!$F:$F,Transactions!$D:$D,$A200,Transactions!$B:$B,"Sell call")/COUNTIFS(Transactions!$D:$D,$A200,Transactions!$B:$B,"Sell call"),""))</f>
        <v/>
      </c>
      <c r="F200" s="10" t="str">
        <f aca="false">IF($A200="","",IFERROR(SUMIFS(Transactions!$G:$G,Transactions!$D:$D,$A200,Transactions!$B:$B,"Sell call")/COUNTIFS(Transactions!$D:$D,$A200,Transactions!$B:$B,"Sell call"),""))</f>
        <v/>
      </c>
      <c r="G200" s="8" t="str">
        <f aca="false">IF($A200="","",-SUMIFS(Transactions!$E:$E,Transactions!$D:$D,$A200,Transactions!$B:$B,"Sell call")*100+SUMIFS(Transactions!$E:$E,Transactions!$D:$D,$A200,Transactions!$B:$B,"Sell shares"))</f>
        <v/>
      </c>
      <c r="H200" s="14" t="str">
        <f aca="false">IF($A200="","",IF(SUMIFS(Transactions!$J:$J,Transactions!$D:$D,$A200,Transactions!$B:$B,"Buy shares")&lt;&gt;0,-SUMIFS(Transactions!$J:$J,Transactions!$D:$D,$A200,Transactions!$B:$B,"Buy shares"),IFERROR(INDEX(Lots!$E:$E,MATCH($W200,Lots!$A:$A,0))*-SUMIFS(Transactions!$E:$E,Transactions!$D:$D,$A200,Transactions!$B:$B,"Sell call")*100,0)))</f>
        <v/>
      </c>
      <c r="I200" s="14" t="str">
        <f aca="false">IF($A200="","",SUMIFS(Transactions!$J:$J,Transactions!$D:$D,$A200,Transactions!$B:$B,"Sell call"))</f>
        <v/>
      </c>
      <c r="J200" s="14" t="str">
        <f aca="false">IF($A200="","",-SUMIFS(Transactions!$J:$J,Transactions!$D:$D,$A200,Transactions!$B:$B,"Buy to close"))</f>
        <v/>
      </c>
      <c r="K200" s="23"/>
      <c r="L200" s="23"/>
      <c r="M200" s="23"/>
      <c r="N200" s="21"/>
      <c r="O200" s="28"/>
      <c r="P200" s="14" t="str">
        <f aca="false">IF(OR(C200&lt;&gt;"Open",L200=""),"",L200*100*D200)</f>
        <v/>
      </c>
      <c r="Q200" s="14" t="str">
        <f aca="false">IF(OR(C200&lt;&gt;"Open",P200=""),"",I200-J200-P200)</f>
        <v/>
      </c>
      <c r="R200" s="14" t="str">
        <f aca="false">IF(OR(C200&lt;&gt;"Open",K200=""),"",K200*G200)</f>
        <v/>
      </c>
      <c r="S200" s="14" t="str">
        <f aca="false">IF(OR(R200="",Q200=""),"",R200-H200+Q200)</f>
        <v/>
      </c>
      <c r="T200" s="13" t="str">
        <f aca="false">IF(OR(R200="",Q200="",N(H200)=0),"",(R200+Q200)/H200)</f>
        <v/>
      </c>
      <c r="U200" s="10" t="str">
        <f aca="false">IF(C200&lt;&gt;"Closed","",_xlfn.MAXIFS(Transactions!$A:$A,Transactions!$D:$D,$A200))</f>
        <v/>
      </c>
      <c r="V200" s="14" t="str">
        <f aca="false">IF(C200&lt;&gt;"Closed","",I200-J200)</f>
        <v/>
      </c>
      <c r="W200" s="8" t="str">
        <f aca="false">IF($A200="","",IFERROR(INDEX(Transactions!$O:$O,MATCH($A200,Transactions!$D:$D,0)),""))</f>
        <v/>
      </c>
    </row>
  </sheetData>
  <conditionalFormatting sqref="N2:N200">
    <cfRule type="expression" priority="2" aboveAverage="0" equalAverage="0" bottom="0" percent="0" rank="0" text="" dxfId="5">
      <formula>$N2="Green"</formula>
    </cfRule>
    <cfRule type="expression" priority="3" aboveAverage="0" equalAverage="0" bottom="0" percent="0" rank="0" text="" dxfId="1">
      <formula>$N2="Yellow"</formula>
    </cfRule>
    <cfRule type="expression" priority="4" aboveAverage="0" equalAverage="0" bottom="0" percent="0" rank="0" text="" dxfId="3">
      <formula>$N2="Red"</formula>
    </cfRule>
  </conditionalFormatting>
  <conditionalFormatting sqref="C2:C200">
    <cfRule type="expression" priority="5" aboveAverage="0" equalAverage="0" bottom="0" percent="0" rank="0" text="" dxfId="6">
      <formula>$C2="Closed"</formula>
    </cfRule>
  </conditionalFormatting>
  <dataValidations count="1">
    <dataValidation allowBlank="true" errorStyle="stop" operator="between" showDropDown="false" showErrorMessage="false" showInputMessage="false" sqref="N2:N200" type="list">
      <formula1>"Green,Yellow,Red"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6"/>
    <col collapsed="false" customWidth="true" hidden="false" outlineLevel="0" max="3" min="3" style="0" width="9"/>
    <col collapsed="false" customWidth="true" hidden="false" outlineLevel="0" max="4" min="4" style="0" width="30"/>
    <col collapsed="false" customWidth="true" hidden="false" outlineLevel="0" max="6" min="5" style="0" width="9"/>
    <col collapsed="false" customWidth="true" hidden="false" outlineLevel="0" max="7" min="7" style="0" width="11"/>
    <col collapsed="false" customWidth="true" hidden="false" outlineLevel="0" max="9" min="8" style="0" width="12"/>
    <col collapsed="false" customWidth="true" hidden="false" outlineLevel="0" max="10" min="10" style="0" width="18"/>
    <col collapsed="false" customWidth="true" hidden="false" outlineLevel="0" max="11" min="11" style="0" width="2"/>
    <col collapsed="false" customWidth="true" hidden="false" outlineLevel="0" max="12" min="12" style="0" width="70"/>
  </cols>
  <sheetData>
    <row r="1" customFormat="false" ht="15" hidden="false" customHeight="false" outlineLevel="0" collapsed="false">
      <c r="A1" s="19" t="s">
        <v>88</v>
      </c>
      <c r="B1" s="19" t="s">
        <v>89</v>
      </c>
      <c r="C1" s="19" t="s">
        <v>90</v>
      </c>
      <c r="D1" s="19" t="s">
        <v>146</v>
      </c>
      <c r="E1" s="19" t="s">
        <v>147</v>
      </c>
      <c r="F1" s="19" t="s">
        <v>95</v>
      </c>
      <c r="G1" s="19" t="s">
        <v>148</v>
      </c>
      <c r="H1" s="19" t="s">
        <v>149</v>
      </c>
      <c r="I1" s="19" t="s">
        <v>150</v>
      </c>
      <c r="J1" s="19" t="s">
        <v>151</v>
      </c>
      <c r="L1" s="2" t="s">
        <v>152</v>
      </c>
    </row>
    <row r="2" customFormat="false" ht="15" hidden="false" customHeight="false" outlineLevel="0" collapsed="false">
      <c r="A2" s="21"/>
      <c r="B2" s="21"/>
      <c r="C2" s="21"/>
      <c r="D2" s="21"/>
      <c r="E2" s="21"/>
      <c r="F2" s="21"/>
      <c r="G2" s="21"/>
      <c r="H2" s="24"/>
      <c r="I2" s="10" t="str">
        <f aca="false">IF(A2="","",IFERROR(DATEVALUE(LEFT(A2,10)),A2))</f>
        <v/>
      </c>
      <c r="J2" s="8" t="str">
        <f aca="false">IF(H2="","",IF(COUNTIFS(Transactions!$A:$A,I2,Transactions!$J:$J,"&gt;="&amp;(H2-0.01),Transactions!$J:$J,"&lt;="&amp;(H2+0.01))&gt;0,"Matched","Missing from ledger"))</f>
        <v/>
      </c>
      <c r="L2" s="4" t="s">
        <v>153</v>
      </c>
    </row>
    <row r="3" customFormat="false" ht="15" hidden="false" customHeight="false" outlineLevel="0" collapsed="false">
      <c r="A3" s="21"/>
      <c r="B3" s="21"/>
      <c r="C3" s="21"/>
      <c r="D3" s="21"/>
      <c r="E3" s="21"/>
      <c r="F3" s="21"/>
      <c r="G3" s="21"/>
      <c r="H3" s="24"/>
      <c r="I3" s="10" t="str">
        <f aca="false">IF(A3="","",IFERROR(DATEVALUE(LEFT(A3,10)),A3))</f>
        <v/>
      </c>
      <c r="J3" s="8" t="str">
        <f aca="false">IF(H3="","",IF(COUNTIFS(Transactions!$A:$A,I3,Transactions!$J:$J,"&gt;="&amp;(H3-0.01),Transactions!$J:$J,"&lt;="&amp;(H3+0.01))&gt;0,"Matched","Missing from ledger"))</f>
        <v/>
      </c>
      <c r="L3" s="4" t="s">
        <v>154</v>
      </c>
    </row>
    <row r="4" customFormat="false" ht="15" hidden="false" customHeight="false" outlineLevel="0" collapsed="false">
      <c r="A4" s="21"/>
      <c r="B4" s="21"/>
      <c r="C4" s="21"/>
      <c r="D4" s="21"/>
      <c r="E4" s="21"/>
      <c r="F4" s="21"/>
      <c r="G4" s="21"/>
      <c r="H4" s="24"/>
      <c r="I4" s="10" t="str">
        <f aca="false">IF(A4="","",IFERROR(DATEVALUE(LEFT(A4,10)),A4))</f>
        <v/>
      </c>
      <c r="J4" s="8" t="str">
        <f aca="false">IF(H4="","",IF(COUNTIFS(Transactions!$A:$A,I4,Transactions!$J:$J,"&gt;="&amp;(H4-0.01),Transactions!$J:$J,"&lt;="&amp;(H4+0.01))&gt;0,"Matched","Missing from ledger"))</f>
        <v/>
      </c>
      <c r="L4" s="4" t="s">
        <v>155</v>
      </c>
    </row>
    <row r="5" customFormat="false" ht="15" hidden="false" customHeight="false" outlineLevel="0" collapsed="false">
      <c r="A5" s="21"/>
      <c r="B5" s="21"/>
      <c r="C5" s="21"/>
      <c r="D5" s="21"/>
      <c r="E5" s="21"/>
      <c r="F5" s="21"/>
      <c r="G5" s="21"/>
      <c r="H5" s="24"/>
      <c r="I5" s="10" t="str">
        <f aca="false">IF(A5="","",IFERROR(DATEVALUE(LEFT(A5,10)),A5))</f>
        <v/>
      </c>
      <c r="J5" s="8" t="str">
        <f aca="false">IF(H5="","",IF(COUNTIFS(Transactions!$A:$A,I5,Transactions!$J:$J,"&gt;="&amp;(H5-0.01),Transactions!$J:$J,"&lt;="&amp;(H5+0.01))&gt;0,"Matched","Missing from ledger"))</f>
        <v/>
      </c>
      <c r="L5" s="4" t="s">
        <v>156</v>
      </c>
    </row>
    <row r="6" customFormat="false" ht="15" hidden="false" customHeight="false" outlineLevel="0" collapsed="false">
      <c r="A6" s="21"/>
      <c r="B6" s="21"/>
      <c r="C6" s="21"/>
      <c r="D6" s="21"/>
      <c r="E6" s="21"/>
      <c r="F6" s="21"/>
      <c r="G6" s="21"/>
      <c r="H6" s="24"/>
      <c r="I6" s="10" t="str">
        <f aca="false">IF(A6="","",IFERROR(DATEVALUE(LEFT(A6,10)),A6))</f>
        <v/>
      </c>
      <c r="J6" s="8" t="str">
        <f aca="false">IF(H6="","",IF(COUNTIFS(Transactions!$A:$A,I6,Transactions!$J:$J,"&gt;="&amp;(H6-0.01),Transactions!$J:$J,"&lt;="&amp;(H6+0.01))&gt;0,"Matched","Missing from ledger"))</f>
        <v/>
      </c>
      <c r="L6" s="4" t="s">
        <v>157</v>
      </c>
    </row>
    <row r="7" customFormat="false" ht="15" hidden="false" customHeight="false" outlineLevel="0" collapsed="false">
      <c r="A7" s="21"/>
      <c r="B7" s="21"/>
      <c r="C7" s="21"/>
      <c r="D7" s="21"/>
      <c r="E7" s="21"/>
      <c r="F7" s="21"/>
      <c r="G7" s="21"/>
      <c r="H7" s="24"/>
      <c r="I7" s="10" t="str">
        <f aca="false">IF(A7="","",IFERROR(DATEVALUE(LEFT(A7,10)),A7))</f>
        <v/>
      </c>
      <c r="J7" s="8" t="str">
        <f aca="false">IF(H7="","",IF(COUNTIFS(Transactions!$A:$A,I7,Transactions!$J:$J,"&gt;="&amp;(H7-0.01),Transactions!$J:$J,"&lt;="&amp;(H7+0.01))&gt;0,"Matched","Missing from ledger"))</f>
        <v/>
      </c>
      <c r="L7" s="4" t="s">
        <v>158</v>
      </c>
    </row>
    <row r="8" customFormat="false" ht="15" hidden="false" customHeight="false" outlineLevel="0" collapsed="false">
      <c r="A8" s="21"/>
      <c r="B8" s="21"/>
      <c r="C8" s="21"/>
      <c r="D8" s="21"/>
      <c r="E8" s="21"/>
      <c r="F8" s="21"/>
      <c r="G8" s="21"/>
      <c r="H8" s="24"/>
      <c r="I8" s="10" t="str">
        <f aca="false">IF(A8="","",IFERROR(DATEVALUE(LEFT(A8,10)),A8))</f>
        <v/>
      </c>
      <c r="J8" s="8" t="str">
        <f aca="false">IF(H8="","",IF(COUNTIFS(Transactions!$A:$A,I8,Transactions!$J:$J,"&gt;="&amp;(H8-0.01),Transactions!$J:$J,"&lt;="&amp;(H8+0.01))&gt;0,"Matched","Missing from ledger"))</f>
        <v/>
      </c>
    </row>
    <row r="9" customFormat="false" ht="15" hidden="false" customHeight="false" outlineLevel="0" collapsed="false">
      <c r="A9" s="21"/>
      <c r="B9" s="21"/>
      <c r="C9" s="21"/>
      <c r="D9" s="21"/>
      <c r="E9" s="21"/>
      <c r="F9" s="21"/>
      <c r="G9" s="21"/>
      <c r="H9" s="24"/>
      <c r="I9" s="10" t="str">
        <f aca="false">IF(A9="","",IFERROR(DATEVALUE(LEFT(A9,10)),A9))</f>
        <v/>
      </c>
      <c r="J9" s="8" t="str">
        <f aca="false">IF(H9="","",IF(COUNTIFS(Transactions!$A:$A,I9,Transactions!$J:$J,"&gt;="&amp;(H9-0.01),Transactions!$J:$J,"&lt;="&amp;(H9+0.01))&gt;0,"Matched","Missing from ledger"))</f>
        <v/>
      </c>
    </row>
    <row r="10" customFormat="false" ht="15" hidden="false" customHeight="false" outlineLevel="0" collapsed="false">
      <c r="A10" s="21"/>
      <c r="B10" s="21"/>
      <c r="C10" s="21"/>
      <c r="D10" s="21"/>
      <c r="E10" s="21"/>
      <c r="F10" s="21"/>
      <c r="G10" s="21"/>
      <c r="H10" s="24"/>
      <c r="I10" s="10" t="str">
        <f aca="false">IF(A10="","",IFERROR(DATEVALUE(LEFT(A10,10)),A10))</f>
        <v/>
      </c>
      <c r="J10" s="8" t="str">
        <f aca="false">IF(H10="","",IF(COUNTIFS(Transactions!$A:$A,I10,Transactions!$J:$J,"&gt;="&amp;(H10-0.01),Transactions!$J:$J,"&lt;="&amp;(H10+0.01))&gt;0,"Matched","Missing from ledger"))</f>
        <v/>
      </c>
    </row>
    <row r="11" customFormat="false" ht="15" hidden="false" customHeight="false" outlineLevel="0" collapsed="false">
      <c r="A11" s="21"/>
      <c r="B11" s="21"/>
      <c r="C11" s="21"/>
      <c r="D11" s="21"/>
      <c r="E11" s="21"/>
      <c r="F11" s="21"/>
      <c r="G11" s="21"/>
      <c r="H11" s="24"/>
      <c r="I11" s="10" t="str">
        <f aca="false">IF(A11="","",IFERROR(DATEVALUE(LEFT(A11,10)),A11))</f>
        <v/>
      </c>
      <c r="J11" s="8" t="str">
        <f aca="false">IF(H11="","",IF(COUNTIFS(Transactions!$A:$A,I11,Transactions!$J:$J,"&gt;="&amp;(H11-0.01),Transactions!$J:$J,"&lt;="&amp;(H11+0.01))&gt;0,"Matched","Missing from ledger"))</f>
        <v/>
      </c>
    </row>
    <row r="12" customFormat="false" ht="15" hidden="false" customHeight="false" outlineLevel="0" collapsed="false">
      <c r="A12" s="21"/>
      <c r="B12" s="21"/>
      <c r="C12" s="21"/>
      <c r="D12" s="21"/>
      <c r="E12" s="21"/>
      <c r="F12" s="21"/>
      <c r="G12" s="21"/>
      <c r="H12" s="24"/>
      <c r="I12" s="10" t="str">
        <f aca="false">IF(A12="","",IFERROR(DATEVALUE(LEFT(A12,10)),A12))</f>
        <v/>
      </c>
      <c r="J12" s="8" t="str">
        <f aca="false">IF(H12="","",IF(COUNTIFS(Transactions!$A:$A,I12,Transactions!$J:$J,"&gt;="&amp;(H12-0.01),Transactions!$J:$J,"&lt;="&amp;(H12+0.01))&gt;0,"Matched","Missing from ledger"))</f>
        <v/>
      </c>
    </row>
    <row r="13" customFormat="false" ht="15" hidden="false" customHeight="false" outlineLevel="0" collapsed="false">
      <c r="A13" s="21"/>
      <c r="B13" s="21"/>
      <c r="C13" s="21"/>
      <c r="D13" s="21"/>
      <c r="E13" s="21"/>
      <c r="F13" s="21"/>
      <c r="G13" s="21"/>
      <c r="H13" s="24"/>
      <c r="I13" s="10" t="str">
        <f aca="false">IF(A13="","",IFERROR(DATEVALUE(LEFT(A13,10)),A13))</f>
        <v/>
      </c>
      <c r="J13" s="8" t="str">
        <f aca="false">IF(H13="","",IF(COUNTIFS(Transactions!$A:$A,I13,Transactions!$J:$J,"&gt;="&amp;(H13-0.01),Transactions!$J:$J,"&lt;="&amp;(H13+0.01))&gt;0,"Matched","Missing from ledger"))</f>
        <v/>
      </c>
    </row>
    <row r="14" customFormat="false" ht="15" hidden="false" customHeight="false" outlineLevel="0" collapsed="false">
      <c r="A14" s="21"/>
      <c r="B14" s="21"/>
      <c r="C14" s="21"/>
      <c r="D14" s="21"/>
      <c r="E14" s="21"/>
      <c r="F14" s="21"/>
      <c r="G14" s="21"/>
      <c r="H14" s="24"/>
      <c r="I14" s="10" t="str">
        <f aca="false">IF(A14="","",IFERROR(DATEVALUE(LEFT(A14,10)),A14))</f>
        <v/>
      </c>
      <c r="J14" s="8" t="str">
        <f aca="false">IF(H14="","",IF(COUNTIFS(Transactions!$A:$A,I14,Transactions!$J:$J,"&gt;="&amp;(H14-0.01),Transactions!$J:$J,"&lt;="&amp;(H14+0.01))&gt;0,"Matched","Missing from ledger"))</f>
        <v/>
      </c>
    </row>
    <row r="15" customFormat="false" ht="15" hidden="false" customHeight="false" outlineLevel="0" collapsed="false">
      <c r="A15" s="21"/>
      <c r="B15" s="21"/>
      <c r="C15" s="21"/>
      <c r="D15" s="21"/>
      <c r="E15" s="21"/>
      <c r="F15" s="21"/>
      <c r="G15" s="21"/>
      <c r="H15" s="24"/>
      <c r="I15" s="10" t="str">
        <f aca="false">IF(A15="","",IFERROR(DATEVALUE(LEFT(A15,10)),A15))</f>
        <v/>
      </c>
      <c r="J15" s="8" t="str">
        <f aca="false">IF(H15="","",IF(COUNTIFS(Transactions!$A:$A,I15,Transactions!$J:$J,"&gt;="&amp;(H15-0.01),Transactions!$J:$J,"&lt;="&amp;(H15+0.01))&gt;0,"Matched","Missing from ledger"))</f>
        <v/>
      </c>
    </row>
    <row r="16" customFormat="false" ht="15" hidden="false" customHeight="false" outlineLevel="0" collapsed="false">
      <c r="A16" s="21"/>
      <c r="B16" s="21"/>
      <c r="C16" s="21"/>
      <c r="D16" s="21"/>
      <c r="E16" s="21"/>
      <c r="F16" s="21"/>
      <c r="G16" s="21"/>
      <c r="H16" s="24"/>
      <c r="I16" s="10" t="str">
        <f aca="false">IF(A16="","",IFERROR(DATEVALUE(LEFT(A16,10)),A16))</f>
        <v/>
      </c>
      <c r="J16" s="8" t="str">
        <f aca="false">IF(H16="","",IF(COUNTIFS(Transactions!$A:$A,I16,Transactions!$J:$J,"&gt;="&amp;(H16-0.01),Transactions!$J:$J,"&lt;="&amp;(H16+0.01))&gt;0,"Matched","Missing from ledger"))</f>
        <v/>
      </c>
    </row>
    <row r="17" customFormat="false" ht="15" hidden="false" customHeight="false" outlineLevel="0" collapsed="false">
      <c r="A17" s="21"/>
      <c r="B17" s="21"/>
      <c r="C17" s="21"/>
      <c r="D17" s="21"/>
      <c r="E17" s="21"/>
      <c r="F17" s="21"/>
      <c r="G17" s="21"/>
      <c r="H17" s="24"/>
      <c r="I17" s="10" t="str">
        <f aca="false">IF(A17="","",IFERROR(DATEVALUE(LEFT(A17,10)),A17))</f>
        <v/>
      </c>
      <c r="J17" s="8" t="str">
        <f aca="false">IF(H17="","",IF(COUNTIFS(Transactions!$A:$A,I17,Transactions!$J:$J,"&gt;="&amp;(H17-0.01),Transactions!$J:$J,"&lt;="&amp;(H17+0.01))&gt;0,"Matched","Missing from ledger"))</f>
        <v/>
      </c>
    </row>
    <row r="18" customFormat="false" ht="15" hidden="false" customHeight="false" outlineLevel="0" collapsed="false">
      <c r="A18" s="21"/>
      <c r="B18" s="21"/>
      <c r="C18" s="21"/>
      <c r="D18" s="21"/>
      <c r="E18" s="21"/>
      <c r="F18" s="21"/>
      <c r="G18" s="21"/>
      <c r="H18" s="24"/>
      <c r="I18" s="10" t="str">
        <f aca="false">IF(A18="","",IFERROR(DATEVALUE(LEFT(A18,10)),A18))</f>
        <v/>
      </c>
      <c r="J18" s="8" t="str">
        <f aca="false">IF(H18="","",IF(COUNTIFS(Transactions!$A:$A,I18,Transactions!$J:$J,"&gt;="&amp;(H18-0.01),Transactions!$J:$J,"&lt;="&amp;(H18+0.01))&gt;0,"Matched","Missing from ledger"))</f>
        <v/>
      </c>
    </row>
    <row r="19" customFormat="false" ht="15" hidden="false" customHeight="false" outlineLevel="0" collapsed="false">
      <c r="A19" s="21"/>
      <c r="B19" s="21"/>
      <c r="C19" s="21"/>
      <c r="D19" s="21"/>
      <c r="E19" s="21"/>
      <c r="F19" s="21"/>
      <c r="G19" s="21"/>
      <c r="H19" s="24"/>
      <c r="I19" s="10" t="str">
        <f aca="false">IF(A19="","",IFERROR(DATEVALUE(LEFT(A19,10)),A19))</f>
        <v/>
      </c>
      <c r="J19" s="8" t="str">
        <f aca="false">IF(H19="","",IF(COUNTIFS(Transactions!$A:$A,I19,Transactions!$J:$J,"&gt;="&amp;(H19-0.01),Transactions!$J:$J,"&lt;="&amp;(H19+0.01))&gt;0,"Matched","Missing from ledger"))</f>
        <v/>
      </c>
    </row>
    <row r="20" customFormat="false" ht="15" hidden="false" customHeight="false" outlineLevel="0" collapsed="false">
      <c r="A20" s="21"/>
      <c r="B20" s="21"/>
      <c r="C20" s="21"/>
      <c r="D20" s="21"/>
      <c r="E20" s="21"/>
      <c r="F20" s="21"/>
      <c r="G20" s="21"/>
      <c r="H20" s="24"/>
      <c r="I20" s="10" t="str">
        <f aca="false">IF(A20="","",IFERROR(DATEVALUE(LEFT(A20,10)),A20))</f>
        <v/>
      </c>
      <c r="J20" s="8" t="str">
        <f aca="false">IF(H20="","",IF(COUNTIFS(Transactions!$A:$A,I20,Transactions!$J:$J,"&gt;="&amp;(H20-0.01),Transactions!$J:$J,"&lt;="&amp;(H20+0.01))&gt;0,"Matched","Missing from ledger"))</f>
        <v/>
      </c>
    </row>
    <row r="21" customFormat="false" ht="15" hidden="false" customHeight="false" outlineLevel="0" collapsed="false">
      <c r="A21" s="21"/>
      <c r="B21" s="21"/>
      <c r="C21" s="21"/>
      <c r="D21" s="21"/>
      <c r="E21" s="21"/>
      <c r="F21" s="21"/>
      <c r="G21" s="21"/>
      <c r="H21" s="24"/>
      <c r="I21" s="10" t="str">
        <f aca="false">IF(A21="","",IFERROR(DATEVALUE(LEFT(A21,10)),A21))</f>
        <v/>
      </c>
      <c r="J21" s="8" t="str">
        <f aca="false">IF(H21="","",IF(COUNTIFS(Transactions!$A:$A,I21,Transactions!$J:$J,"&gt;="&amp;(H21-0.01),Transactions!$J:$J,"&lt;="&amp;(H21+0.01))&gt;0,"Matched","Missing from ledger"))</f>
        <v/>
      </c>
    </row>
    <row r="22" customFormat="false" ht="15" hidden="false" customHeight="false" outlineLevel="0" collapsed="false">
      <c r="A22" s="21"/>
      <c r="B22" s="21"/>
      <c r="C22" s="21"/>
      <c r="D22" s="21"/>
      <c r="E22" s="21"/>
      <c r="F22" s="21"/>
      <c r="G22" s="21"/>
      <c r="H22" s="24"/>
      <c r="I22" s="10" t="str">
        <f aca="false">IF(A22="","",IFERROR(DATEVALUE(LEFT(A22,10)),A22))</f>
        <v/>
      </c>
      <c r="J22" s="8" t="str">
        <f aca="false">IF(H22="","",IF(COUNTIFS(Transactions!$A:$A,I22,Transactions!$J:$J,"&gt;="&amp;(H22-0.01),Transactions!$J:$J,"&lt;="&amp;(H22+0.01))&gt;0,"Matched","Missing from ledger"))</f>
        <v/>
      </c>
    </row>
    <row r="23" customFormat="false" ht="15" hidden="false" customHeight="false" outlineLevel="0" collapsed="false">
      <c r="A23" s="21"/>
      <c r="B23" s="21"/>
      <c r="C23" s="21"/>
      <c r="D23" s="21"/>
      <c r="E23" s="21"/>
      <c r="F23" s="21"/>
      <c r="G23" s="21"/>
      <c r="H23" s="24"/>
      <c r="I23" s="10" t="str">
        <f aca="false">IF(A23="","",IFERROR(DATEVALUE(LEFT(A23,10)),A23))</f>
        <v/>
      </c>
      <c r="J23" s="8" t="str">
        <f aca="false">IF(H23="","",IF(COUNTIFS(Transactions!$A:$A,I23,Transactions!$J:$J,"&gt;="&amp;(H23-0.01),Transactions!$J:$J,"&lt;="&amp;(H23+0.01))&gt;0,"Matched","Missing from ledger"))</f>
        <v/>
      </c>
    </row>
    <row r="24" customFormat="false" ht="15" hidden="false" customHeight="false" outlineLevel="0" collapsed="false">
      <c r="A24" s="21"/>
      <c r="B24" s="21"/>
      <c r="C24" s="21"/>
      <c r="D24" s="21"/>
      <c r="E24" s="21"/>
      <c r="F24" s="21"/>
      <c r="G24" s="21"/>
      <c r="H24" s="24"/>
      <c r="I24" s="10" t="str">
        <f aca="false">IF(A24="","",IFERROR(DATEVALUE(LEFT(A24,10)),A24))</f>
        <v/>
      </c>
      <c r="J24" s="8" t="str">
        <f aca="false">IF(H24="","",IF(COUNTIFS(Transactions!$A:$A,I24,Transactions!$J:$J,"&gt;="&amp;(H24-0.01),Transactions!$J:$J,"&lt;="&amp;(H24+0.01))&gt;0,"Matched","Missing from ledger"))</f>
        <v/>
      </c>
    </row>
    <row r="25" customFormat="false" ht="15" hidden="false" customHeight="false" outlineLevel="0" collapsed="false">
      <c r="A25" s="21"/>
      <c r="B25" s="21"/>
      <c r="C25" s="21"/>
      <c r="D25" s="21"/>
      <c r="E25" s="21"/>
      <c r="F25" s="21"/>
      <c r="G25" s="21"/>
      <c r="H25" s="24"/>
      <c r="I25" s="10" t="str">
        <f aca="false">IF(A25="","",IFERROR(DATEVALUE(LEFT(A25,10)),A25))</f>
        <v/>
      </c>
      <c r="J25" s="8" t="str">
        <f aca="false">IF(H25="","",IF(COUNTIFS(Transactions!$A:$A,I25,Transactions!$J:$J,"&gt;="&amp;(H25-0.01),Transactions!$J:$J,"&lt;="&amp;(H25+0.01))&gt;0,"Matched","Missing from ledger"))</f>
        <v/>
      </c>
    </row>
    <row r="26" customFormat="false" ht="15" hidden="false" customHeight="false" outlineLevel="0" collapsed="false">
      <c r="A26" s="21"/>
      <c r="B26" s="21"/>
      <c r="C26" s="21"/>
      <c r="D26" s="21"/>
      <c r="E26" s="21"/>
      <c r="F26" s="21"/>
      <c r="G26" s="21"/>
      <c r="H26" s="24"/>
      <c r="I26" s="10" t="str">
        <f aca="false">IF(A26="","",IFERROR(DATEVALUE(LEFT(A26,10)),A26))</f>
        <v/>
      </c>
      <c r="J26" s="8" t="str">
        <f aca="false">IF(H26="","",IF(COUNTIFS(Transactions!$A:$A,I26,Transactions!$J:$J,"&gt;="&amp;(H26-0.01),Transactions!$J:$J,"&lt;="&amp;(H26+0.01))&gt;0,"Matched","Missing from ledger"))</f>
        <v/>
      </c>
    </row>
    <row r="27" customFormat="false" ht="15" hidden="false" customHeight="false" outlineLevel="0" collapsed="false">
      <c r="A27" s="21"/>
      <c r="B27" s="21"/>
      <c r="C27" s="21"/>
      <c r="D27" s="21"/>
      <c r="E27" s="21"/>
      <c r="F27" s="21"/>
      <c r="G27" s="21"/>
      <c r="H27" s="24"/>
      <c r="I27" s="10" t="str">
        <f aca="false">IF(A27="","",IFERROR(DATEVALUE(LEFT(A27,10)),A27))</f>
        <v/>
      </c>
      <c r="J27" s="8" t="str">
        <f aca="false">IF(H27="","",IF(COUNTIFS(Transactions!$A:$A,I27,Transactions!$J:$J,"&gt;="&amp;(H27-0.01),Transactions!$J:$J,"&lt;="&amp;(H27+0.01))&gt;0,"Matched","Missing from ledger"))</f>
        <v/>
      </c>
    </row>
    <row r="28" customFormat="false" ht="15" hidden="false" customHeight="false" outlineLevel="0" collapsed="false">
      <c r="A28" s="21"/>
      <c r="B28" s="21"/>
      <c r="C28" s="21"/>
      <c r="D28" s="21"/>
      <c r="E28" s="21"/>
      <c r="F28" s="21"/>
      <c r="G28" s="21"/>
      <c r="H28" s="24"/>
      <c r="I28" s="10" t="str">
        <f aca="false">IF(A28="","",IFERROR(DATEVALUE(LEFT(A28,10)),A28))</f>
        <v/>
      </c>
      <c r="J28" s="8" t="str">
        <f aca="false">IF(H28="","",IF(COUNTIFS(Transactions!$A:$A,I28,Transactions!$J:$J,"&gt;="&amp;(H28-0.01),Transactions!$J:$J,"&lt;="&amp;(H28+0.01))&gt;0,"Matched","Missing from ledger"))</f>
        <v/>
      </c>
    </row>
    <row r="29" customFormat="false" ht="15" hidden="false" customHeight="false" outlineLevel="0" collapsed="false">
      <c r="A29" s="21"/>
      <c r="B29" s="21"/>
      <c r="C29" s="21"/>
      <c r="D29" s="21"/>
      <c r="E29" s="21"/>
      <c r="F29" s="21"/>
      <c r="G29" s="21"/>
      <c r="H29" s="24"/>
      <c r="I29" s="10" t="str">
        <f aca="false">IF(A29="","",IFERROR(DATEVALUE(LEFT(A29,10)),A29))</f>
        <v/>
      </c>
      <c r="J29" s="8" t="str">
        <f aca="false">IF(H29="","",IF(COUNTIFS(Transactions!$A:$A,I29,Transactions!$J:$J,"&gt;="&amp;(H29-0.01),Transactions!$J:$J,"&lt;="&amp;(H29+0.01))&gt;0,"Matched","Missing from ledger"))</f>
        <v/>
      </c>
    </row>
    <row r="30" customFormat="false" ht="15" hidden="false" customHeight="false" outlineLevel="0" collapsed="false">
      <c r="A30" s="21"/>
      <c r="B30" s="21"/>
      <c r="C30" s="21"/>
      <c r="D30" s="21"/>
      <c r="E30" s="21"/>
      <c r="F30" s="21"/>
      <c r="G30" s="21"/>
      <c r="H30" s="24"/>
      <c r="I30" s="10" t="str">
        <f aca="false">IF(A30="","",IFERROR(DATEVALUE(LEFT(A30,10)),A30))</f>
        <v/>
      </c>
      <c r="J30" s="8" t="str">
        <f aca="false">IF(H30="","",IF(COUNTIFS(Transactions!$A:$A,I30,Transactions!$J:$J,"&gt;="&amp;(H30-0.01),Transactions!$J:$J,"&lt;="&amp;(H30+0.01))&gt;0,"Matched","Missing from ledger"))</f>
        <v/>
      </c>
    </row>
    <row r="31" customFormat="false" ht="15" hidden="false" customHeight="false" outlineLevel="0" collapsed="false">
      <c r="A31" s="21"/>
      <c r="B31" s="21"/>
      <c r="C31" s="21"/>
      <c r="D31" s="21"/>
      <c r="E31" s="21"/>
      <c r="F31" s="21"/>
      <c r="G31" s="21"/>
      <c r="H31" s="24"/>
      <c r="I31" s="10" t="str">
        <f aca="false">IF(A31="","",IFERROR(DATEVALUE(LEFT(A31,10)),A31))</f>
        <v/>
      </c>
      <c r="J31" s="8" t="str">
        <f aca="false">IF(H31="","",IF(COUNTIFS(Transactions!$A:$A,I31,Transactions!$J:$J,"&gt;="&amp;(H31-0.01),Transactions!$J:$J,"&lt;="&amp;(H31+0.01))&gt;0,"Matched","Missing from ledger"))</f>
        <v/>
      </c>
    </row>
    <row r="32" customFormat="false" ht="15" hidden="false" customHeight="false" outlineLevel="0" collapsed="false">
      <c r="A32" s="21"/>
      <c r="B32" s="21"/>
      <c r="C32" s="21"/>
      <c r="D32" s="21"/>
      <c r="E32" s="21"/>
      <c r="F32" s="21"/>
      <c r="G32" s="21"/>
      <c r="H32" s="24"/>
      <c r="I32" s="10" t="str">
        <f aca="false">IF(A32="","",IFERROR(DATEVALUE(LEFT(A32,10)),A32))</f>
        <v/>
      </c>
      <c r="J32" s="8" t="str">
        <f aca="false">IF(H32="","",IF(COUNTIFS(Transactions!$A:$A,I32,Transactions!$J:$J,"&gt;="&amp;(H32-0.01),Transactions!$J:$J,"&lt;="&amp;(H32+0.01))&gt;0,"Matched","Missing from ledger"))</f>
        <v/>
      </c>
    </row>
    <row r="33" customFormat="false" ht="15" hidden="false" customHeight="false" outlineLevel="0" collapsed="false">
      <c r="A33" s="21"/>
      <c r="B33" s="21"/>
      <c r="C33" s="21"/>
      <c r="D33" s="21"/>
      <c r="E33" s="21"/>
      <c r="F33" s="21"/>
      <c r="G33" s="21"/>
      <c r="H33" s="24"/>
      <c r="I33" s="10" t="str">
        <f aca="false">IF(A33="","",IFERROR(DATEVALUE(LEFT(A33,10)),A33))</f>
        <v/>
      </c>
      <c r="J33" s="8" t="str">
        <f aca="false">IF(H33="","",IF(COUNTIFS(Transactions!$A:$A,I33,Transactions!$J:$J,"&gt;="&amp;(H33-0.01),Transactions!$J:$J,"&lt;="&amp;(H33+0.01))&gt;0,"Matched","Missing from ledger"))</f>
        <v/>
      </c>
    </row>
    <row r="34" customFormat="false" ht="15" hidden="false" customHeight="false" outlineLevel="0" collapsed="false">
      <c r="A34" s="21"/>
      <c r="B34" s="21"/>
      <c r="C34" s="21"/>
      <c r="D34" s="21"/>
      <c r="E34" s="21"/>
      <c r="F34" s="21"/>
      <c r="G34" s="21"/>
      <c r="H34" s="24"/>
      <c r="I34" s="10" t="str">
        <f aca="false">IF(A34="","",IFERROR(DATEVALUE(LEFT(A34,10)),A34))</f>
        <v/>
      </c>
      <c r="J34" s="8" t="str">
        <f aca="false">IF(H34="","",IF(COUNTIFS(Transactions!$A:$A,I34,Transactions!$J:$J,"&gt;="&amp;(H34-0.01),Transactions!$J:$J,"&lt;="&amp;(H34+0.01))&gt;0,"Matched","Missing from ledger"))</f>
        <v/>
      </c>
    </row>
    <row r="35" customFormat="false" ht="15" hidden="false" customHeight="false" outlineLevel="0" collapsed="false">
      <c r="A35" s="21"/>
      <c r="B35" s="21"/>
      <c r="C35" s="21"/>
      <c r="D35" s="21"/>
      <c r="E35" s="21"/>
      <c r="F35" s="21"/>
      <c r="G35" s="21"/>
      <c r="H35" s="24"/>
      <c r="I35" s="10" t="str">
        <f aca="false">IF(A35="","",IFERROR(DATEVALUE(LEFT(A35,10)),A35))</f>
        <v/>
      </c>
      <c r="J35" s="8" t="str">
        <f aca="false">IF(H35="","",IF(COUNTIFS(Transactions!$A:$A,I35,Transactions!$J:$J,"&gt;="&amp;(H35-0.01),Transactions!$J:$J,"&lt;="&amp;(H35+0.01))&gt;0,"Matched","Missing from ledger"))</f>
        <v/>
      </c>
    </row>
    <row r="36" customFormat="false" ht="15" hidden="false" customHeight="false" outlineLevel="0" collapsed="false">
      <c r="A36" s="21"/>
      <c r="B36" s="21"/>
      <c r="C36" s="21"/>
      <c r="D36" s="21"/>
      <c r="E36" s="21"/>
      <c r="F36" s="21"/>
      <c r="G36" s="21"/>
      <c r="H36" s="24"/>
      <c r="I36" s="10" t="str">
        <f aca="false">IF(A36="","",IFERROR(DATEVALUE(LEFT(A36,10)),A36))</f>
        <v/>
      </c>
      <c r="J36" s="8" t="str">
        <f aca="false">IF(H36="","",IF(COUNTIFS(Transactions!$A:$A,I36,Transactions!$J:$J,"&gt;="&amp;(H36-0.01),Transactions!$J:$J,"&lt;="&amp;(H36+0.01))&gt;0,"Matched","Missing from ledger"))</f>
        <v/>
      </c>
    </row>
    <row r="37" customFormat="false" ht="15" hidden="false" customHeight="false" outlineLevel="0" collapsed="false">
      <c r="A37" s="21"/>
      <c r="B37" s="21"/>
      <c r="C37" s="21"/>
      <c r="D37" s="21"/>
      <c r="E37" s="21"/>
      <c r="F37" s="21"/>
      <c r="G37" s="21"/>
      <c r="H37" s="24"/>
      <c r="I37" s="10" t="str">
        <f aca="false">IF(A37="","",IFERROR(DATEVALUE(LEFT(A37,10)),A37))</f>
        <v/>
      </c>
      <c r="J37" s="8" t="str">
        <f aca="false">IF(H37="","",IF(COUNTIFS(Transactions!$A:$A,I37,Transactions!$J:$J,"&gt;="&amp;(H37-0.01),Transactions!$J:$J,"&lt;="&amp;(H37+0.01))&gt;0,"Matched","Missing from ledger"))</f>
        <v/>
      </c>
    </row>
    <row r="38" customFormat="false" ht="15" hidden="false" customHeight="false" outlineLevel="0" collapsed="false">
      <c r="A38" s="21"/>
      <c r="B38" s="21"/>
      <c r="C38" s="21"/>
      <c r="D38" s="21"/>
      <c r="E38" s="21"/>
      <c r="F38" s="21"/>
      <c r="G38" s="21"/>
      <c r="H38" s="24"/>
      <c r="I38" s="10" t="str">
        <f aca="false">IF(A38="","",IFERROR(DATEVALUE(LEFT(A38,10)),A38))</f>
        <v/>
      </c>
      <c r="J38" s="8" t="str">
        <f aca="false">IF(H38="","",IF(COUNTIFS(Transactions!$A:$A,I38,Transactions!$J:$J,"&gt;="&amp;(H38-0.01),Transactions!$J:$J,"&lt;="&amp;(H38+0.01))&gt;0,"Matched","Missing from ledger"))</f>
        <v/>
      </c>
    </row>
    <row r="39" customFormat="false" ht="15" hidden="false" customHeight="false" outlineLevel="0" collapsed="false">
      <c r="A39" s="21"/>
      <c r="B39" s="21"/>
      <c r="C39" s="21"/>
      <c r="D39" s="21"/>
      <c r="E39" s="21"/>
      <c r="F39" s="21"/>
      <c r="G39" s="21"/>
      <c r="H39" s="24"/>
      <c r="I39" s="10" t="str">
        <f aca="false">IF(A39="","",IFERROR(DATEVALUE(LEFT(A39,10)),A39))</f>
        <v/>
      </c>
      <c r="J39" s="8" t="str">
        <f aca="false">IF(H39="","",IF(COUNTIFS(Transactions!$A:$A,I39,Transactions!$J:$J,"&gt;="&amp;(H39-0.01),Transactions!$J:$J,"&lt;="&amp;(H39+0.01))&gt;0,"Matched","Missing from ledger"))</f>
        <v/>
      </c>
    </row>
    <row r="40" customFormat="false" ht="15" hidden="false" customHeight="false" outlineLevel="0" collapsed="false">
      <c r="A40" s="21"/>
      <c r="B40" s="21"/>
      <c r="C40" s="21"/>
      <c r="D40" s="21"/>
      <c r="E40" s="21"/>
      <c r="F40" s="21"/>
      <c r="G40" s="21"/>
      <c r="H40" s="24"/>
      <c r="I40" s="10" t="str">
        <f aca="false">IF(A40="","",IFERROR(DATEVALUE(LEFT(A40,10)),A40))</f>
        <v/>
      </c>
      <c r="J40" s="8" t="str">
        <f aca="false">IF(H40="","",IF(COUNTIFS(Transactions!$A:$A,I40,Transactions!$J:$J,"&gt;="&amp;(H40-0.01),Transactions!$J:$J,"&lt;="&amp;(H40+0.01))&gt;0,"Matched","Missing from ledger"))</f>
        <v/>
      </c>
    </row>
    <row r="41" customFormat="false" ht="15" hidden="false" customHeight="false" outlineLevel="0" collapsed="false">
      <c r="A41" s="21"/>
      <c r="B41" s="21"/>
      <c r="C41" s="21"/>
      <c r="D41" s="21"/>
      <c r="E41" s="21"/>
      <c r="F41" s="21"/>
      <c r="G41" s="21"/>
      <c r="H41" s="24"/>
      <c r="I41" s="10" t="str">
        <f aca="false">IF(A41="","",IFERROR(DATEVALUE(LEFT(A41,10)),A41))</f>
        <v/>
      </c>
      <c r="J41" s="8" t="str">
        <f aca="false">IF(H41="","",IF(COUNTIFS(Transactions!$A:$A,I41,Transactions!$J:$J,"&gt;="&amp;(H41-0.01),Transactions!$J:$J,"&lt;="&amp;(H41+0.01))&gt;0,"Matched","Missing from ledger"))</f>
        <v/>
      </c>
    </row>
    <row r="42" customFormat="false" ht="15" hidden="false" customHeight="false" outlineLevel="0" collapsed="false">
      <c r="A42" s="21"/>
      <c r="B42" s="21"/>
      <c r="C42" s="21"/>
      <c r="D42" s="21"/>
      <c r="E42" s="21"/>
      <c r="F42" s="21"/>
      <c r="G42" s="21"/>
      <c r="H42" s="24"/>
      <c r="I42" s="10" t="str">
        <f aca="false">IF(A42="","",IFERROR(DATEVALUE(LEFT(A42,10)),A42))</f>
        <v/>
      </c>
      <c r="J42" s="8" t="str">
        <f aca="false">IF(H42="","",IF(COUNTIFS(Transactions!$A:$A,I42,Transactions!$J:$J,"&gt;="&amp;(H42-0.01),Transactions!$J:$J,"&lt;="&amp;(H42+0.01))&gt;0,"Matched","Missing from ledger"))</f>
        <v/>
      </c>
    </row>
    <row r="43" customFormat="false" ht="15" hidden="false" customHeight="false" outlineLevel="0" collapsed="false">
      <c r="A43" s="21"/>
      <c r="B43" s="21"/>
      <c r="C43" s="21"/>
      <c r="D43" s="21"/>
      <c r="E43" s="21"/>
      <c r="F43" s="21"/>
      <c r="G43" s="21"/>
      <c r="H43" s="24"/>
      <c r="I43" s="10" t="str">
        <f aca="false">IF(A43="","",IFERROR(DATEVALUE(LEFT(A43,10)),A43))</f>
        <v/>
      </c>
      <c r="J43" s="8" t="str">
        <f aca="false">IF(H43="","",IF(COUNTIFS(Transactions!$A:$A,I43,Transactions!$J:$J,"&gt;="&amp;(H43-0.01),Transactions!$J:$J,"&lt;="&amp;(H43+0.01))&gt;0,"Matched","Missing from ledger"))</f>
        <v/>
      </c>
    </row>
    <row r="44" customFormat="false" ht="15" hidden="false" customHeight="false" outlineLevel="0" collapsed="false">
      <c r="A44" s="21"/>
      <c r="B44" s="21"/>
      <c r="C44" s="21"/>
      <c r="D44" s="21"/>
      <c r="E44" s="21"/>
      <c r="F44" s="21"/>
      <c r="G44" s="21"/>
      <c r="H44" s="24"/>
      <c r="I44" s="10" t="str">
        <f aca="false">IF(A44="","",IFERROR(DATEVALUE(LEFT(A44,10)),A44))</f>
        <v/>
      </c>
      <c r="J44" s="8" t="str">
        <f aca="false">IF(H44="","",IF(COUNTIFS(Transactions!$A:$A,I44,Transactions!$J:$J,"&gt;="&amp;(H44-0.01),Transactions!$J:$J,"&lt;="&amp;(H44+0.01))&gt;0,"Matched","Missing from ledger"))</f>
        <v/>
      </c>
    </row>
    <row r="45" customFormat="false" ht="15" hidden="false" customHeight="false" outlineLevel="0" collapsed="false">
      <c r="A45" s="21"/>
      <c r="B45" s="21"/>
      <c r="C45" s="21"/>
      <c r="D45" s="21"/>
      <c r="E45" s="21"/>
      <c r="F45" s="21"/>
      <c r="G45" s="21"/>
      <c r="H45" s="24"/>
      <c r="I45" s="10" t="str">
        <f aca="false">IF(A45="","",IFERROR(DATEVALUE(LEFT(A45,10)),A45))</f>
        <v/>
      </c>
      <c r="J45" s="8" t="str">
        <f aca="false">IF(H45="","",IF(COUNTIFS(Transactions!$A:$A,I45,Transactions!$J:$J,"&gt;="&amp;(H45-0.01),Transactions!$J:$J,"&lt;="&amp;(H45+0.01))&gt;0,"Matched","Missing from ledger"))</f>
        <v/>
      </c>
    </row>
    <row r="46" customFormat="false" ht="15" hidden="false" customHeight="false" outlineLevel="0" collapsed="false">
      <c r="A46" s="21"/>
      <c r="B46" s="21"/>
      <c r="C46" s="21"/>
      <c r="D46" s="21"/>
      <c r="E46" s="21"/>
      <c r="F46" s="21"/>
      <c r="G46" s="21"/>
      <c r="H46" s="24"/>
      <c r="I46" s="10" t="str">
        <f aca="false">IF(A46="","",IFERROR(DATEVALUE(LEFT(A46,10)),A46))</f>
        <v/>
      </c>
      <c r="J46" s="8" t="str">
        <f aca="false">IF(H46="","",IF(COUNTIFS(Transactions!$A:$A,I46,Transactions!$J:$J,"&gt;="&amp;(H46-0.01),Transactions!$J:$J,"&lt;="&amp;(H46+0.01))&gt;0,"Matched","Missing from ledger"))</f>
        <v/>
      </c>
    </row>
    <row r="47" customFormat="false" ht="15" hidden="false" customHeight="false" outlineLevel="0" collapsed="false">
      <c r="A47" s="21"/>
      <c r="B47" s="21"/>
      <c r="C47" s="21"/>
      <c r="D47" s="21"/>
      <c r="E47" s="21"/>
      <c r="F47" s="21"/>
      <c r="G47" s="21"/>
      <c r="H47" s="24"/>
      <c r="I47" s="10" t="str">
        <f aca="false">IF(A47="","",IFERROR(DATEVALUE(LEFT(A47,10)),A47))</f>
        <v/>
      </c>
      <c r="J47" s="8" t="str">
        <f aca="false">IF(H47="","",IF(COUNTIFS(Transactions!$A:$A,I47,Transactions!$J:$J,"&gt;="&amp;(H47-0.01),Transactions!$J:$J,"&lt;="&amp;(H47+0.01))&gt;0,"Matched","Missing from ledger"))</f>
        <v/>
      </c>
    </row>
    <row r="48" customFormat="false" ht="15" hidden="false" customHeight="false" outlineLevel="0" collapsed="false">
      <c r="A48" s="21"/>
      <c r="B48" s="21"/>
      <c r="C48" s="21"/>
      <c r="D48" s="21"/>
      <c r="E48" s="21"/>
      <c r="F48" s="21"/>
      <c r="G48" s="21"/>
      <c r="H48" s="24"/>
      <c r="I48" s="10" t="str">
        <f aca="false">IF(A48="","",IFERROR(DATEVALUE(LEFT(A48,10)),A48))</f>
        <v/>
      </c>
      <c r="J48" s="8" t="str">
        <f aca="false">IF(H48="","",IF(COUNTIFS(Transactions!$A:$A,I48,Transactions!$J:$J,"&gt;="&amp;(H48-0.01),Transactions!$J:$J,"&lt;="&amp;(H48+0.01))&gt;0,"Matched","Missing from ledger"))</f>
        <v/>
      </c>
    </row>
    <row r="49" customFormat="false" ht="15" hidden="false" customHeight="false" outlineLevel="0" collapsed="false">
      <c r="A49" s="21"/>
      <c r="B49" s="21"/>
      <c r="C49" s="21"/>
      <c r="D49" s="21"/>
      <c r="E49" s="21"/>
      <c r="F49" s="21"/>
      <c r="G49" s="21"/>
      <c r="H49" s="24"/>
      <c r="I49" s="10" t="str">
        <f aca="false">IF(A49="","",IFERROR(DATEVALUE(LEFT(A49,10)),A49))</f>
        <v/>
      </c>
      <c r="J49" s="8" t="str">
        <f aca="false">IF(H49="","",IF(COUNTIFS(Transactions!$A:$A,I49,Transactions!$J:$J,"&gt;="&amp;(H49-0.01),Transactions!$J:$J,"&lt;="&amp;(H49+0.01))&gt;0,"Matched","Missing from ledger"))</f>
        <v/>
      </c>
    </row>
    <row r="50" customFormat="false" ht="15" hidden="false" customHeight="false" outlineLevel="0" collapsed="false">
      <c r="A50" s="21"/>
      <c r="B50" s="21"/>
      <c r="C50" s="21"/>
      <c r="D50" s="21"/>
      <c r="E50" s="21"/>
      <c r="F50" s="21"/>
      <c r="G50" s="21"/>
      <c r="H50" s="24"/>
      <c r="I50" s="10" t="str">
        <f aca="false">IF(A50="","",IFERROR(DATEVALUE(LEFT(A50,10)),A50))</f>
        <v/>
      </c>
      <c r="J50" s="8" t="str">
        <f aca="false">IF(H50="","",IF(COUNTIFS(Transactions!$A:$A,I50,Transactions!$J:$J,"&gt;="&amp;(H50-0.01),Transactions!$J:$J,"&lt;="&amp;(H50+0.01))&gt;0,"Matched","Missing from ledger"))</f>
        <v/>
      </c>
    </row>
    <row r="51" customFormat="false" ht="15" hidden="false" customHeight="false" outlineLevel="0" collapsed="false">
      <c r="A51" s="21"/>
      <c r="B51" s="21"/>
      <c r="C51" s="21"/>
      <c r="D51" s="21"/>
      <c r="E51" s="21"/>
      <c r="F51" s="21"/>
      <c r="G51" s="21"/>
      <c r="H51" s="24"/>
      <c r="I51" s="10" t="str">
        <f aca="false">IF(A51="","",IFERROR(DATEVALUE(LEFT(A51,10)),A51))</f>
        <v/>
      </c>
      <c r="J51" s="8" t="str">
        <f aca="false">IF(H51="","",IF(COUNTIFS(Transactions!$A:$A,I51,Transactions!$J:$J,"&gt;="&amp;(H51-0.01),Transactions!$J:$J,"&lt;="&amp;(H51+0.01))&gt;0,"Matched","Missing from ledger"))</f>
        <v/>
      </c>
    </row>
    <row r="52" customFormat="false" ht="15" hidden="false" customHeight="false" outlineLevel="0" collapsed="false">
      <c r="A52" s="21"/>
      <c r="B52" s="21"/>
      <c r="C52" s="21"/>
      <c r="D52" s="21"/>
      <c r="E52" s="21"/>
      <c r="F52" s="21"/>
      <c r="G52" s="21"/>
      <c r="H52" s="24"/>
      <c r="I52" s="10" t="str">
        <f aca="false">IF(A52="","",IFERROR(DATEVALUE(LEFT(A52,10)),A52))</f>
        <v/>
      </c>
      <c r="J52" s="8" t="str">
        <f aca="false">IF(H52="","",IF(COUNTIFS(Transactions!$A:$A,I52,Transactions!$J:$J,"&gt;="&amp;(H52-0.01),Transactions!$J:$J,"&lt;="&amp;(H52+0.01))&gt;0,"Matched","Missing from ledger"))</f>
        <v/>
      </c>
    </row>
    <row r="53" customFormat="false" ht="15" hidden="false" customHeight="false" outlineLevel="0" collapsed="false">
      <c r="A53" s="21"/>
      <c r="B53" s="21"/>
      <c r="C53" s="21"/>
      <c r="D53" s="21"/>
      <c r="E53" s="21"/>
      <c r="F53" s="21"/>
      <c r="G53" s="21"/>
      <c r="H53" s="24"/>
      <c r="I53" s="10" t="str">
        <f aca="false">IF(A53="","",IFERROR(DATEVALUE(LEFT(A53,10)),A53))</f>
        <v/>
      </c>
      <c r="J53" s="8" t="str">
        <f aca="false">IF(H53="","",IF(COUNTIFS(Transactions!$A:$A,I53,Transactions!$J:$J,"&gt;="&amp;(H53-0.01),Transactions!$J:$J,"&lt;="&amp;(H53+0.01))&gt;0,"Matched","Missing from ledger"))</f>
        <v/>
      </c>
    </row>
    <row r="54" customFormat="false" ht="15" hidden="false" customHeight="false" outlineLevel="0" collapsed="false">
      <c r="A54" s="21"/>
      <c r="B54" s="21"/>
      <c r="C54" s="21"/>
      <c r="D54" s="21"/>
      <c r="E54" s="21"/>
      <c r="F54" s="21"/>
      <c r="G54" s="21"/>
      <c r="H54" s="24"/>
      <c r="I54" s="10" t="str">
        <f aca="false">IF(A54="","",IFERROR(DATEVALUE(LEFT(A54,10)),A54))</f>
        <v/>
      </c>
      <c r="J54" s="8" t="str">
        <f aca="false">IF(H54="","",IF(COUNTIFS(Transactions!$A:$A,I54,Transactions!$J:$J,"&gt;="&amp;(H54-0.01),Transactions!$J:$J,"&lt;="&amp;(H54+0.01))&gt;0,"Matched","Missing from ledger"))</f>
        <v/>
      </c>
    </row>
    <row r="55" customFormat="false" ht="15" hidden="false" customHeight="false" outlineLevel="0" collapsed="false">
      <c r="A55" s="21"/>
      <c r="B55" s="21"/>
      <c r="C55" s="21"/>
      <c r="D55" s="21"/>
      <c r="E55" s="21"/>
      <c r="F55" s="21"/>
      <c r="G55" s="21"/>
      <c r="H55" s="24"/>
      <c r="I55" s="10" t="str">
        <f aca="false">IF(A55="","",IFERROR(DATEVALUE(LEFT(A55,10)),A55))</f>
        <v/>
      </c>
      <c r="J55" s="8" t="str">
        <f aca="false">IF(H55="","",IF(COUNTIFS(Transactions!$A:$A,I55,Transactions!$J:$J,"&gt;="&amp;(H55-0.01),Transactions!$J:$J,"&lt;="&amp;(H55+0.01))&gt;0,"Matched","Missing from ledger"))</f>
        <v/>
      </c>
    </row>
    <row r="56" customFormat="false" ht="15" hidden="false" customHeight="false" outlineLevel="0" collapsed="false">
      <c r="A56" s="21"/>
      <c r="B56" s="21"/>
      <c r="C56" s="21"/>
      <c r="D56" s="21"/>
      <c r="E56" s="21"/>
      <c r="F56" s="21"/>
      <c r="G56" s="21"/>
      <c r="H56" s="24"/>
      <c r="I56" s="10" t="str">
        <f aca="false">IF(A56="","",IFERROR(DATEVALUE(LEFT(A56,10)),A56))</f>
        <v/>
      </c>
      <c r="J56" s="8" t="str">
        <f aca="false">IF(H56="","",IF(COUNTIFS(Transactions!$A:$A,I56,Transactions!$J:$J,"&gt;="&amp;(H56-0.01),Transactions!$J:$J,"&lt;="&amp;(H56+0.01))&gt;0,"Matched","Missing from ledger"))</f>
        <v/>
      </c>
    </row>
    <row r="57" customFormat="false" ht="15" hidden="false" customHeight="false" outlineLevel="0" collapsed="false">
      <c r="A57" s="21"/>
      <c r="B57" s="21"/>
      <c r="C57" s="21"/>
      <c r="D57" s="21"/>
      <c r="E57" s="21"/>
      <c r="F57" s="21"/>
      <c r="G57" s="21"/>
      <c r="H57" s="24"/>
      <c r="I57" s="10" t="str">
        <f aca="false">IF(A57="","",IFERROR(DATEVALUE(LEFT(A57,10)),A57))</f>
        <v/>
      </c>
      <c r="J57" s="8" t="str">
        <f aca="false">IF(H57="","",IF(COUNTIFS(Transactions!$A:$A,I57,Transactions!$J:$J,"&gt;="&amp;(H57-0.01),Transactions!$J:$J,"&lt;="&amp;(H57+0.01))&gt;0,"Matched","Missing from ledger"))</f>
        <v/>
      </c>
    </row>
    <row r="58" customFormat="false" ht="15" hidden="false" customHeight="false" outlineLevel="0" collapsed="false">
      <c r="A58" s="21"/>
      <c r="B58" s="21"/>
      <c r="C58" s="21"/>
      <c r="D58" s="21"/>
      <c r="E58" s="21"/>
      <c r="F58" s="21"/>
      <c r="G58" s="21"/>
      <c r="H58" s="24"/>
      <c r="I58" s="10" t="str">
        <f aca="false">IF(A58="","",IFERROR(DATEVALUE(LEFT(A58,10)),A58))</f>
        <v/>
      </c>
      <c r="J58" s="8" t="str">
        <f aca="false">IF(H58="","",IF(COUNTIFS(Transactions!$A:$A,I58,Transactions!$J:$J,"&gt;="&amp;(H58-0.01),Transactions!$J:$J,"&lt;="&amp;(H58+0.01))&gt;0,"Matched","Missing from ledger"))</f>
        <v/>
      </c>
    </row>
    <row r="59" customFormat="false" ht="15" hidden="false" customHeight="false" outlineLevel="0" collapsed="false">
      <c r="A59" s="21"/>
      <c r="B59" s="21"/>
      <c r="C59" s="21"/>
      <c r="D59" s="21"/>
      <c r="E59" s="21"/>
      <c r="F59" s="21"/>
      <c r="G59" s="21"/>
      <c r="H59" s="24"/>
      <c r="I59" s="10" t="str">
        <f aca="false">IF(A59="","",IFERROR(DATEVALUE(LEFT(A59,10)),A59))</f>
        <v/>
      </c>
      <c r="J59" s="8" t="str">
        <f aca="false">IF(H59="","",IF(COUNTIFS(Transactions!$A:$A,I59,Transactions!$J:$J,"&gt;="&amp;(H59-0.01),Transactions!$J:$J,"&lt;="&amp;(H59+0.01))&gt;0,"Matched","Missing from ledger"))</f>
        <v/>
      </c>
    </row>
    <row r="60" customFormat="false" ht="15" hidden="false" customHeight="false" outlineLevel="0" collapsed="false">
      <c r="A60" s="21"/>
      <c r="B60" s="21"/>
      <c r="C60" s="21"/>
      <c r="D60" s="21"/>
      <c r="E60" s="21"/>
      <c r="F60" s="21"/>
      <c r="G60" s="21"/>
      <c r="H60" s="24"/>
      <c r="I60" s="10" t="str">
        <f aca="false">IF(A60="","",IFERROR(DATEVALUE(LEFT(A60,10)),A60))</f>
        <v/>
      </c>
      <c r="J60" s="8" t="str">
        <f aca="false">IF(H60="","",IF(COUNTIFS(Transactions!$A:$A,I60,Transactions!$J:$J,"&gt;="&amp;(H60-0.01),Transactions!$J:$J,"&lt;="&amp;(H60+0.01))&gt;0,"Matched","Missing from ledger"))</f>
        <v/>
      </c>
    </row>
    <row r="61" customFormat="false" ht="15" hidden="false" customHeight="false" outlineLevel="0" collapsed="false">
      <c r="A61" s="21"/>
      <c r="B61" s="21"/>
      <c r="C61" s="21"/>
      <c r="D61" s="21"/>
      <c r="E61" s="21"/>
      <c r="F61" s="21"/>
      <c r="G61" s="21"/>
      <c r="H61" s="24"/>
      <c r="I61" s="10" t="str">
        <f aca="false">IF(A61="","",IFERROR(DATEVALUE(LEFT(A61,10)),A61))</f>
        <v/>
      </c>
      <c r="J61" s="8" t="str">
        <f aca="false">IF(H61="","",IF(COUNTIFS(Transactions!$A:$A,I61,Transactions!$J:$J,"&gt;="&amp;(H61-0.01),Transactions!$J:$J,"&lt;="&amp;(H61+0.01))&gt;0,"Matched","Missing from ledger"))</f>
        <v/>
      </c>
    </row>
    <row r="62" customFormat="false" ht="15" hidden="false" customHeight="false" outlineLevel="0" collapsed="false">
      <c r="A62" s="21"/>
      <c r="B62" s="21"/>
      <c r="C62" s="21"/>
      <c r="D62" s="21"/>
      <c r="E62" s="21"/>
      <c r="F62" s="21"/>
      <c r="G62" s="21"/>
      <c r="H62" s="24"/>
      <c r="I62" s="10" t="str">
        <f aca="false">IF(A62="","",IFERROR(DATEVALUE(LEFT(A62,10)),A62))</f>
        <v/>
      </c>
      <c r="J62" s="8" t="str">
        <f aca="false">IF(H62="","",IF(COUNTIFS(Transactions!$A:$A,I62,Transactions!$J:$J,"&gt;="&amp;(H62-0.01),Transactions!$J:$J,"&lt;="&amp;(H62+0.01))&gt;0,"Matched","Missing from ledger"))</f>
        <v/>
      </c>
    </row>
    <row r="63" customFormat="false" ht="15" hidden="false" customHeight="false" outlineLevel="0" collapsed="false">
      <c r="A63" s="21"/>
      <c r="B63" s="21"/>
      <c r="C63" s="21"/>
      <c r="D63" s="21"/>
      <c r="E63" s="21"/>
      <c r="F63" s="21"/>
      <c r="G63" s="21"/>
      <c r="H63" s="24"/>
      <c r="I63" s="10" t="str">
        <f aca="false">IF(A63="","",IFERROR(DATEVALUE(LEFT(A63,10)),A63))</f>
        <v/>
      </c>
      <c r="J63" s="8" t="str">
        <f aca="false">IF(H63="","",IF(COUNTIFS(Transactions!$A:$A,I63,Transactions!$J:$J,"&gt;="&amp;(H63-0.01),Transactions!$J:$J,"&lt;="&amp;(H63+0.01))&gt;0,"Matched","Missing from ledger"))</f>
        <v/>
      </c>
    </row>
    <row r="64" customFormat="false" ht="15" hidden="false" customHeight="false" outlineLevel="0" collapsed="false">
      <c r="A64" s="21"/>
      <c r="B64" s="21"/>
      <c r="C64" s="21"/>
      <c r="D64" s="21"/>
      <c r="E64" s="21"/>
      <c r="F64" s="21"/>
      <c r="G64" s="21"/>
      <c r="H64" s="24"/>
      <c r="I64" s="10" t="str">
        <f aca="false">IF(A64="","",IFERROR(DATEVALUE(LEFT(A64,10)),A64))</f>
        <v/>
      </c>
      <c r="J64" s="8" t="str">
        <f aca="false">IF(H64="","",IF(COUNTIFS(Transactions!$A:$A,I64,Transactions!$J:$J,"&gt;="&amp;(H64-0.01),Transactions!$J:$J,"&lt;="&amp;(H64+0.01))&gt;0,"Matched","Missing from ledger"))</f>
        <v/>
      </c>
    </row>
    <row r="65" customFormat="false" ht="15" hidden="false" customHeight="false" outlineLevel="0" collapsed="false">
      <c r="A65" s="21"/>
      <c r="B65" s="21"/>
      <c r="C65" s="21"/>
      <c r="D65" s="21"/>
      <c r="E65" s="21"/>
      <c r="F65" s="21"/>
      <c r="G65" s="21"/>
      <c r="H65" s="24"/>
      <c r="I65" s="10" t="str">
        <f aca="false">IF(A65="","",IFERROR(DATEVALUE(LEFT(A65,10)),A65))</f>
        <v/>
      </c>
      <c r="J65" s="8" t="str">
        <f aca="false">IF(H65="","",IF(COUNTIFS(Transactions!$A:$A,I65,Transactions!$J:$J,"&gt;="&amp;(H65-0.01),Transactions!$J:$J,"&lt;="&amp;(H65+0.01))&gt;0,"Matched","Missing from ledger"))</f>
        <v/>
      </c>
    </row>
    <row r="66" customFormat="false" ht="15" hidden="false" customHeight="false" outlineLevel="0" collapsed="false">
      <c r="A66" s="21"/>
      <c r="B66" s="21"/>
      <c r="C66" s="21"/>
      <c r="D66" s="21"/>
      <c r="E66" s="21"/>
      <c r="F66" s="21"/>
      <c r="G66" s="21"/>
      <c r="H66" s="24"/>
      <c r="I66" s="10" t="str">
        <f aca="false">IF(A66="","",IFERROR(DATEVALUE(LEFT(A66,10)),A66))</f>
        <v/>
      </c>
      <c r="J66" s="8" t="str">
        <f aca="false">IF(H66="","",IF(COUNTIFS(Transactions!$A:$A,I66,Transactions!$J:$J,"&gt;="&amp;(H66-0.01),Transactions!$J:$J,"&lt;="&amp;(H66+0.01))&gt;0,"Matched","Missing from ledger"))</f>
        <v/>
      </c>
    </row>
    <row r="67" customFormat="false" ht="15" hidden="false" customHeight="false" outlineLevel="0" collapsed="false">
      <c r="A67" s="21"/>
      <c r="B67" s="21"/>
      <c r="C67" s="21"/>
      <c r="D67" s="21"/>
      <c r="E67" s="21"/>
      <c r="F67" s="21"/>
      <c r="G67" s="21"/>
      <c r="H67" s="24"/>
      <c r="I67" s="10" t="str">
        <f aca="false">IF(A67="","",IFERROR(DATEVALUE(LEFT(A67,10)),A67))</f>
        <v/>
      </c>
      <c r="J67" s="8" t="str">
        <f aca="false">IF(H67="","",IF(COUNTIFS(Transactions!$A:$A,I67,Transactions!$J:$J,"&gt;="&amp;(H67-0.01),Transactions!$J:$J,"&lt;="&amp;(H67+0.01))&gt;0,"Matched","Missing from ledger"))</f>
        <v/>
      </c>
    </row>
    <row r="68" customFormat="false" ht="15" hidden="false" customHeight="false" outlineLevel="0" collapsed="false">
      <c r="A68" s="21"/>
      <c r="B68" s="21"/>
      <c r="C68" s="21"/>
      <c r="D68" s="21"/>
      <c r="E68" s="21"/>
      <c r="F68" s="21"/>
      <c r="G68" s="21"/>
      <c r="H68" s="24"/>
      <c r="I68" s="10" t="str">
        <f aca="false">IF(A68="","",IFERROR(DATEVALUE(LEFT(A68,10)),A68))</f>
        <v/>
      </c>
      <c r="J68" s="8" t="str">
        <f aca="false">IF(H68="","",IF(COUNTIFS(Transactions!$A:$A,I68,Transactions!$J:$J,"&gt;="&amp;(H68-0.01),Transactions!$J:$J,"&lt;="&amp;(H68+0.01))&gt;0,"Matched","Missing from ledger"))</f>
        <v/>
      </c>
    </row>
    <row r="69" customFormat="false" ht="15" hidden="false" customHeight="false" outlineLevel="0" collapsed="false">
      <c r="A69" s="21"/>
      <c r="B69" s="21"/>
      <c r="C69" s="21"/>
      <c r="D69" s="21"/>
      <c r="E69" s="21"/>
      <c r="F69" s="21"/>
      <c r="G69" s="21"/>
      <c r="H69" s="24"/>
      <c r="I69" s="10" t="str">
        <f aca="false">IF(A69="","",IFERROR(DATEVALUE(LEFT(A69,10)),A69))</f>
        <v/>
      </c>
      <c r="J69" s="8" t="str">
        <f aca="false">IF(H69="","",IF(COUNTIFS(Transactions!$A:$A,I69,Transactions!$J:$J,"&gt;="&amp;(H69-0.01),Transactions!$J:$J,"&lt;="&amp;(H69+0.01))&gt;0,"Matched","Missing from ledger"))</f>
        <v/>
      </c>
    </row>
    <row r="70" customFormat="false" ht="15" hidden="false" customHeight="false" outlineLevel="0" collapsed="false">
      <c r="A70" s="21"/>
      <c r="B70" s="21"/>
      <c r="C70" s="21"/>
      <c r="D70" s="21"/>
      <c r="E70" s="21"/>
      <c r="F70" s="21"/>
      <c r="G70" s="21"/>
      <c r="H70" s="24"/>
      <c r="I70" s="10" t="str">
        <f aca="false">IF(A70="","",IFERROR(DATEVALUE(LEFT(A70,10)),A70))</f>
        <v/>
      </c>
      <c r="J70" s="8" t="str">
        <f aca="false">IF(H70="","",IF(COUNTIFS(Transactions!$A:$A,I70,Transactions!$J:$J,"&gt;="&amp;(H70-0.01),Transactions!$J:$J,"&lt;="&amp;(H70+0.01))&gt;0,"Matched","Missing from ledger"))</f>
        <v/>
      </c>
    </row>
    <row r="71" customFormat="false" ht="15" hidden="false" customHeight="false" outlineLevel="0" collapsed="false">
      <c r="A71" s="21"/>
      <c r="B71" s="21"/>
      <c r="C71" s="21"/>
      <c r="D71" s="21"/>
      <c r="E71" s="21"/>
      <c r="F71" s="21"/>
      <c r="G71" s="21"/>
      <c r="H71" s="24"/>
      <c r="I71" s="10" t="str">
        <f aca="false">IF(A71="","",IFERROR(DATEVALUE(LEFT(A71,10)),A71))</f>
        <v/>
      </c>
      <c r="J71" s="8" t="str">
        <f aca="false">IF(H71="","",IF(COUNTIFS(Transactions!$A:$A,I71,Transactions!$J:$J,"&gt;="&amp;(H71-0.01),Transactions!$J:$J,"&lt;="&amp;(H71+0.01))&gt;0,"Matched","Missing from ledger"))</f>
        <v/>
      </c>
    </row>
    <row r="72" customFormat="false" ht="15" hidden="false" customHeight="false" outlineLevel="0" collapsed="false">
      <c r="A72" s="21"/>
      <c r="B72" s="21"/>
      <c r="C72" s="21"/>
      <c r="D72" s="21"/>
      <c r="E72" s="21"/>
      <c r="F72" s="21"/>
      <c r="G72" s="21"/>
      <c r="H72" s="24"/>
      <c r="I72" s="10" t="str">
        <f aca="false">IF(A72="","",IFERROR(DATEVALUE(LEFT(A72,10)),A72))</f>
        <v/>
      </c>
      <c r="J72" s="8" t="str">
        <f aca="false">IF(H72="","",IF(COUNTIFS(Transactions!$A:$A,I72,Transactions!$J:$J,"&gt;="&amp;(H72-0.01),Transactions!$J:$J,"&lt;="&amp;(H72+0.01))&gt;0,"Matched","Missing from ledger"))</f>
        <v/>
      </c>
    </row>
    <row r="73" customFormat="false" ht="15" hidden="false" customHeight="false" outlineLevel="0" collapsed="false">
      <c r="A73" s="21"/>
      <c r="B73" s="21"/>
      <c r="C73" s="21"/>
      <c r="D73" s="21"/>
      <c r="E73" s="21"/>
      <c r="F73" s="21"/>
      <c r="G73" s="21"/>
      <c r="H73" s="24"/>
      <c r="I73" s="10" t="str">
        <f aca="false">IF(A73="","",IFERROR(DATEVALUE(LEFT(A73,10)),A73))</f>
        <v/>
      </c>
      <c r="J73" s="8" t="str">
        <f aca="false">IF(H73="","",IF(COUNTIFS(Transactions!$A:$A,I73,Transactions!$J:$J,"&gt;="&amp;(H73-0.01),Transactions!$J:$J,"&lt;="&amp;(H73+0.01))&gt;0,"Matched","Missing from ledger"))</f>
        <v/>
      </c>
    </row>
    <row r="74" customFormat="false" ht="15" hidden="false" customHeight="false" outlineLevel="0" collapsed="false">
      <c r="A74" s="21"/>
      <c r="B74" s="21"/>
      <c r="C74" s="21"/>
      <c r="D74" s="21"/>
      <c r="E74" s="21"/>
      <c r="F74" s="21"/>
      <c r="G74" s="21"/>
      <c r="H74" s="24"/>
      <c r="I74" s="10" t="str">
        <f aca="false">IF(A74="","",IFERROR(DATEVALUE(LEFT(A74,10)),A74))</f>
        <v/>
      </c>
      <c r="J74" s="8" t="str">
        <f aca="false">IF(H74="","",IF(COUNTIFS(Transactions!$A:$A,I74,Transactions!$J:$J,"&gt;="&amp;(H74-0.01),Transactions!$J:$J,"&lt;="&amp;(H74+0.01))&gt;0,"Matched","Missing from ledger"))</f>
        <v/>
      </c>
    </row>
    <row r="75" customFormat="false" ht="15" hidden="false" customHeight="false" outlineLevel="0" collapsed="false">
      <c r="A75" s="21"/>
      <c r="B75" s="21"/>
      <c r="C75" s="21"/>
      <c r="D75" s="21"/>
      <c r="E75" s="21"/>
      <c r="F75" s="21"/>
      <c r="G75" s="21"/>
      <c r="H75" s="24"/>
      <c r="I75" s="10" t="str">
        <f aca="false">IF(A75="","",IFERROR(DATEVALUE(LEFT(A75,10)),A75))</f>
        <v/>
      </c>
      <c r="J75" s="8" t="str">
        <f aca="false">IF(H75="","",IF(COUNTIFS(Transactions!$A:$A,I75,Transactions!$J:$J,"&gt;="&amp;(H75-0.01),Transactions!$J:$J,"&lt;="&amp;(H75+0.01))&gt;0,"Matched","Missing from ledger"))</f>
        <v/>
      </c>
    </row>
    <row r="76" customFormat="false" ht="15" hidden="false" customHeight="false" outlineLevel="0" collapsed="false">
      <c r="A76" s="21"/>
      <c r="B76" s="21"/>
      <c r="C76" s="21"/>
      <c r="D76" s="21"/>
      <c r="E76" s="21"/>
      <c r="F76" s="21"/>
      <c r="G76" s="21"/>
      <c r="H76" s="24"/>
      <c r="I76" s="10" t="str">
        <f aca="false">IF(A76="","",IFERROR(DATEVALUE(LEFT(A76,10)),A76))</f>
        <v/>
      </c>
      <c r="J76" s="8" t="str">
        <f aca="false">IF(H76="","",IF(COUNTIFS(Transactions!$A:$A,I76,Transactions!$J:$J,"&gt;="&amp;(H76-0.01),Transactions!$J:$J,"&lt;="&amp;(H76+0.01))&gt;0,"Matched","Missing from ledger"))</f>
        <v/>
      </c>
    </row>
    <row r="77" customFormat="false" ht="15" hidden="false" customHeight="false" outlineLevel="0" collapsed="false">
      <c r="A77" s="21"/>
      <c r="B77" s="21"/>
      <c r="C77" s="21"/>
      <c r="D77" s="21"/>
      <c r="E77" s="21"/>
      <c r="F77" s="21"/>
      <c r="G77" s="21"/>
      <c r="H77" s="24"/>
      <c r="I77" s="10" t="str">
        <f aca="false">IF(A77="","",IFERROR(DATEVALUE(LEFT(A77,10)),A77))</f>
        <v/>
      </c>
      <c r="J77" s="8" t="str">
        <f aca="false">IF(H77="","",IF(COUNTIFS(Transactions!$A:$A,I77,Transactions!$J:$J,"&gt;="&amp;(H77-0.01),Transactions!$J:$J,"&lt;="&amp;(H77+0.01))&gt;0,"Matched","Missing from ledger"))</f>
        <v/>
      </c>
    </row>
    <row r="78" customFormat="false" ht="15" hidden="false" customHeight="false" outlineLevel="0" collapsed="false">
      <c r="A78" s="21"/>
      <c r="B78" s="21"/>
      <c r="C78" s="21"/>
      <c r="D78" s="21"/>
      <c r="E78" s="21"/>
      <c r="F78" s="21"/>
      <c r="G78" s="21"/>
      <c r="H78" s="24"/>
      <c r="I78" s="10" t="str">
        <f aca="false">IF(A78="","",IFERROR(DATEVALUE(LEFT(A78,10)),A78))</f>
        <v/>
      </c>
      <c r="J78" s="8" t="str">
        <f aca="false">IF(H78="","",IF(COUNTIFS(Transactions!$A:$A,I78,Transactions!$J:$J,"&gt;="&amp;(H78-0.01),Transactions!$J:$J,"&lt;="&amp;(H78+0.01))&gt;0,"Matched","Missing from ledger"))</f>
        <v/>
      </c>
    </row>
    <row r="79" customFormat="false" ht="15" hidden="false" customHeight="false" outlineLevel="0" collapsed="false">
      <c r="A79" s="21"/>
      <c r="B79" s="21"/>
      <c r="C79" s="21"/>
      <c r="D79" s="21"/>
      <c r="E79" s="21"/>
      <c r="F79" s="21"/>
      <c r="G79" s="21"/>
      <c r="H79" s="24"/>
      <c r="I79" s="10" t="str">
        <f aca="false">IF(A79="","",IFERROR(DATEVALUE(LEFT(A79,10)),A79))</f>
        <v/>
      </c>
      <c r="J79" s="8" t="str">
        <f aca="false">IF(H79="","",IF(COUNTIFS(Transactions!$A:$A,I79,Transactions!$J:$J,"&gt;="&amp;(H79-0.01),Transactions!$J:$J,"&lt;="&amp;(H79+0.01))&gt;0,"Matched","Missing from ledger"))</f>
        <v/>
      </c>
    </row>
    <row r="80" customFormat="false" ht="15" hidden="false" customHeight="false" outlineLevel="0" collapsed="false">
      <c r="A80" s="21"/>
      <c r="B80" s="21"/>
      <c r="C80" s="21"/>
      <c r="D80" s="21"/>
      <c r="E80" s="21"/>
      <c r="F80" s="21"/>
      <c r="G80" s="21"/>
      <c r="H80" s="24"/>
      <c r="I80" s="10" t="str">
        <f aca="false">IF(A80="","",IFERROR(DATEVALUE(LEFT(A80,10)),A80))</f>
        <v/>
      </c>
      <c r="J80" s="8" t="str">
        <f aca="false">IF(H80="","",IF(COUNTIFS(Transactions!$A:$A,I80,Transactions!$J:$J,"&gt;="&amp;(H80-0.01),Transactions!$J:$J,"&lt;="&amp;(H80+0.01))&gt;0,"Matched","Missing from ledger"))</f>
        <v/>
      </c>
    </row>
    <row r="81" customFormat="false" ht="15" hidden="false" customHeight="false" outlineLevel="0" collapsed="false">
      <c r="A81" s="21"/>
      <c r="B81" s="21"/>
      <c r="C81" s="21"/>
      <c r="D81" s="21"/>
      <c r="E81" s="21"/>
      <c r="F81" s="21"/>
      <c r="G81" s="21"/>
      <c r="H81" s="24"/>
      <c r="I81" s="10" t="str">
        <f aca="false">IF(A81="","",IFERROR(DATEVALUE(LEFT(A81,10)),A81))</f>
        <v/>
      </c>
      <c r="J81" s="8" t="str">
        <f aca="false">IF(H81="","",IF(COUNTIFS(Transactions!$A:$A,I81,Transactions!$J:$J,"&gt;="&amp;(H81-0.01),Transactions!$J:$J,"&lt;="&amp;(H81+0.01))&gt;0,"Matched","Missing from ledger"))</f>
        <v/>
      </c>
    </row>
    <row r="82" customFormat="false" ht="15" hidden="false" customHeight="false" outlineLevel="0" collapsed="false">
      <c r="A82" s="21"/>
      <c r="B82" s="21"/>
      <c r="C82" s="21"/>
      <c r="D82" s="21"/>
      <c r="E82" s="21"/>
      <c r="F82" s="21"/>
      <c r="G82" s="21"/>
      <c r="H82" s="24"/>
      <c r="I82" s="10" t="str">
        <f aca="false">IF(A82="","",IFERROR(DATEVALUE(LEFT(A82,10)),A82))</f>
        <v/>
      </c>
      <c r="J82" s="8" t="str">
        <f aca="false">IF(H82="","",IF(COUNTIFS(Transactions!$A:$A,I82,Transactions!$J:$J,"&gt;="&amp;(H82-0.01),Transactions!$J:$J,"&lt;="&amp;(H82+0.01))&gt;0,"Matched","Missing from ledger"))</f>
        <v/>
      </c>
    </row>
    <row r="83" customFormat="false" ht="15" hidden="false" customHeight="false" outlineLevel="0" collapsed="false">
      <c r="A83" s="21"/>
      <c r="B83" s="21"/>
      <c r="C83" s="21"/>
      <c r="D83" s="21"/>
      <c r="E83" s="21"/>
      <c r="F83" s="21"/>
      <c r="G83" s="21"/>
      <c r="H83" s="24"/>
      <c r="I83" s="10" t="str">
        <f aca="false">IF(A83="","",IFERROR(DATEVALUE(LEFT(A83,10)),A83))</f>
        <v/>
      </c>
      <c r="J83" s="8" t="str">
        <f aca="false">IF(H83="","",IF(COUNTIFS(Transactions!$A:$A,I83,Transactions!$J:$J,"&gt;="&amp;(H83-0.01),Transactions!$J:$J,"&lt;="&amp;(H83+0.01))&gt;0,"Matched","Missing from ledger"))</f>
        <v/>
      </c>
    </row>
    <row r="84" customFormat="false" ht="15" hidden="false" customHeight="false" outlineLevel="0" collapsed="false">
      <c r="A84" s="21"/>
      <c r="B84" s="21"/>
      <c r="C84" s="21"/>
      <c r="D84" s="21"/>
      <c r="E84" s="21"/>
      <c r="F84" s="21"/>
      <c r="G84" s="21"/>
      <c r="H84" s="24"/>
      <c r="I84" s="10" t="str">
        <f aca="false">IF(A84="","",IFERROR(DATEVALUE(LEFT(A84,10)),A84))</f>
        <v/>
      </c>
      <c r="J84" s="8" t="str">
        <f aca="false">IF(H84="","",IF(COUNTIFS(Transactions!$A:$A,I84,Transactions!$J:$J,"&gt;="&amp;(H84-0.01),Transactions!$J:$J,"&lt;="&amp;(H84+0.01))&gt;0,"Matched","Missing from ledger"))</f>
        <v/>
      </c>
    </row>
    <row r="85" customFormat="false" ht="15" hidden="false" customHeight="false" outlineLevel="0" collapsed="false">
      <c r="A85" s="21"/>
      <c r="B85" s="21"/>
      <c r="C85" s="21"/>
      <c r="D85" s="21"/>
      <c r="E85" s="21"/>
      <c r="F85" s="21"/>
      <c r="G85" s="21"/>
      <c r="H85" s="24"/>
      <c r="I85" s="10" t="str">
        <f aca="false">IF(A85="","",IFERROR(DATEVALUE(LEFT(A85,10)),A85))</f>
        <v/>
      </c>
      <c r="J85" s="8" t="str">
        <f aca="false">IF(H85="","",IF(COUNTIFS(Transactions!$A:$A,I85,Transactions!$J:$J,"&gt;="&amp;(H85-0.01),Transactions!$J:$J,"&lt;="&amp;(H85+0.01))&gt;0,"Matched","Missing from ledger"))</f>
        <v/>
      </c>
    </row>
    <row r="86" customFormat="false" ht="15" hidden="false" customHeight="false" outlineLevel="0" collapsed="false">
      <c r="A86" s="21"/>
      <c r="B86" s="21"/>
      <c r="C86" s="21"/>
      <c r="D86" s="21"/>
      <c r="E86" s="21"/>
      <c r="F86" s="21"/>
      <c r="G86" s="21"/>
      <c r="H86" s="24"/>
      <c r="I86" s="10" t="str">
        <f aca="false">IF(A86="","",IFERROR(DATEVALUE(LEFT(A86,10)),A86))</f>
        <v/>
      </c>
      <c r="J86" s="8" t="str">
        <f aca="false">IF(H86="","",IF(COUNTIFS(Transactions!$A:$A,I86,Transactions!$J:$J,"&gt;="&amp;(H86-0.01),Transactions!$J:$J,"&lt;="&amp;(H86+0.01))&gt;0,"Matched","Missing from ledger"))</f>
        <v/>
      </c>
    </row>
    <row r="87" customFormat="false" ht="15" hidden="false" customHeight="false" outlineLevel="0" collapsed="false">
      <c r="A87" s="21"/>
      <c r="B87" s="21"/>
      <c r="C87" s="21"/>
      <c r="D87" s="21"/>
      <c r="E87" s="21"/>
      <c r="F87" s="21"/>
      <c r="G87" s="21"/>
      <c r="H87" s="24"/>
      <c r="I87" s="10" t="str">
        <f aca="false">IF(A87="","",IFERROR(DATEVALUE(LEFT(A87,10)),A87))</f>
        <v/>
      </c>
      <c r="J87" s="8" t="str">
        <f aca="false">IF(H87="","",IF(COUNTIFS(Transactions!$A:$A,I87,Transactions!$J:$J,"&gt;="&amp;(H87-0.01),Transactions!$J:$J,"&lt;="&amp;(H87+0.01))&gt;0,"Matched","Missing from ledger"))</f>
        <v/>
      </c>
    </row>
    <row r="88" customFormat="false" ht="15" hidden="false" customHeight="false" outlineLevel="0" collapsed="false">
      <c r="A88" s="21"/>
      <c r="B88" s="21"/>
      <c r="C88" s="21"/>
      <c r="D88" s="21"/>
      <c r="E88" s="21"/>
      <c r="F88" s="21"/>
      <c r="G88" s="21"/>
      <c r="H88" s="24"/>
      <c r="I88" s="10" t="str">
        <f aca="false">IF(A88="","",IFERROR(DATEVALUE(LEFT(A88,10)),A88))</f>
        <v/>
      </c>
      <c r="J88" s="8" t="str">
        <f aca="false">IF(H88="","",IF(COUNTIFS(Transactions!$A:$A,I88,Transactions!$J:$J,"&gt;="&amp;(H88-0.01),Transactions!$J:$J,"&lt;="&amp;(H88+0.01))&gt;0,"Matched","Missing from ledger"))</f>
        <v/>
      </c>
    </row>
    <row r="89" customFormat="false" ht="15" hidden="false" customHeight="false" outlineLevel="0" collapsed="false">
      <c r="A89" s="21"/>
      <c r="B89" s="21"/>
      <c r="C89" s="21"/>
      <c r="D89" s="21"/>
      <c r="E89" s="21"/>
      <c r="F89" s="21"/>
      <c r="G89" s="21"/>
      <c r="H89" s="24"/>
      <c r="I89" s="10" t="str">
        <f aca="false">IF(A89="","",IFERROR(DATEVALUE(LEFT(A89,10)),A89))</f>
        <v/>
      </c>
      <c r="J89" s="8" t="str">
        <f aca="false">IF(H89="","",IF(COUNTIFS(Transactions!$A:$A,I89,Transactions!$J:$J,"&gt;="&amp;(H89-0.01),Transactions!$J:$J,"&lt;="&amp;(H89+0.01))&gt;0,"Matched","Missing from ledger"))</f>
        <v/>
      </c>
    </row>
    <row r="90" customFormat="false" ht="15" hidden="false" customHeight="false" outlineLevel="0" collapsed="false">
      <c r="A90" s="21"/>
      <c r="B90" s="21"/>
      <c r="C90" s="21"/>
      <c r="D90" s="21"/>
      <c r="E90" s="21"/>
      <c r="F90" s="21"/>
      <c r="G90" s="21"/>
      <c r="H90" s="24"/>
      <c r="I90" s="10" t="str">
        <f aca="false">IF(A90="","",IFERROR(DATEVALUE(LEFT(A90,10)),A90))</f>
        <v/>
      </c>
      <c r="J90" s="8" t="str">
        <f aca="false">IF(H90="","",IF(COUNTIFS(Transactions!$A:$A,I90,Transactions!$J:$J,"&gt;="&amp;(H90-0.01),Transactions!$J:$J,"&lt;="&amp;(H90+0.01))&gt;0,"Matched","Missing from ledger"))</f>
        <v/>
      </c>
    </row>
    <row r="91" customFormat="false" ht="15" hidden="false" customHeight="false" outlineLevel="0" collapsed="false">
      <c r="A91" s="21"/>
      <c r="B91" s="21"/>
      <c r="C91" s="21"/>
      <c r="D91" s="21"/>
      <c r="E91" s="21"/>
      <c r="F91" s="21"/>
      <c r="G91" s="21"/>
      <c r="H91" s="24"/>
      <c r="I91" s="10" t="str">
        <f aca="false">IF(A91="","",IFERROR(DATEVALUE(LEFT(A91,10)),A91))</f>
        <v/>
      </c>
      <c r="J91" s="8" t="str">
        <f aca="false">IF(H91="","",IF(COUNTIFS(Transactions!$A:$A,I91,Transactions!$J:$J,"&gt;="&amp;(H91-0.01),Transactions!$J:$J,"&lt;="&amp;(H91+0.01))&gt;0,"Matched","Missing from ledger"))</f>
        <v/>
      </c>
    </row>
    <row r="92" customFormat="false" ht="15" hidden="false" customHeight="false" outlineLevel="0" collapsed="false">
      <c r="A92" s="21"/>
      <c r="B92" s="21"/>
      <c r="C92" s="21"/>
      <c r="D92" s="21"/>
      <c r="E92" s="21"/>
      <c r="F92" s="21"/>
      <c r="G92" s="21"/>
      <c r="H92" s="24"/>
      <c r="I92" s="10" t="str">
        <f aca="false">IF(A92="","",IFERROR(DATEVALUE(LEFT(A92,10)),A92))</f>
        <v/>
      </c>
      <c r="J92" s="8" t="str">
        <f aca="false">IF(H92="","",IF(COUNTIFS(Transactions!$A:$A,I92,Transactions!$J:$J,"&gt;="&amp;(H92-0.01),Transactions!$J:$J,"&lt;="&amp;(H92+0.01))&gt;0,"Matched","Missing from ledger"))</f>
        <v/>
      </c>
    </row>
    <row r="93" customFormat="false" ht="15" hidden="false" customHeight="false" outlineLevel="0" collapsed="false">
      <c r="A93" s="21"/>
      <c r="B93" s="21"/>
      <c r="C93" s="21"/>
      <c r="D93" s="21"/>
      <c r="E93" s="21"/>
      <c r="F93" s="21"/>
      <c r="G93" s="21"/>
      <c r="H93" s="24"/>
      <c r="I93" s="10" t="str">
        <f aca="false">IF(A93="","",IFERROR(DATEVALUE(LEFT(A93,10)),A93))</f>
        <v/>
      </c>
      <c r="J93" s="8" t="str">
        <f aca="false">IF(H93="","",IF(COUNTIFS(Transactions!$A:$A,I93,Transactions!$J:$J,"&gt;="&amp;(H93-0.01),Transactions!$J:$J,"&lt;="&amp;(H93+0.01))&gt;0,"Matched","Missing from ledger"))</f>
        <v/>
      </c>
    </row>
    <row r="94" customFormat="false" ht="15" hidden="false" customHeight="false" outlineLevel="0" collapsed="false">
      <c r="A94" s="21"/>
      <c r="B94" s="21"/>
      <c r="C94" s="21"/>
      <c r="D94" s="21"/>
      <c r="E94" s="21"/>
      <c r="F94" s="21"/>
      <c r="G94" s="21"/>
      <c r="H94" s="24"/>
      <c r="I94" s="10" t="str">
        <f aca="false">IF(A94="","",IFERROR(DATEVALUE(LEFT(A94,10)),A94))</f>
        <v/>
      </c>
      <c r="J94" s="8" t="str">
        <f aca="false">IF(H94="","",IF(COUNTIFS(Transactions!$A:$A,I94,Transactions!$J:$J,"&gt;="&amp;(H94-0.01),Transactions!$J:$J,"&lt;="&amp;(H94+0.01))&gt;0,"Matched","Missing from ledger"))</f>
        <v/>
      </c>
    </row>
    <row r="95" customFormat="false" ht="15" hidden="false" customHeight="false" outlineLevel="0" collapsed="false">
      <c r="A95" s="21"/>
      <c r="B95" s="21"/>
      <c r="C95" s="21"/>
      <c r="D95" s="21"/>
      <c r="E95" s="21"/>
      <c r="F95" s="21"/>
      <c r="G95" s="21"/>
      <c r="H95" s="24"/>
      <c r="I95" s="10" t="str">
        <f aca="false">IF(A95="","",IFERROR(DATEVALUE(LEFT(A95,10)),A95))</f>
        <v/>
      </c>
      <c r="J95" s="8" t="str">
        <f aca="false">IF(H95="","",IF(COUNTIFS(Transactions!$A:$A,I95,Transactions!$J:$J,"&gt;="&amp;(H95-0.01),Transactions!$J:$J,"&lt;="&amp;(H95+0.01))&gt;0,"Matched","Missing from ledger"))</f>
        <v/>
      </c>
    </row>
    <row r="96" customFormat="false" ht="15" hidden="false" customHeight="false" outlineLevel="0" collapsed="false">
      <c r="A96" s="21"/>
      <c r="B96" s="21"/>
      <c r="C96" s="21"/>
      <c r="D96" s="21"/>
      <c r="E96" s="21"/>
      <c r="F96" s="21"/>
      <c r="G96" s="21"/>
      <c r="H96" s="24"/>
      <c r="I96" s="10" t="str">
        <f aca="false">IF(A96="","",IFERROR(DATEVALUE(LEFT(A96,10)),A96))</f>
        <v/>
      </c>
      <c r="J96" s="8" t="str">
        <f aca="false">IF(H96="","",IF(COUNTIFS(Transactions!$A:$A,I96,Transactions!$J:$J,"&gt;="&amp;(H96-0.01),Transactions!$J:$J,"&lt;="&amp;(H96+0.01))&gt;0,"Matched","Missing from ledger"))</f>
        <v/>
      </c>
    </row>
    <row r="97" customFormat="false" ht="15" hidden="false" customHeight="false" outlineLevel="0" collapsed="false">
      <c r="A97" s="21"/>
      <c r="B97" s="21"/>
      <c r="C97" s="21"/>
      <c r="D97" s="21"/>
      <c r="E97" s="21"/>
      <c r="F97" s="21"/>
      <c r="G97" s="21"/>
      <c r="H97" s="24"/>
      <c r="I97" s="10" t="str">
        <f aca="false">IF(A97="","",IFERROR(DATEVALUE(LEFT(A97,10)),A97))</f>
        <v/>
      </c>
      <c r="J97" s="8" t="str">
        <f aca="false">IF(H97="","",IF(COUNTIFS(Transactions!$A:$A,I97,Transactions!$J:$J,"&gt;="&amp;(H97-0.01),Transactions!$J:$J,"&lt;="&amp;(H97+0.01))&gt;0,"Matched","Missing from ledger"))</f>
        <v/>
      </c>
    </row>
    <row r="98" customFormat="false" ht="15" hidden="false" customHeight="false" outlineLevel="0" collapsed="false">
      <c r="A98" s="21"/>
      <c r="B98" s="21"/>
      <c r="C98" s="21"/>
      <c r="D98" s="21"/>
      <c r="E98" s="21"/>
      <c r="F98" s="21"/>
      <c r="G98" s="21"/>
      <c r="H98" s="24"/>
      <c r="I98" s="10" t="str">
        <f aca="false">IF(A98="","",IFERROR(DATEVALUE(LEFT(A98,10)),A98))</f>
        <v/>
      </c>
      <c r="J98" s="8" t="str">
        <f aca="false">IF(H98="","",IF(COUNTIFS(Transactions!$A:$A,I98,Transactions!$J:$J,"&gt;="&amp;(H98-0.01),Transactions!$J:$J,"&lt;="&amp;(H98+0.01))&gt;0,"Matched","Missing from ledger"))</f>
        <v/>
      </c>
    </row>
    <row r="99" customFormat="false" ht="15" hidden="false" customHeight="false" outlineLevel="0" collapsed="false">
      <c r="A99" s="21"/>
      <c r="B99" s="21"/>
      <c r="C99" s="21"/>
      <c r="D99" s="21"/>
      <c r="E99" s="21"/>
      <c r="F99" s="21"/>
      <c r="G99" s="21"/>
      <c r="H99" s="24"/>
      <c r="I99" s="10" t="str">
        <f aca="false">IF(A99="","",IFERROR(DATEVALUE(LEFT(A99,10)),A99))</f>
        <v/>
      </c>
      <c r="J99" s="8" t="str">
        <f aca="false">IF(H99="","",IF(COUNTIFS(Transactions!$A:$A,I99,Transactions!$J:$J,"&gt;="&amp;(H99-0.01),Transactions!$J:$J,"&lt;="&amp;(H99+0.01))&gt;0,"Matched","Missing from ledger"))</f>
        <v/>
      </c>
    </row>
    <row r="100" customFormat="false" ht="15" hidden="false" customHeight="false" outlineLevel="0" collapsed="false">
      <c r="A100" s="21"/>
      <c r="B100" s="21"/>
      <c r="C100" s="21"/>
      <c r="D100" s="21"/>
      <c r="E100" s="21"/>
      <c r="F100" s="21"/>
      <c r="G100" s="21"/>
      <c r="H100" s="24"/>
      <c r="I100" s="10" t="str">
        <f aca="false">IF(A100="","",IFERROR(DATEVALUE(LEFT(A100,10)),A100))</f>
        <v/>
      </c>
      <c r="J100" s="8" t="str">
        <f aca="false">IF(H100="","",IF(COUNTIFS(Transactions!$A:$A,I100,Transactions!$J:$J,"&gt;="&amp;(H100-0.01),Transactions!$J:$J,"&lt;="&amp;(H100+0.01))&gt;0,"Matched","Missing from ledger"))</f>
        <v/>
      </c>
    </row>
    <row r="101" customFormat="false" ht="15" hidden="false" customHeight="false" outlineLevel="0" collapsed="false">
      <c r="A101" s="21"/>
      <c r="B101" s="21"/>
      <c r="C101" s="21"/>
      <c r="D101" s="21"/>
      <c r="E101" s="21"/>
      <c r="F101" s="21"/>
      <c r="G101" s="21"/>
      <c r="H101" s="24"/>
      <c r="I101" s="10" t="str">
        <f aca="false">IF(A101="","",IFERROR(DATEVALUE(LEFT(A101,10)),A101))</f>
        <v/>
      </c>
      <c r="J101" s="8" t="str">
        <f aca="false">IF(H101="","",IF(COUNTIFS(Transactions!$A:$A,I101,Transactions!$J:$J,"&gt;="&amp;(H101-0.01),Transactions!$J:$J,"&lt;="&amp;(H101+0.01))&gt;0,"Matched","Missing from ledger"))</f>
        <v/>
      </c>
    </row>
    <row r="102" customFormat="false" ht="15" hidden="false" customHeight="false" outlineLevel="0" collapsed="false">
      <c r="A102" s="21"/>
      <c r="B102" s="21"/>
      <c r="C102" s="21"/>
      <c r="D102" s="21"/>
      <c r="E102" s="21"/>
      <c r="F102" s="21"/>
      <c r="G102" s="21"/>
      <c r="H102" s="24"/>
      <c r="I102" s="10" t="str">
        <f aca="false">IF(A102="","",IFERROR(DATEVALUE(LEFT(A102,10)),A102))</f>
        <v/>
      </c>
      <c r="J102" s="8" t="str">
        <f aca="false">IF(H102="","",IF(COUNTIFS(Transactions!$A:$A,I102,Transactions!$J:$J,"&gt;="&amp;(H102-0.01),Transactions!$J:$J,"&lt;="&amp;(H102+0.01))&gt;0,"Matched","Missing from ledger"))</f>
        <v/>
      </c>
    </row>
    <row r="103" customFormat="false" ht="15" hidden="false" customHeight="false" outlineLevel="0" collapsed="false">
      <c r="A103" s="21"/>
      <c r="B103" s="21"/>
      <c r="C103" s="21"/>
      <c r="D103" s="21"/>
      <c r="E103" s="21"/>
      <c r="F103" s="21"/>
      <c r="G103" s="21"/>
      <c r="H103" s="24"/>
      <c r="I103" s="10" t="str">
        <f aca="false">IF(A103="","",IFERROR(DATEVALUE(LEFT(A103,10)),A103))</f>
        <v/>
      </c>
      <c r="J103" s="8" t="str">
        <f aca="false">IF(H103="","",IF(COUNTIFS(Transactions!$A:$A,I103,Transactions!$J:$J,"&gt;="&amp;(H103-0.01),Transactions!$J:$J,"&lt;="&amp;(H103+0.01))&gt;0,"Matched","Missing from ledger"))</f>
        <v/>
      </c>
    </row>
    <row r="104" customFormat="false" ht="15" hidden="false" customHeight="false" outlineLevel="0" collapsed="false">
      <c r="A104" s="21"/>
      <c r="B104" s="21"/>
      <c r="C104" s="21"/>
      <c r="D104" s="21"/>
      <c r="E104" s="21"/>
      <c r="F104" s="21"/>
      <c r="G104" s="21"/>
      <c r="H104" s="24"/>
      <c r="I104" s="10" t="str">
        <f aca="false">IF(A104="","",IFERROR(DATEVALUE(LEFT(A104,10)),A104))</f>
        <v/>
      </c>
      <c r="J104" s="8" t="str">
        <f aca="false">IF(H104="","",IF(COUNTIFS(Transactions!$A:$A,I104,Transactions!$J:$J,"&gt;="&amp;(H104-0.01),Transactions!$J:$J,"&lt;="&amp;(H104+0.01))&gt;0,"Matched","Missing from ledger"))</f>
        <v/>
      </c>
    </row>
    <row r="105" customFormat="false" ht="15" hidden="false" customHeight="false" outlineLevel="0" collapsed="false">
      <c r="A105" s="21"/>
      <c r="B105" s="21"/>
      <c r="C105" s="21"/>
      <c r="D105" s="21"/>
      <c r="E105" s="21"/>
      <c r="F105" s="21"/>
      <c r="G105" s="21"/>
      <c r="H105" s="24"/>
      <c r="I105" s="10" t="str">
        <f aca="false">IF(A105="","",IFERROR(DATEVALUE(LEFT(A105,10)),A105))</f>
        <v/>
      </c>
      <c r="J105" s="8" t="str">
        <f aca="false">IF(H105="","",IF(COUNTIFS(Transactions!$A:$A,I105,Transactions!$J:$J,"&gt;="&amp;(H105-0.01),Transactions!$J:$J,"&lt;="&amp;(H105+0.01))&gt;0,"Matched","Missing from ledger"))</f>
        <v/>
      </c>
    </row>
    <row r="106" customFormat="false" ht="15" hidden="false" customHeight="false" outlineLevel="0" collapsed="false">
      <c r="A106" s="21"/>
      <c r="B106" s="21"/>
      <c r="C106" s="21"/>
      <c r="D106" s="21"/>
      <c r="E106" s="21"/>
      <c r="F106" s="21"/>
      <c r="G106" s="21"/>
      <c r="H106" s="24"/>
      <c r="I106" s="10" t="str">
        <f aca="false">IF(A106="","",IFERROR(DATEVALUE(LEFT(A106,10)),A106))</f>
        <v/>
      </c>
      <c r="J106" s="8" t="str">
        <f aca="false">IF(H106="","",IF(COUNTIFS(Transactions!$A:$A,I106,Transactions!$J:$J,"&gt;="&amp;(H106-0.01),Transactions!$J:$J,"&lt;="&amp;(H106+0.01))&gt;0,"Matched","Missing from ledger"))</f>
        <v/>
      </c>
    </row>
    <row r="107" customFormat="false" ht="15" hidden="false" customHeight="false" outlineLevel="0" collapsed="false">
      <c r="A107" s="21"/>
      <c r="B107" s="21"/>
      <c r="C107" s="21"/>
      <c r="D107" s="21"/>
      <c r="E107" s="21"/>
      <c r="F107" s="21"/>
      <c r="G107" s="21"/>
      <c r="H107" s="24"/>
      <c r="I107" s="10" t="str">
        <f aca="false">IF(A107="","",IFERROR(DATEVALUE(LEFT(A107,10)),A107))</f>
        <v/>
      </c>
      <c r="J107" s="8" t="str">
        <f aca="false">IF(H107="","",IF(COUNTIFS(Transactions!$A:$A,I107,Transactions!$J:$J,"&gt;="&amp;(H107-0.01),Transactions!$J:$J,"&lt;="&amp;(H107+0.01))&gt;0,"Matched","Missing from ledger"))</f>
        <v/>
      </c>
    </row>
    <row r="108" customFormat="false" ht="15" hidden="false" customHeight="false" outlineLevel="0" collapsed="false">
      <c r="A108" s="21"/>
      <c r="B108" s="21"/>
      <c r="C108" s="21"/>
      <c r="D108" s="21"/>
      <c r="E108" s="21"/>
      <c r="F108" s="21"/>
      <c r="G108" s="21"/>
      <c r="H108" s="24"/>
      <c r="I108" s="10" t="str">
        <f aca="false">IF(A108="","",IFERROR(DATEVALUE(LEFT(A108,10)),A108))</f>
        <v/>
      </c>
      <c r="J108" s="8" t="str">
        <f aca="false">IF(H108="","",IF(COUNTIFS(Transactions!$A:$A,I108,Transactions!$J:$J,"&gt;="&amp;(H108-0.01),Transactions!$J:$J,"&lt;="&amp;(H108+0.01))&gt;0,"Matched","Missing from ledger"))</f>
        <v/>
      </c>
    </row>
    <row r="109" customFormat="false" ht="15" hidden="false" customHeight="false" outlineLevel="0" collapsed="false">
      <c r="A109" s="21"/>
      <c r="B109" s="21"/>
      <c r="C109" s="21"/>
      <c r="D109" s="21"/>
      <c r="E109" s="21"/>
      <c r="F109" s="21"/>
      <c r="G109" s="21"/>
      <c r="H109" s="24"/>
      <c r="I109" s="10" t="str">
        <f aca="false">IF(A109="","",IFERROR(DATEVALUE(LEFT(A109,10)),A109))</f>
        <v/>
      </c>
      <c r="J109" s="8" t="str">
        <f aca="false">IF(H109="","",IF(COUNTIFS(Transactions!$A:$A,I109,Transactions!$J:$J,"&gt;="&amp;(H109-0.01),Transactions!$J:$J,"&lt;="&amp;(H109+0.01))&gt;0,"Matched","Missing from ledger"))</f>
        <v/>
      </c>
    </row>
    <row r="110" customFormat="false" ht="15" hidden="false" customHeight="false" outlineLevel="0" collapsed="false">
      <c r="A110" s="21"/>
      <c r="B110" s="21"/>
      <c r="C110" s="21"/>
      <c r="D110" s="21"/>
      <c r="E110" s="21"/>
      <c r="F110" s="21"/>
      <c r="G110" s="21"/>
      <c r="H110" s="24"/>
      <c r="I110" s="10" t="str">
        <f aca="false">IF(A110="","",IFERROR(DATEVALUE(LEFT(A110,10)),A110))</f>
        <v/>
      </c>
      <c r="J110" s="8" t="str">
        <f aca="false">IF(H110="","",IF(COUNTIFS(Transactions!$A:$A,I110,Transactions!$J:$J,"&gt;="&amp;(H110-0.01),Transactions!$J:$J,"&lt;="&amp;(H110+0.01))&gt;0,"Matched","Missing from ledger"))</f>
        <v/>
      </c>
    </row>
    <row r="111" customFormat="false" ht="15" hidden="false" customHeight="false" outlineLevel="0" collapsed="false">
      <c r="A111" s="21"/>
      <c r="B111" s="21"/>
      <c r="C111" s="21"/>
      <c r="D111" s="21"/>
      <c r="E111" s="21"/>
      <c r="F111" s="21"/>
      <c r="G111" s="21"/>
      <c r="H111" s="24"/>
      <c r="I111" s="10" t="str">
        <f aca="false">IF(A111="","",IFERROR(DATEVALUE(LEFT(A111,10)),A111))</f>
        <v/>
      </c>
      <c r="J111" s="8" t="str">
        <f aca="false">IF(H111="","",IF(COUNTIFS(Transactions!$A:$A,I111,Transactions!$J:$J,"&gt;="&amp;(H111-0.01),Transactions!$J:$J,"&lt;="&amp;(H111+0.01))&gt;0,"Matched","Missing from ledger"))</f>
        <v/>
      </c>
    </row>
    <row r="112" customFormat="false" ht="15" hidden="false" customHeight="false" outlineLevel="0" collapsed="false">
      <c r="A112" s="21"/>
      <c r="B112" s="21"/>
      <c r="C112" s="21"/>
      <c r="D112" s="21"/>
      <c r="E112" s="21"/>
      <c r="F112" s="21"/>
      <c r="G112" s="21"/>
      <c r="H112" s="24"/>
      <c r="I112" s="10" t="str">
        <f aca="false">IF(A112="","",IFERROR(DATEVALUE(LEFT(A112,10)),A112))</f>
        <v/>
      </c>
      <c r="J112" s="8" t="str">
        <f aca="false">IF(H112="","",IF(COUNTIFS(Transactions!$A:$A,I112,Transactions!$J:$J,"&gt;="&amp;(H112-0.01),Transactions!$J:$J,"&lt;="&amp;(H112+0.01))&gt;0,"Matched","Missing from ledger"))</f>
        <v/>
      </c>
    </row>
    <row r="113" customFormat="false" ht="15" hidden="false" customHeight="false" outlineLevel="0" collapsed="false">
      <c r="A113" s="21"/>
      <c r="B113" s="21"/>
      <c r="C113" s="21"/>
      <c r="D113" s="21"/>
      <c r="E113" s="21"/>
      <c r="F113" s="21"/>
      <c r="G113" s="21"/>
      <c r="H113" s="24"/>
      <c r="I113" s="10" t="str">
        <f aca="false">IF(A113="","",IFERROR(DATEVALUE(LEFT(A113,10)),A113))</f>
        <v/>
      </c>
      <c r="J113" s="8" t="str">
        <f aca="false">IF(H113="","",IF(COUNTIFS(Transactions!$A:$A,I113,Transactions!$J:$J,"&gt;="&amp;(H113-0.01),Transactions!$J:$J,"&lt;="&amp;(H113+0.01))&gt;0,"Matched","Missing from ledger"))</f>
        <v/>
      </c>
    </row>
    <row r="114" customFormat="false" ht="15" hidden="false" customHeight="false" outlineLevel="0" collapsed="false">
      <c r="A114" s="21"/>
      <c r="B114" s="21"/>
      <c r="C114" s="21"/>
      <c r="D114" s="21"/>
      <c r="E114" s="21"/>
      <c r="F114" s="21"/>
      <c r="G114" s="21"/>
      <c r="H114" s="24"/>
      <c r="I114" s="10" t="str">
        <f aca="false">IF(A114="","",IFERROR(DATEVALUE(LEFT(A114,10)),A114))</f>
        <v/>
      </c>
      <c r="J114" s="8" t="str">
        <f aca="false">IF(H114="","",IF(COUNTIFS(Transactions!$A:$A,I114,Transactions!$J:$J,"&gt;="&amp;(H114-0.01),Transactions!$J:$J,"&lt;="&amp;(H114+0.01))&gt;0,"Matched","Missing from ledger"))</f>
        <v/>
      </c>
    </row>
    <row r="115" customFormat="false" ht="15" hidden="false" customHeight="false" outlineLevel="0" collapsed="false">
      <c r="A115" s="21"/>
      <c r="B115" s="21"/>
      <c r="C115" s="21"/>
      <c r="D115" s="21"/>
      <c r="E115" s="21"/>
      <c r="F115" s="21"/>
      <c r="G115" s="21"/>
      <c r="H115" s="24"/>
      <c r="I115" s="10" t="str">
        <f aca="false">IF(A115="","",IFERROR(DATEVALUE(LEFT(A115,10)),A115))</f>
        <v/>
      </c>
      <c r="J115" s="8" t="str">
        <f aca="false">IF(H115="","",IF(COUNTIFS(Transactions!$A:$A,I115,Transactions!$J:$J,"&gt;="&amp;(H115-0.01),Transactions!$J:$J,"&lt;="&amp;(H115+0.01))&gt;0,"Matched","Missing from ledger"))</f>
        <v/>
      </c>
    </row>
    <row r="116" customFormat="false" ht="15" hidden="false" customHeight="false" outlineLevel="0" collapsed="false">
      <c r="A116" s="21"/>
      <c r="B116" s="21"/>
      <c r="C116" s="21"/>
      <c r="D116" s="21"/>
      <c r="E116" s="21"/>
      <c r="F116" s="21"/>
      <c r="G116" s="21"/>
      <c r="H116" s="24"/>
      <c r="I116" s="10" t="str">
        <f aca="false">IF(A116="","",IFERROR(DATEVALUE(LEFT(A116,10)),A116))</f>
        <v/>
      </c>
      <c r="J116" s="8" t="str">
        <f aca="false">IF(H116="","",IF(COUNTIFS(Transactions!$A:$A,I116,Transactions!$J:$J,"&gt;="&amp;(H116-0.01),Transactions!$J:$J,"&lt;="&amp;(H116+0.01))&gt;0,"Matched","Missing from ledger"))</f>
        <v/>
      </c>
    </row>
    <row r="117" customFormat="false" ht="15" hidden="false" customHeight="false" outlineLevel="0" collapsed="false">
      <c r="A117" s="21"/>
      <c r="B117" s="21"/>
      <c r="C117" s="21"/>
      <c r="D117" s="21"/>
      <c r="E117" s="21"/>
      <c r="F117" s="21"/>
      <c r="G117" s="21"/>
      <c r="H117" s="24"/>
      <c r="I117" s="10" t="str">
        <f aca="false">IF(A117="","",IFERROR(DATEVALUE(LEFT(A117,10)),A117))</f>
        <v/>
      </c>
      <c r="J117" s="8" t="str">
        <f aca="false">IF(H117="","",IF(COUNTIFS(Transactions!$A:$A,I117,Transactions!$J:$J,"&gt;="&amp;(H117-0.01),Transactions!$J:$J,"&lt;="&amp;(H117+0.01))&gt;0,"Matched","Missing from ledger"))</f>
        <v/>
      </c>
    </row>
    <row r="118" customFormat="false" ht="15" hidden="false" customHeight="false" outlineLevel="0" collapsed="false">
      <c r="A118" s="21"/>
      <c r="B118" s="21"/>
      <c r="C118" s="21"/>
      <c r="D118" s="21"/>
      <c r="E118" s="21"/>
      <c r="F118" s="21"/>
      <c r="G118" s="21"/>
      <c r="H118" s="24"/>
      <c r="I118" s="10" t="str">
        <f aca="false">IF(A118="","",IFERROR(DATEVALUE(LEFT(A118,10)),A118))</f>
        <v/>
      </c>
      <c r="J118" s="8" t="str">
        <f aca="false">IF(H118="","",IF(COUNTIFS(Transactions!$A:$A,I118,Transactions!$J:$J,"&gt;="&amp;(H118-0.01),Transactions!$J:$J,"&lt;="&amp;(H118+0.01))&gt;0,"Matched","Missing from ledger"))</f>
        <v/>
      </c>
    </row>
    <row r="119" customFormat="false" ht="15" hidden="false" customHeight="false" outlineLevel="0" collapsed="false">
      <c r="A119" s="21"/>
      <c r="B119" s="21"/>
      <c r="C119" s="21"/>
      <c r="D119" s="21"/>
      <c r="E119" s="21"/>
      <c r="F119" s="21"/>
      <c r="G119" s="21"/>
      <c r="H119" s="24"/>
      <c r="I119" s="10" t="str">
        <f aca="false">IF(A119="","",IFERROR(DATEVALUE(LEFT(A119,10)),A119))</f>
        <v/>
      </c>
      <c r="J119" s="8" t="str">
        <f aca="false">IF(H119="","",IF(COUNTIFS(Transactions!$A:$A,I119,Transactions!$J:$J,"&gt;="&amp;(H119-0.01),Transactions!$J:$J,"&lt;="&amp;(H119+0.01))&gt;0,"Matched","Missing from ledger"))</f>
        <v/>
      </c>
    </row>
    <row r="120" customFormat="false" ht="15" hidden="false" customHeight="false" outlineLevel="0" collapsed="false">
      <c r="A120" s="21"/>
      <c r="B120" s="21"/>
      <c r="C120" s="21"/>
      <c r="D120" s="21"/>
      <c r="E120" s="21"/>
      <c r="F120" s="21"/>
      <c r="G120" s="21"/>
      <c r="H120" s="24"/>
      <c r="I120" s="10" t="str">
        <f aca="false">IF(A120="","",IFERROR(DATEVALUE(LEFT(A120,10)),A120))</f>
        <v/>
      </c>
      <c r="J120" s="8" t="str">
        <f aca="false">IF(H120="","",IF(COUNTIFS(Transactions!$A:$A,I120,Transactions!$J:$J,"&gt;="&amp;(H120-0.01),Transactions!$J:$J,"&lt;="&amp;(H120+0.01))&gt;0,"Matched","Missing from ledger"))</f>
        <v/>
      </c>
    </row>
    <row r="121" customFormat="false" ht="15" hidden="false" customHeight="false" outlineLevel="0" collapsed="false">
      <c r="A121" s="21"/>
      <c r="B121" s="21"/>
      <c r="C121" s="21"/>
      <c r="D121" s="21"/>
      <c r="E121" s="21"/>
      <c r="F121" s="21"/>
      <c r="G121" s="21"/>
      <c r="H121" s="24"/>
      <c r="I121" s="10" t="str">
        <f aca="false">IF(A121="","",IFERROR(DATEVALUE(LEFT(A121,10)),A121))</f>
        <v/>
      </c>
      <c r="J121" s="8" t="str">
        <f aca="false">IF(H121="","",IF(COUNTIFS(Transactions!$A:$A,I121,Transactions!$J:$J,"&gt;="&amp;(H121-0.01),Transactions!$J:$J,"&lt;="&amp;(H121+0.01))&gt;0,"Matched","Missing from ledger"))</f>
        <v/>
      </c>
    </row>
    <row r="122" customFormat="false" ht="15" hidden="false" customHeight="false" outlineLevel="0" collapsed="false">
      <c r="A122" s="21"/>
      <c r="B122" s="21"/>
      <c r="C122" s="21"/>
      <c r="D122" s="21"/>
      <c r="E122" s="21"/>
      <c r="F122" s="21"/>
      <c r="G122" s="21"/>
      <c r="H122" s="24"/>
      <c r="I122" s="10" t="str">
        <f aca="false">IF(A122="","",IFERROR(DATEVALUE(LEFT(A122,10)),A122))</f>
        <v/>
      </c>
      <c r="J122" s="8" t="str">
        <f aca="false">IF(H122="","",IF(COUNTIFS(Transactions!$A:$A,I122,Transactions!$J:$J,"&gt;="&amp;(H122-0.01),Transactions!$J:$J,"&lt;="&amp;(H122+0.01))&gt;0,"Matched","Missing from ledger"))</f>
        <v/>
      </c>
    </row>
    <row r="123" customFormat="false" ht="15" hidden="false" customHeight="false" outlineLevel="0" collapsed="false">
      <c r="A123" s="21"/>
      <c r="B123" s="21"/>
      <c r="C123" s="21"/>
      <c r="D123" s="21"/>
      <c r="E123" s="21"/>
      <c r="F123" s="21"/>
      <c r="G123" s="21"/>
      <c r="H123" s="24"/>
      <c r="I123" s="10" t="str">
        <f aca="false">IF(A123="","",IFERROR(DATEVALUE(LEFT(A123,10)),A123))</f>
        <v/>
      </c>
      <c r="J123" s="8" t="str">
        <f aca="false">IF(H123="","",IF(COUNTIFS(Transactions!$A:$A,I123,Transactions!$J:$J,"&gt;="&amp;(H123-0.01),Transactions!$J:$J,"&lt;="&amp;(H123+0.01))&gt;0,"Matched","Missing from ledger"))</f>
        <v/>
      </c>
    </row>
    <row r="124" customFormat="false" ht="15" hidden="false" customHeight="false" outlineLevel="0" collapsed="false">
      <c r="A124" s="21"/>
      <c r="B124" s="21"/>
      <c r="C124" s="21"/>
      <c r="D124" s="21"/>
      <c r="E124" s="21"/>
      <c r="F124" s="21"/>
      <c r="G124" s="21"/>
      <c r="H124" s="24"/>
      <c r="I124" s="10" t="str">
        <f aca="false">IF(A124="","",IFERROR(DATEVALUE(LEFT(A124,10)),A124))</f>
        <v/>
      </c>
      <c r="J124" s="8" t="str">
        <f aca="false">IF(H124="","",IF(COUNTIFS(Transactions!$A:$A,I124,Transactions!$J:$J,"&gt;="&amp;(H124-0.01),Transactions!$J:$J,"&lt;="&amp;(H124+0.01))&gt;0,"Matched","Missing from ledger"))</f>
        <v/>
      </c>
    </row>
    <row r="125" customFormat="false" ht="15" hidden="false" customHeight="false" outlineLevel="0" collapsed="false">
      <c r="A125" s="21"/>
      <c r="B125" s="21"/>
      <c r="C125" s="21"/>
      <c r="D125" s="21"/>
      <c r="E125" s="21"/>
      <c r="F125" s="21"/>
      <c r="G125" s="21"/>
      <c r="H125" s="24"/>
      <c r="I125" s="10" t="str">
        <f aca="false">IF(A125="","",IFERROR(DATEVALUE(LEFT(A125,10)),A125))</f>
        <v/>
      </c>
      <c r="J125" s="8" t="str">
        <f aca="false">IF(H125="","",IF(COUNTIFS(Transactions!$A:$A,I125,Transactions!$J:$J,"&gt;="&amp;(H125-0.01),Transactions!$J:$J,"&lt;="&amp;(H125+0.01))&gt;0,"Matched","Missing from ledger"))</f>
        <v/>
      </c>
    </row>
    <row r="126" customFormat="false" ht="15" hidden="false" customHeight="false" outlineLevel="0" collapsed="false">
      <c r="A126" s="21"/>
      <c r="B126" s="21"/>
      <c r="C126" s="21"/>
      <c r="D126" s="21"/>
      <c r="E126" s="21"/>
      <c r="F126" s="21"/>
      <c r="G126" s="21"/>
      <c r="H126" s="24"/>
      <c r="I126" s="10" t="str">
        <f aca="false">IF(A126="","",IFERROR(DATEVALUE(LEFT(A126,10)),A126))</f>
        <v/>
      </c>
      <c r="J126" s="8" t="str">
        <f aca="false">IF(H126="","",IF(COUNTIFS(Transactions!$A:$A,I126,Transactions!$J:$J,"&gt;="&amp;(H126-0.01),Transactions!$J:$J,"&lt;="&amp;(H126+0.01))&gt;0,"Matched","Missing from ledger"))</f>
        <v/>
      </c>
    </row>
    <row r="127" customFormat="false" ht="15" hidden="false" customHeight="false" outlineLevel="0" collapsed="false">
      <c r="A127" s="21"/>
      <c r="B127" s="21"/>
      <c r="C127" s="21"/>
      <c r="D127" s="21"/>
      <c r="E127" s="21"/>
      <c r="F127" s="21"/>
      <c r="G127" s="21"/>
      <c r="H127" s="24"/>
      <c r="I127" s="10" t="str">
        <f aca="false">IF(A127="","",IFERROR(DATEVALUE(LEFT(A127,10)),A127))</f>
        <v/>
      </c>
      <c r="J127" s="8" t="str">
        <f aca="false">IF(H127="","",IF(COUNTIFS(Transactions!$A:$A,I127,Transactions!$J:$J,"&gt;="&amp;(H127-0.01),Transactions!$J:$J,"&lt;="&amp;(H127+0.01))&gt;0,"Matched","Missing from ledger"))</f>
        <v/>
      </c>
    </row>
    <row r="128" customFormat="false" ht="15" hidden="false" customHeight="false" outlineLevel="0" collapsed="false">
      <c r="A128" s="21"/>
      <c r="B128" s="21"/>
      <c r="C128" s="21"/>
      <c r="D128" s="21"/>
      <c r="E128" s="21"/>
      <c r="F128" s="21"/>
      <c r="G128" s="21"/>
      <c r="H128" s="24"/>
      <c r="I128" s="10" t="str">
        <f aca="false">IF(A128="","",IFERROR(DATEVALUE(LEFT(A128,10)),A128))</f>
        <v/>
      </c>
      <c r="J128" s="8" t="str">
        <f aca="false">IF(H128="","",IF(COUNTIFS(Transactions!$A:$A,I128,Transactions!$J:$J,"&gt;="&amp;(H128-0.01),Transactions!$J:$J,"&lt;="&amp;(H128+0.01))&gt;0,"Matched","Missing from ledger"))</f>
        <v/>
      </c>
    </row>
    <row r="129" customFormat="false" ht="15" hidden="false" customHeight="false" outlineLevel="0" collapsed="false">
      <c r="A129" s="21"/>
      <c r="B129" s="21"/>
      <c r="C129" s="21"/>
      <c r="D129" s="21"/>
      <c r="E129" s="21"/>
      <c r="F129" s="21"/>
      <c r="G129" s="21"/>
      <c r="H129" s="24"/>
      <c r="I129" s="10" t="str">
        <f aca="false">IF(A129="","",IFERROR(DATEVALUE(LEFT(A129,10)),A129))</f>
        <v/>
      </c>
      <c r="J129" s="8" t="str">
        <f aca="false">IF(H129="","",IF(COUNTIFS(Transactions!$A:$A,I129,Transactions!$J:$J,"&gt;="&amp;(H129-0.01),Transactions!$J:$J,"&lt;="&amp;(H129+0.01))&gt;0,"Matched","Missing from ledger"))</f>
        <v/>
      </c>
    </row>
    <row r="130" customFormat="false" ht="15" hidden="false" customHeight="false" outlineLevel="0" collapsed="false">
      <c r="A130" s="21"/>
      <c r="B130" s="21"/>
      <c r="C130" s="21"/>
      <c r="D130" s="21"/>
      <c r="E130" s="21"/>
      <c r="F130" s="21"/>
      <c r="G130" s="21"/>
      <c r="H130" s="24"/>
      <c r="I130" s="10" t="str">
        <f aca="false">IF(A130="","",IFERROR(DATEVALUE(LEFT(A130,10)),A130))</f>
        <v/>
      </c>
      <c r="J130" s="8" t="str">
        <f aca="false">IF(H130="","",IF(COUNTIFS(Transactions!$A:$A,I130,Transactions!$J:$J,"&gt;="&amp;(H130-0.01),Transactions!$J:$J,"&lt;="&amp;(H130+0.01))&gt;0,"Matched","Missing from ledger"))</f>
        <v/>
      </c>
    </row>
    <row r="131" customFormat="false" ht="15" hidden="false" customHeight="false" outlineLevel="0" collapsed="false">
      <c r="A131" s="21"/>
      <c r="B131" s="21"/>
      <c r="C131" s="21"/>
      <c r="D131" s="21"/>
      <c r="E131" s="21"/>
      <c r="F131" s="21"/>
      <c r="G131" s="21"/>
      <c r="H131" s="24"/>
      <c r="I131" s="10" t="str">
        <f aca="false">IF(A131="","",IFERROR(DATEVALUE(LEFT(A131,10)),A131))</f>
        <v/>
      </c>
      <c r="J131" s="8" t="str">
        <f aca="false">IF(H131="","",IF(COUNTIFS(Transactions!$A:$A,I131,Transactions!$J:$J,"&gt;="&amp;(H131-0.01),Transactions!$J:$J,"&lt;="&amp;(H131+0.01))&gt;0,"Matched","Missing from ledger"))</f>
        <v/>
      </c>
    </row>
    <row r="132" customFormat="false" ht="15" hidden="false" customHeight="false" outlineLevel="0" collapsed="false">
      <c r="A132" s="21"/>
      <c r="B132" s="21"/>
      <c r="C132" s="21"/>
      <c r="D132" s="21"/>
      <c r="E132" s="21"/>
      <c r="F132" s="21"/>
      <c r="G132" s="21"/>
      <c r="H132" s="24"/>
      <c r="I132" s="10" t="str">
        <f aca="false">IF(A132="","",IFERROR(DATEVALUE(LEFT(A132,10)),A132))</f>
        <v/>
      </c>
      <c r="J132" s="8" t="str">
        <f aca="false">IF(H132="","",IF(COUNTIFS(Transactions!$A:$A,I132,Transactions!$J:$J,"&gt;="&amp;(H132-0.01),Transactions!$J:$J,"&lt;="&amp;(H132+0.01))&gt;0,"Matched","Missing from ledger"))</f>
        <v/>
      </c>
    </row>
    <row r="133" customFormat="false" ht="15" hidden="false" customHeight="false" outlineLevel="0" collapsed="false">
      <c r="A133" s="21"/>
      <c r="B133" s="21"/>
      <c r="C133" s="21"/>
      <c r="D133" s="21"/>
      <c r="E133" s="21"/>
      <c r="F133" s="21"/>
      <c r="G133" s="21"/>
      <c r="H133" s="24"/>
      <c r="I133" s="10" t="str">
        <f aca="false">IF(A133="","",IFERROR(DATEVALUE(LEFT(A133,10)),A133))</f>
        <v/>
      </c>
      <c r="J133" s="8" t="str">
        <f aca="false">IF(H133="","",IF(COUNTIFS(Transactions!$A:$A,I133,Transactions!$J:$J,"&gt;="&amp;(H133-0.01),Transactions!$J:$J,"&lt;="&amp;(H133+0.01))&gt;0,"Matched","Missing from ledger"))</f>
        <v/>
      </c>
    </row>
    <row r="134" customFormat="false" ht="15" hidden="false" customHeight="false" outlineLevel="0" collapsed="false">
      <c r="A134" s="21"/>
      <c r="B134" s="21"/>
      <c r="C134" s="21"/>
      <c r="D134" s="21"/>
      <c r="E134" s="21"/>
      <c r="F134" s="21"/>
      <c r="G134" s="21"/>
      <c r="H134" s="24"/>
      <c r="I134" s="10" t="str">
        <f aca="false">IF(A134="","",IFERROR(DATEVALUE(LEFT(A134,10)),A134))</f>
        <v/>
      </c>
      <c r="J134" s="8" t="str">
        <f aca="false">IF(H134="","",IF(COUNTIFS(Transactions!$A:$A,I134,Transactions!$J:$J,"&gt;="&amp;(H134-0.01),Transactions!$J:$J,"&lt;="&amp;(H134+0.01))&gt;0,"Matched","Missing from ledger"))</f>
        <v/>
      </c>
    </row>
    <row r="135" customFormat="false" ht="15" hidden="false" customHeight="false" outlineLevel="0" collapsed="false">
      <c r="A135" s="21"/>
      <c r="B135" s="21"/>
      <c r="C135" s="21"/>
      <c r="D135" s="21"/>
      <c r="E135" s="21"/>
      <c r="F135" s="21"/>
      <c r="G135" s="21"/>
      <c r="H135" s="24"/>
      <c r="I135" s="10" t="str">
        <f aca="false">IF(A135="","",IFERROR(DATEVALUE(LEFT(A135,10)),A135))</f>
        <v/>
      </c>
      <c r="J135" s="8" t="str">
        <f aca="false">IF(H135="","",IF(COUNTIFS(Transactions!$A:$A,I135,Transactions!$J:$J,"&gt;="&amp;(H135-0.01),Transactions!$J:$J,"&lt;="&amp;(H135+0.01))&gt;0,"Matched","Missing from ledger"))</f>
        <v/>
      </c>
    </row>
    <row r="136" customFormat="false" ht="15" hidden="false" customHeight="false" outlineLevel="0" collapsed="false">
      <c r="A136" s="21"/>
      <c r="B136" s="21"/>
      <c r="C136" s="21"/>
      <c r="D136" s="21"/>
      <c r="E136" s="21"/>
      <c r="F136" s="21"/>
      <c r="G136" s="21"/>
      <c r="H136" s="24"/>
      <c r="I136" s="10" t="str">
        <f aca="false">IF(A136="","",IFERROR(DATEVALUE(LEFT(A136,10)),A136))</f>
        <v/>
      </c>
      <c r="J136" s="8" t="str">
        <f aca="false">IF(H136="","",IF(COUNTIFS(Transactions!$A:$A,I136,Transactions!$J:$J,"&gt;="&amp;(H136-0.01),Transactions!$J:$J,"&lt;="&amp;(H136+0.01))&gt;0,"Matched","Missing from ledger"))</f>
        <v/>
      </c>
    </row>
    <row r="137" customFormat="false" ht="15" hidden="false" customHeight="false" outlineLevel="0" collapsed="false">
      <c r="A137" s="21"/>
      <c r="B137" s="21"/>
      <c r="C137" s="21"/>
      <c r="D137" s="21"/>
      <c r="E137" s="21"/>
      <c r="F137" s="21"/>
      <c r="G137" s="21"/>
      <c r="H137" s="24"/>
      <c r="I137" s="10" t="str">
        <f aca="false">IF(A137="","",IFERROR(DATEVALUE(LEFT(A137,10)),A137))</f>
        <v/>
      </c>
      <c r="J137" s="8" t="str">
        <f aca="false">IF(H137="","",IF(COUNTIFS(Transactions!$A:$A,I137,Transactions!$J:$J,"&gt;="&amp;(H137-0.01),Transactions!$J:$J,"&lt;="&amp;(H137+0.01))&gt;0,"Matched","Missing from ledger"))</f>
        <v/>
      </c>
    </row>
    <row r="138" customFormat="false" ht="15" hidden="false" customHeight="false" outlineLevel="0" collapsed="false">
      <c r="A138" s="21"/>
      <c r="B138" s="21"/>
      <c r="C138" s="21"/>
      <c r="D138" s="21"/>
      <c r="E138" s="21"/>
      <c r="F138" s="21"/>
      <c r="G138" s="21"/>
      <c r="H138" s="24"/>
      <c r="I138" s="10" t="str">
        <f aca="false">IF(A138="","",IFERROR(DATEVALUE(LEFT(A138,10)),A138))</f>
        <v/>
      </c>
      <c r="J138" s="8" t="str">
        <f aca="false">IF(H138="","",IF(COUNTIFS(Transactions!$A:$A,I138,Transactions!$J:$J,"&gt;="&amp;(H138-0.01),Transactions!$J:$J,"&lt;="&amp;(H138+0.01))&gt;0,"Matched","Missing from ledger"))</f>
        <v/>
      </c>
    </row>
    <row r="139" customFormat="false" ht="15" hidden="false" customHeight="false" outlineLevel="0" collapsed="false">
      <c r="A139" s="21"/>
      <c r="B139" s="21"/>
      <c r="C139" s="21"/>
      <c r="D139" s="21"/>
      <c r="E139" s="21"/>
      <c r="F139" s="21"/>
      <c r="G139" s="21"/>
      <c r="H139" s="24"/>
      <c r="I139" s="10" t="str">
        <f aca="false">IF(A139="","",IFERROR(DATEVALUE(LEFT(A139,10)),A139))</f>
        <v/>
      </c>
      <c r="J139" s="8" t="str">
        <f aca="false">IF(H139="","",IF(COUNTIFS(Transactions!$A:$A,I139,Transactions!$J:$J,"&gt;="&amp;(H139-0.01),Transactions!$J:$J,"&lt;="&amp;(H139+0.01))&gt;0,"Matched","Missing from ledger"))</f>
        <v/>
      </c>
    </row>
    <row r="140" customFormat="false" ht="15" hidden="false" customHeight="false" outlineLevel="0" collapsed="false">
      <c r="A140" s="21"/>
      <c r="B140" s="21"/>
      <c r="C140" s="21"/>
      <c r="D140" s="21"/>
      <c r="E140" s="21"/>
      <c r="F140" s="21"/>
      <c r="G140" s="21"/>
      <c r="H140" s="24"/>
      <c r="I140" s="10" t="str">
        <f aca="false">IF(A140="","",IFERROR(DATEVALUE(LEFT(A140,10)),A140))</f>
        <v/>
      </c>
      <c r="J140" s="8" t="str">
        <f aca="false">IF(H140="","",IF(COUNTIFS(Transactions!$A:$A,I140,Transactions!$J:$J,"&gt;="&amp;(H140-0.01),Transactions!$J:$J,"&lt;="&amp;(H140+0.01))&gt;0,"Matched","Missing from ledger"))</f>
        <v/>
      </c>
    </row>
    <row r="141" customFormat="false" ht="15" hidden="false" customHeight="false" outlineLevel="0" collapsed="false">
      <c r="A141" s="21"/>
      <c r="B141" s="21"/>
      <c r="C141" s="21"/>
      <c r="D141" s="21"/>
      <c r="E141" s="21"/>
      <c r="F141" s="21"/>
      <c r="G141" s="21"/>
      <c r="H141" s="24"/>
      <c r="I141" s="10" t="str">
        <f aca="false">IF(A141="","",IFERROR(DATEVALUE(LEFT(A141,10)),A141))</f>
        <v/>
      </c>
      <c r="J141" s="8" t="str">
        <f aca="false">IF(H141="","",IF(COUNTIFS(Transactions!$A:$A,I141,Transactions!$J:$J,"&gt;="&amp;(H141-0.01),Transactions!$J:$J,"&lt;="&amp;(H141+0.01))&gt;0,"Matched","Missing from ledger"))</f>
        <v/>
      </c>
    </row>
    <row r="142" customFormat="false" ht="15" hidden="false" customHeight="false" outlineLevel="0" collapsed="false">
      <c r="A142" s="21"/>
      <c r="B142" s="21"/>
      <c r="C142" s="21"/>
      <c r="D142" s="21"/>
      <c r="E142" s="21"/>
      <c r="F142" s="21"/>
      <c r="G142" s="21"/>
      <c r="H142" s="24"/>
      <c r="I142" s="10" t="str">
        <f aca="false">IF(A142="","",IFERROR(DATEVALUE(LEFT(A142,10)),A142))</f>
        <v/>
      </c>
      <c r="J142" s="8" t="str">
        <f aca="false">IF(H142="","",IF(COUNTIFS(Transactions!$A:$A,I142,Transactions!$J:$J,"&gt;="&amp;(H142-0.01),Transactions!$J:$J,"&lt;="&amp;(H142+0.01))&gt;0,"Matched","Missing from ledger"))</f>
        <v/>
      </c>
    </row>
    <row r="143" customFormat="false" ht="15" hidden="false" customHeight="false" outlineLevel="0" collapsed="false">
      <c r="A143" s="21"/>
      <c r="B143" s="21"/>
      <c r="C143" s="21"/>
      <c r="D143" s="21"/>
      <c r="E143" s="21"/>
      <c r="F143" s="21"/>
      <c r="G143" s="21"/>
      <c r="H143" s="24"/>
      <c r="I143" s="10" t="str">
        <f aca="false">IF(A143="","",IFERROR(DATEVALUE(LEFT(A143,10)),A143))</f>
        <v/>
      </c>
      <c r="J143" s="8" t="str">
        <f aca="false">IF(H143="","",IF(COUNTIFS(Transactions!$A:$A,I143,Transactions!$J:$J,"&gt;="&amp;(H143-0.01),Transactions!$J:$J,"&lt;="&amp;(H143+0.01))&gt;0,"Matched","Missing from ledger"))</f>
        <v/>
      </c>
    </row>
    <row r="144" customFormat="false" ht="15" hidden="false" customHeight="false" outlineLevel="0" collapsed="false">
      <c r="A144" s="21"/>
      <c r="B144" s="21"/>
      <c r="C144" s="21"/>
      <c r="D144" s="21"/>
      <c r="E144" s="21"/>
      <c r="F144" s="21"/>
      <c r="G144" s="21"/>
      <c r="H144" s="24"/>
      <c r="I144" s="10" t="str">
        <f aca="false">IF(A144="","",IFERROR(DATEVALUE(LEFT(A144,10)),A144))</f>
        <v/>
      </c>
      <c r="J144" s="8" t="str">
        <f aca="false">IF(H144="","",IF(COUNTIFS(Transactions!$A:$A,I144,Transactions!$J:$J,"&gt;="&amp;(H144-0.01),Transactions!$J:$J,"&lt;="&amp;(H144+0.01))&gt;0,"Matched","Missing from ledger"))</f>
        <v/>
      </c>
    </row>
    <row r="145" customFormat="false" ht="15" hidden="false" customHeight="false" outlineLevel="0" collapsed="false">
      <c r="A145" s="21"/>
      <c r="B145" s="21"/>
      <c r="C145" s="21"/>
      <c r="D145" s="21"/>
      <c r="E145" s="21"/>
      <c r="F145" s="21"/>
      <c r="G145" s="21"/>
      <c r="H145" s="24"/>
      <c r="I145" s="10" t="str">
        <f aca="false">IF(A145="","",IFERROR(DATEVALUE(LEFT(A145,10)),A145))</f>
        <v/>
      </c>
      <c r="J145" s="8" t="str">
        <f aca="false">IF(H145="","",IF(COUNTIFS(Transactions!$A:$A,I145,Transactions!$J:$J,"&gt;="&amp;(H145-0.01),Transactions!$J:$J,"&lt;="&amp;(H145+0.01))&gt;0,"Matched","Missing from ledger"))</f>
        <v/>
      </c>
    </row>
    <row r="146" customFormat="false" ht="15" hidden="false" customHeight="false" outlineLevel="0" collapsed="false">
      <c r="A146" s="21"/>
      <c r="B146" s="21"/>
      <c r="C146" s="21"/>
      <c r="D146" s="21"/>
      <c r="E146" s="21"/>
      <c r="F146" s="21"/>
      <c r="G146" s="21"/>
      <c r="H146" s="24"/>
      <c r="I146" s="10" t="str">
        <f aca="false">IF(A146="","",IFERROR(DATEVALUE(LEFT(A146,10)),A146))</f>
        <v/>
      </c>
      <c r="J146" s="8" t="str">
        <f aca="false">IF(H146="","",IF(COUNTIFS(Transactions!$A:$A,I146,Transactions!$J:$J,"&gt;="&amp;(H146-0.01),Transactions!$J:$J,"&lt;="&amp;(H146+0.01))&gt;0,"Matched","Missing from ledger"))</f>
        <v/>
      </c>
    </row>
    <row r="147" customFormat="false" ht="15" hidden="false" customHeight="false" outlineLevel="0" collapsed="false">
      <c r="A147" s="21"/>
      <c r="B147" s="21"/>
      <c r="C147" s="21"/>
      <c r="D147" s="21"/>
      <c r="E147" s="21"/>
      <c r="F147" s="21"/>
      <c r="G147" s="21"/>
      <c r="H147" s="24"/>
      <c r="I147" s="10" t="str">
        <f aca="false">IF(A147="","",IFERROR(DATEVALUE(LEFT(A147,10)),A147))</f>
        <v/>
      </c>
      <c r="J147" s="8" t="str">
        <f aca="false">IF(H147="","",IF(COUNTIFS(Transactions!$A:$A,I147,Transactions!$J:$J,"&gt;="&amp;(H147-0.01),Transactions!$J:$J,"&lt;="&amp;(H147+0.01))&gt;0,"Matched","Missing from ledger"))</f>
        <v/>
      </c>
    </row>
    <row r="148" customFormat="false" ht="15" hidden="false" customHeight="false" outlineLevel="0" collapsed="false">
      <c r="A148" s="21"/>
      <c r="B148" s="21"/>
      <c r="C148" s="21"/>
      <c r="D148" s="21"/>
      <c r="E148" s="21"/>
      <c r="F148" s="21"/>
      <c r="G148" s="21"/>
      <c r="H148" s="24"/>
      <c r="I148" s="10" t="str">
        <f aca="false">IF(A148="","",IFERROR(DATEVALUE(LEFT(A148,10)),A148))</f>
        <v/>
      </c>
      <c r="J148" s="8" t="str">
        <f aca="false">IF(H148="","",IF(COUNTIFS(Transactions!$A:$A,I148,Transactions!$J:$J,"&gt;="&amp;(H148-0.01),Transactions!$J:$J,"&lt;="&amp;(H148+0.01))&gt;0,"Matched","Missing from ledger"))</f>
        <v/>
      </c>
    </row>
    <row r="149" customFormat="false" ht="15" hidden="false" customHeight="false" outlineLevel="0" collapsed="false">
      <c r="A149" s="21"/>
      <c r="B149" s="21"/>
      <c r="C149" s="21"/>
      <c r="D149" s="21"/>
      <c r="E149" s="21"/>
      <c r="F149" s="21"/>
      <c r="G149" s="21"/>
      <c r="H149" s="24"/>
      <c r="I149" s="10" t="str">
        <f aca="false">IF(A149="","",IFERROR(DATEVALUE(LEFT(A149,10)),A149))</f>
        <v/>
      </c>
      <c r="J149" s="8" t="str">
        <f aca="false">IF(H149="","",IF(COUNTIFS(Transactions!$A:$A,I149,Transactions!$J:$J,"&gt;="&amp;(H149-0.01),Transactions!$J:$J,"&lt;="&amp;(H149+0.01))&gt;0,"Matched","Missing from ledger"))</f>
        <v/>
      </c>
    </row>
    <row r="150" customFormat="false" ht="15" hidden="false" customHeight="false" outlineLevel="0" collapsed="false">
      <c r="A150" s="21"/>
      <c r="B150" s="21"/>
      <c r="C150" s="21"/>
      <c r="D150" s="21"/>
      <c r="E150" s="21"/>
      <c r="F150" s="21"/>
      <c r="G150" s="21"/>
      <c r="H150" s="24"/>
      <c r="I150" s="10" t="str">
        <f aca="false">IF(A150="","",IFERROR(DATEVALUE(LEFT(A150,10)),A150))</f>
        <v/>
      </c>
      <c r="J150" s="8" t="str">
        <f aca="false">IF(H150="","",IF(COUNTIFS(Transactions!$A:$A,I150,Transactions!$J:$J,"&gt;="&amp;(H150-0.01),Transactions!$J:$J,"&lt;="&amp;(H150+0.01))&gt;0,"Matched","Missing from ledger"))</f>
        <v/>
      </c>
    </row>
    <row r="151" customFormat="false" ht="15" hidden="false" customHeight="false" outlineLevel="0" collapsed="false">
      <c r="A151" s="21"/>
      <c r="B151" s="21"/>
      <c r="C151" s="21"/>
      <c r="D151" s="21"/>
      <c r="E151" s="21"/>
      <c r="F151" s="21"/>
      <c r="G151" s="21"/>
      <c r="H151" s="24"/>
      <c r="I151" s="10" t="str">
        <f aca="false">IF(A151="","",IFERROR(DATEVALUE(LEFT(A151,10)),A151))</f>
        <v/>
      </c>
      <c r="J151" s="8" t="str">
        <f aca="false">IF(H151="","",IF(COUNTIFS(Transactions!$A:$A,I151,Transactions!$J:$J,"&gt;="&amp;(H151-0.01),Transactions!$J:$J,"&lt;="&amp;(H151+0.01))&gt;0,"Matched","Missing from ledger"))</f>
        <v/>
      </c>
    </row>
    <row r="152" customFormat="false" ht="15" hidden="false" customHeight="false" outlineLevel="0" collapsed="false">
      <c r="A152" s="21"/>
      <c r="B152" s="21"/>
      <c r="C152" s="21"/>
      <c r="D152" s="21"/>
      <c r="E152" s="21"/>
      <c r="F152" s="21"/>
      <c r="G152" s="21"/>
      <c r="H152" s="24"/>
      <c r="I152" s="10" t="str">
        <f aca="false">IF(A152="","",IFERROR(DATEVALUE(LEFT(A152,10)),A152))</f>
        <v/>
      </c>
      <c r="J152" s="8" t="str">
        <f aca="false">IF(H152="","",IF(COUNTIFS(Transactions!$A:$A,I152,Transactions!$J:$J,"&gt;="&amp;(H152-0.01),Transactions!$J:$J,"&lt;="&amp;(H152+0.01))&gt;0,"Matched","Missing from ledger"))</f>
        <v/>
      </c>
    </row>
    <row r="153" customFormat="false" ht="15" hidden="false" customHeight="false" outlineLevel="0" collapsed="false">
      <c r="A153" s="21"/>
      <c r="B153" s="21"/>
      <c r="C153" s="21"/>
      <c r="D153" s="21"/>
      <c r="E153" s="21"/>
      <c r="F153" s="21"/>
      <c r="G153" s="21"/>
      <c r="H153" s="24"/>
      <c r="I153" s="10" t="str">
        <f aca="false">IF(A153="","",IFERROR(DATEVALUE(LEFT(A153,10)),A153))</f>
        <v/>
      </c>
      <c r="J153" s="8" t="str">
        <f aca="false">IF(H153="","",IF(COUNTIFS(Transactions!$A:$A,I153,Transactions!$J:$J,"&gt;="&amp;(H153-0.01),Transactions!$J:$J,"&lt;="&amp;(H153+0.01))&gt;0,"Matched","Missing from ledger"))</f>
        <v/>
      </c>
    </row>
    <row r="154" customFormat="false" ht="15" hidden="false" customHeight="false" outlineLevel="0" collapsed="false">
      <c r="A154" s="21"/>
      <c r="B154" s="21"/>
      <c r="C154" s="21"/>
      <c r="D154" s="21"/>
      <c r="E154" s="21"/>
      <c r="F154" s="21"/>
      <c r="G154" s="21"/>
      <c r="H154" s="24"/>
      <c r="I154" s="10" t="str">
        <f aca="false">IF(A154="","",IFERROR(DATEVALUE(LEFT(A154,10)),A154))</f>
        <v/>
      </c>
      <c r="J154" s="8" t="str">
        <f aca="false">IF(H154="","",IF(COUNTIFS(Transactions!$A:$A,I154,Transactions!$J:$J,"&gt;="&amp;(H154-0.01),Transactions!$J:$J,"&lt;="&amp;(H154+0.01))&gt;0,"Matched","Missing from ledger"))</f>
        <v/>
      </c>
    </row>
    <row r="155" customFormat="false" ht="15" hidden="false" customHeight="false" outlineLevel="0" collapsed="false">
      <c r="A155" s="21"/>
      <c r="B155" s="21"/>
      <c r="C155" s="21"/>
      <c r="D155" s="21"/>
      <c r="E155" s="21"/>
      <c r="F155" s="21"/>
      <c r="G155" s="21"/>
      <c r="H155" s="24"/>
      <c r="I155" s="10" t="str">
        <f aca="false">IF(A155="","",IFERROR(DATEVALUE(LEFT(A155,10)),A155))</f>
        <v/>
      </c>
      <c r="J155" s="8" t="str">
        <f aca="false">IF(H155="","",IF(COUNTIFS(Transactions!$A:$A,I155,Transactions!$J:$J,"&gt;="&amp;(H155-0.01),Transactions!$J:$J,"&lt;="&amp;(H155+0.01))&gt;0,"Matched","Missing from ledger"))</f>
        <v/>
      </c>
    </row>
    <row r="156" customFormat="false" ht="15" hidden="false" customHeight="false" outlineLevel="0" collapsed="false">
      <c r="A156" s="21"/>
      <c r="B156" s="21"/>
      <c r="C156" s="21"/>
      <c r="D156" s="21"/>
      <c r="E156" s="21"/>
      <c r="F156" s="21"/>
      <c r="G156" s="21"/>
      <c r="H156" s="24"/>
      <c r="I156" s="10" t="str">
        <f aca="false">IF(A156="","",IFERROR(DATEVALUE(LEFT(A156,10)),A156))</f>
        <v/>
      </c>
      <c r="J156" s="8" t="str">
        <f aca="false">IF(H156="","",IF(COUNTIFS(Transactions!$A:$A,I156,Transactions!$J:$J,"&gt;="&amp;(H156-0.01),Transactions!$J:$J,"&lt;="&amp;(H156+0.01))&gt;0,"Matched","Missing from ledger"))</f>
        <v/>
      </c>
    </row>
    <row r="157" customFormat="false" ht="15" hidden="false" customHeight="false" outlineLevel="0" collapsed="false">
      <c r="A157" s="21"/>
      <c r="B157" s="21"/>
      <c r="C157" s="21"/>
      <c r="D157" s="21"/>
      <c r="E157" s="21"/>
      <c r="F157" s="21"/>
      <c r="G157" s="21"/>
      <c r="H157" s="24"/>
      <c r="I157" s="10" t="str">
        <f aca="false">IF(A157="","",IFERROR(DATEVALUE(LEFT(A157,10)),A157))</f>
        <v/>
      </c>
      <c r="J157" s="8" t="str">
        <f aca="false">IF(H157="","",IF(COUNTIFS(Transactions!$A:$A,I157,Transactions!$J:$J,"&gt;="&amp;(H157-0.01),Transactions!$J:$J,"&lt;="&amp;(H157+0.01))&gt;0,"Matched","Missing from ledger"))</f>
        <v/>
      </c>
    </row>
    <row r="158" customFormat="false" ht="15" hidden="false" customHeight="false" outlineLevel="0" collapsed="false">
      <c r="A158" s="21"/>
      <c r="B158" s="21"/>
      <c r="C158" s="21"/>
      <c r="D158" s="21"/>
      <c r="E158" s="21"/>
      <c r="F158" s="21"/>
      <c r="G158" s="21"/>
      <c r="H158" s="24"/>
      <c r="I158" s="10" t="str">
        <f aca="false">IF(A158="","",IFERROR(DATEVALUE(LEFT(A158,10)),A158))</f>
        <v/>
      </c>
      <c r="J158" s="8" t="str">
        <f aca="false">IF(H158="","",IF(COUNTIFS(Transactions!$A:$A,I158,Transactions!$J:$J,"&gt;="&amp;(H158-0.01),Transactions!$J:$J,"&lt;="&amp;(H158+0.01))&gt;0,"Matched","Missing from ledger"))</f>
        <v/>
      </c>
    </row>
    <row r="159" customFormat="false" ht="15" hidden="false" customHeight="false" outlineLevel="0" collapsed="false">
      <c r="A159" s="21"/>
      <c r="B159" s="21"/>
      <c r="C159" s="21"/>
      <c r="D159" s="21"/>
      <c r="E159" s="21"/>
      <c r="F159" s="21"/>
      <c r="G159" s="21"/>
      <c r="H159" s="24"/>
      <c r="I159" s="10" t="str">
        <f aca="false">IF(A159="","",IFERROR(DATEVALUE(LEFT(A159,10)),A159))</f>
        <v/>
      </c>
      <c r="J159" s="8" t="str">
        <f aca="false">IF(H159="","",IF(COUNTIFS(Transactions!$A:$A,I159,Transactions!$J:$J,"&gt;="&amp;(H159-0.01),Transactions!$J:$J,"&lt;="&amp;(H159+0.01))&gt;0,"Matched","Missing from ledger"))</f>
        <v/>
      </c>
    </row>
    <row r="160" customFormat="false" ht="15" hidden="false" customHeight="false" outlineLevel="0" collapsed="false">
      <c r="A160" s="21"/>
      <c r="B160" s="21"/>
      <c r="C160" s="21"/>
      <c r="D160" s="21"/>
      <c r="E160" s="21"/>
      <c r="F160" s="21"/>
      <c r="G160" s="21"/>
      <c r="H160" s="24"/>
      <c r="I160" s="10" t="str">
        <f aca="false">IF(A160="","",IFERROR(DATEVALUE(LEFT(A160,10)),A160))</f>
        <v/>
      </c>
      <c r="J160" s="8" t="str">
        <f aca="false">IF(H160="","",IF(COUNTIFS(Transactions!$A:$A,I160,Transactions!$J:$J,"&gt;="&amp;(H160-0.01),Transactions!$J:$J,"&lt;="&amp;(H160+0.01))&gt;0,"Matched","Missing from ledger"))</f>
        <v/>
      </c>
    </row>
    <row r="161" customFormat="false" ht="15" hidden="false" customHeight="false" outlineLevel="0" collapsed="false">
      <c r="A161" s="21"/>
      <c r="B161" s="21"/>
      <c r="C161" s="21"/>
      <c r="D161" s="21"/>
      <c r="E161" s="21"/>
      <c r="F161" s="21"/>
      <c r="G161" s="21"/>
      <c r="H161" s="24"/>
      <c r="I161" s="10" t="str">
        <f aca="false">IF(A161="","",IFERROR(DATEVALUE(LEFT(A161,10)),A161))</f>
        <v/>
      </c>
      <c r="J161" s="8" t="str">
        <f aca="false">IF(H161="","",IF(COUNTIFS(Transactions!$A:$A,I161,Transactions!$J:$J,"&gt;="&amp;(H161-0.01),Transactions!$J:$J,"&lt;="&amp;(H161+0.01))&gt;0,"Matched","Missing from ledger"))</f>
        <v/>
      </c>
    </row>
    <row r="162" customFormat="false" ht="15" hidden="false" customHeight="false" outlineLevel="0" collapsed="false">
      <c r="A162" s="21"/>
      <c r="B162" s="21"/>
      <c r="C162" s="21"/>
      <c r="D162" s="21"/>
      <c r="E162" s="21"/>
      <c r="F162" s="21"/>
      <c r="G162" s="21"/>
      <c r="H162" s="24"/>
      <c r="I162" s="10" t="str">
        <f aca="false">IF(A162="","",IFERROR(DATEVALUE(LEFT(A162,10)),A162))</f>
        <v/>
      </c>
      <c r="J162" s="8" t="str">
        <f aca="false">IF(H162="","",IF(COUNTIFS(Transactions!$A:$A,I162,Transactions!$J:$J,"&gt;="&amp;(H162-0.01),Transactions!$J:$J,"&lt;="&amp;(H162+0.01))&gt;0,"Matched","Missing from ledger"))</f>
        <v/>
      </c>
    </row>
    <row r="163" customFormat="false" ht="15" hidden="false" customHeight="false" outlineLevel="0" collapsed="false">
      <c r="A163" s="21"/>
      <c r="B163" s="21"/>
      <c r="C163" s="21"/>
      <c r="D163" s="21"/>
      <c r="E163" s="21"/>
      <c r="F163" s="21"/>
      <c r="G163" s="21"/>
      <c r="H163" s="24"/>
      <c r="I163" s="10" t="str">
        <f aca="false">IF(A163="","",IFERROR(DATEVALUE(LEFT(A163,10)),A163))</f>
        <v/>
      </c>
      <c r="J163" s="8" t="str">
        <f aca="false">IF(H163="","",IF(COUNTIFS(Transactions!$A:$A,I163,Transactions!$J:$J,"&gt;="&amp;(H163-0.01),Transactions!$J:$J,"&lt;="&amp;(H163+0.01))&gt;0,"Matched","Missing from ledger"))</f>
        <v/>
      </c>
    </row>
    <row r="164" customFormat="false" ht="15" hidden="false" customHeight="false" outlineLevel="0" collapsed="false">
      <c r="A164" s="21"/>
      <c r="B164" s="21"/>
      <c r="C164" s="21"/>
      <c r="D164" s="21"/>
      <c r="E164" s="21"/>
      <c r="F164" s="21"/>
      <c r="G164" s="21"/>
      <c r="H164" s="24"/>
      <c r="I164" s="10" t="str">
        <f aca="false">IF(A164="","",IFERROR(DATEVALUE(LEFT(A164,10)),A164))</f>
        <v/>
      </c>
      <c r="J164" s="8" t="str">
        <f aca="false">IF(H164="","",IF(COUNTIFS(Transactions!$A:$A,I164,Transactions!$J:$J,"&gt;="&amp;(H164-0.01),Transactions!$J:$J,"&lt;="&amp;(H164+0.01))&gt;0,"Matched","Missing from ledger"))</f>
        <v/>
      </c>
    </row>
    <row r="165" customFormat="false" ht="15" hidden="false" customHeight="false" outlineLevel="0" collapsed="false">
      <c r="A165" s="21"/>
      <c r="B165" s="21"/>
      <c r="C165" s="21"/>
      <c r="D165" s="21"/>
      <c r="E165" s="21"/>
      <c r="F165" s="21"/>
      <c r="G165" s="21"/>
      <c r="H165" s="24"/>
      <c r="I165" s="10" t="str">
        <f aca="false">IF(A165="","",IFERROR(DATEVALUE(LEFT(A165,10)),A165))</f>
        <v/>
      </c>
      <c r="J165" s="8" t="str">
        <f aca="false">IF(H165="","",IF(COUNTIFS(Transactions!$A:$A,I165,Transactions!$J:$J,"&gt;="&amp;(H165-0.01),Transactions!$J:$J,"&lt;="&amp;(H165+0.01))&gt;0,"Matched","Missing from ledger"))</f>
        <v/>
      </c>
    </row>
    <row r="166" customFormat="false" ht="15" hidden="false" customHeight="false" outlineLevel="0" collapsed="false">
      <c r="A166" s="21"/>
      <c r="B166" s="21"/>
      <c r="C166" s="21"/>
      <c r="D166" s="21"/>
      <c r="E166" s="21"/>
      <c r="F166" s="21"/>
      <c r="G166" s="21"/>
      <c r="H166" s="24"/>
      <c r="I166" s="10" t="str">
        <f aca="false">IF(A166="","",IFERROR(DATEVALUE(LEFT(A166,10)),A166))</f>
        <v/>
      </c>
      <c r="J166" s="8" t="str">
        <f aca="false">IF(H166="","",IF(COUNTIFS(Transactions!$A:$A,I166,Transactions!$J:$J,"&gt;="&amp;(H166-0.01),Transactions!$J:$J,"&lt;="&amp;(H166+0.01))&gt;0,"Matched","Missing from ledger"))</f>
        <v/>
      </c>
    </row>
    <row r="167" customFormat="false" ht="15" hidden="false" customHeight="false" outlineLevel="0" collapsed="false">
      <c r="A167" s="21"/>
      <c r="B167" s="21"/>
      <c r="C167" s="21"/>
      <c r="D167" s="21"/>
      <c r="E167" s="21"/>
      <c r="F167" s="21"/>
      <c r="G167" s="21"/>
      <c r="H167" s="24"/>
      <c r="I167" s="10" t="str">
        <f aca="false">IF(A167="","",IFERROR(DATEVALUE(LEFT(A167,10)),A167))</f>
        <v/>
      </c>
      <c r="J167" s="8" t="str">
        <f aca="false">IF(H167="","",IF(COUNTIFS(Transactions!$A:$A,I167,Transactions!$J:$J,"&gt;="&amp;(H167-0.01),Transactions!$J:$J,"&lt;="&amp;(H167+0.01))&gt;0,"Matched","Missing from ledger"))</f>
        <v/>
      </c>
    </row>
    <row r="168" customFormat="false" ht="15" hidden="false" customHeight="false" outlineLevel="0" collapsed="false">
      <c r="A168" s="21"/>
      <c r="B168" s="21"/>
      <c r="C168" s="21"/>
      <c r="D168" s="21"/>
      <c r="E168" s="21"/>
      <c r="F168" s="21"/>
      <c r="G168" s="21"/>
      <c r="H168" s="24"/>
      <c r="I168" s="10" t="str">
        <f aca="false">IF(A168="","",IFERROR(DATEVALUE(LEFT(A168,10)),A168))</f>
        <v/>
      </c>
      <c r="J168" s="8" t="str">
        <f aca="false">IF(H168="","",IF(COUNTIFS(Transactions!$A:$A,I168,Transactions!$J:$J,"&gt;="&amp;(H168-0.01),Transactions!$J:$J,"&lt;="&amp;(H168+0.01))&gt;0,"Matched","Missing from ledger"))</f>
        <v/>
      </c>
    </row>
    <row r="169" customFormat="false" ht="15" hidden="false" customHeight="false" outlineLevel="0" collapsed="false">
      <c r="A169" s="21"/>
      <c r="B169" s="21"/>
      <c r="C169" s="21"/>
      <c r="D169" s="21"/>
      <c r="E169" s="21"/>
      <c r="F169" s="21"/>
      <c r="G169" s="21"/>
      <c r="H169" s="24"/>
      <c r="I169" s="10" t="str">
        <f aca="false">IF(A169="","",IFERROR(DATEVALUE(LEFT(A169,10)),A169))</f>
        <v/>
      </c>
      <c r="J169" s="8" t="str">
        <f aca="false">IF(H169="","",IF(COUNTIFS(Transactions!$A:$A,I169,Transactions!$J:$J,"&gt;="&amp;(H169-0.01),Transactions!$J:$J,"&lt;="&amp;(H169+0.01))&gt;0,"Matched","Missing from ledger"))</f>
        <v/>
      </c>
    </row>
    <row r="170" customFormat="false" ht="15" hidden="false" customHeight="false" outlineLevel="0" collapsed="false">
      <c r="A170" s="21"/>
      <c r="B170" s="21"/>
      <c r="C170" s="21"/>
      <c r="D170" s="21"/>
      <c r="E170" s="21"/>
      <c r="F170" s="21"/>
      <c r="G170" s="21"/>
      <c r="H170" s="24"/>
      <c r="I170" s="10" t="str">
        <f aca="false">IF(A170="","",IFERROR(DATEVALUE(LEFT(A170,10)),A170))</f>
        <v/>
      </c>
      <c r="J170" s="8" t="str">
        <f aca="false">IF(H170="","",IF(COUNTIFS(Transactions!$A:$A,I170,Transactions!$J:$J,"&gt;="&amp;(H170-0.01),Transactions!$J:$J,"&lt;="&amp;(H170+0.01))&gt;0,"Matched","Missing from ledger"))</f>
        <v/>
      </c>
    </row>
    <row r="171" customFormat="false" ht="15" hidden="false" customHeight="false" outlineLevel="0" collapsed="false">
      <c r="A171" s="21"/>
      <c r="B171" s="21"/>
      <c r="C171" s="21"/>
      <c r="D171" s="21"/>
      <c r="E171" s="21"/>
      <c r="F171" s="21"/>
      <c r="G171" s="21"/>
      <c r="H171" s="24"/>
      <c r="I171" s="10" t="str">
        <f aca="false">IF(A171="","",IFERROR(DATEVALUE(LEFT(A171,10)),A171))</f>
        <v/>
      </c>
      <c r="J171" s="8" t="str">
        <f aca="false">IF(H171="","",IF(COUNTIFS(Transactions!$A:$A,I171,Transactions!$J:$J,"&gt;="&amp;(H171-0.01),Transactions!$J:$J,"&lt;="&amp;(H171+0.01))&gt;0,"Matched","Missing from ledger"))</f>
        <v/>
      </c>
    </row>
    <row r="172" customFormat="false" ht="15" hidden="false" customHeight="false" outlineLevel="0" collapsed="false">
      <c r="A172" s="21"/>
      <c r="B172" s="21"/>
      <c r="C172" s="21"/>
      <c r="D172" s="21"/>
      <c r="E172" s="21"/>
      <c r="F172" s="21"/>
      <c r="G172" s="21"/>
      <c r="H172" s="24"/>
      <c r="I172" s="10" t="str">
        <f aca="false">IF(A172="","",IFERROR(DATEVALUE(LEFT(A172,10)),A172))</f>
        <v/>
      </c>
      <c r="J172" s="8" t="str">
        <f aca="false">IF(H172="","",IF(COUNTIFS(Transactions!$A:$A,I172,Transactions!$J:$J,"&gt;="&amp;(H172-0.01),Transactions!$J:$J,"&lt;="&amp;(H172+0.01))&gt;0,"Matched","Missing from ledger"))</f>
        <v/>
      </c>
    </row>
    <row r="173" customFormat="false" ht="15" hidden="false" customHeight="false" outlineLevel="0" collapsed="false">
      <c r="A173" s="21"/>
      <c r="B173" s="21"/>
      <c r="C173" s="21"/>
      <c r="D173" s="21"/>
      <c r="E173" s="21"/>
      <c r="F173" s="21"/>
      <c r="G173" s="21"/>
      <c r="H173" s="24"/>
      <c r="I173" s="10" t="str">
        <f aca="false">IF(A173="","",IFERROR(DATEVALUE(LEFT(A173,10)),A173))</f>
        <v/>
      </c>
      <c r="J173" s="8" t="str">
        <f aca="false">IF(H173="","",IF(COUNTIFS(Transactions!$A:$A,I173,Transactions!$J:$J,"&gt;="&amp;(H173-0.01),Transactions!$J:$J,"&lt;="&amp;(H173+0.01))&gt;0,"Matched","Missing from ledger"))</f>
        <v/>
      </c>
    </row>
    <row r="174" customFormat="false" ht="15" hidden="false" customHeight="false" outlineLevel="0" collapsed="false">
      <c r="A174" s="21"/>
      <c r="B174" s="21"/>
      <c r="C174" s="21"/>
      <c r="D174" s="21"/>
      <c r="E174" s="21"/>
      <c r="F174" s="21"/>
      <c r="G174" s="21"/>
      <c r="H174" s="24"/>
      <c r="I174" s="10" t="str">
        <f aca="false">IF(A174="","",IFERROR(DATEVALUE(LEFT(A174,10)),A174))</f>
        <v/>
      </c>
      <c r="J174" s="8" t="str">
        <f aca="false">IF(H174="","",IF(COUNTIFS(Transactions!$A:$A,I174,Transactions!$J:$J,"&gt;="&amp;(H174-0.01),Transactions!$J:$J,"&lt;="&amp;(H174+0.01))&gt;0,"Matched","Missing from ledger"))</f>
        <v/>
      </c>
    </row>
    <row r="175" customFormat="false" ht="15" hidden="false" customHeight="false" outlineLevel="0" collapsed="false">
      <c r="A175" s="21"/>
      <c r="B175" s="21"/>
      <c r="C175" s="21"/>
      <c r="D175" s="21"/>
      <c r="E175" s="21"/>
      <c r="F175" s="21"/>
      <c r="G175" s="21"/>
      <c r="H175" s="24"/>
      <c r="I175" s="10" t="str">
        <f aca="false">IF(A175="","",IFERROR(DATEVALUE(LEFT(A175,10)),A175))</f>
        <v/>
      </c>
      <c r="J175" s="8" t="str">
        <f aca="false">IF(H175="","",IF(COUNTIFS(Transactions!$A:$A,I175,Transactions!$J:$J,"&gt;="&amp;(H175-0.01),Transactions!$J:$J,"&lt;="&amp;(H175+0.01))&gt;0,"Matched","Missing from ledger"))</f>
        <v/>
      </c>
    </row>
    <row r="176" customFormat="false" ht="15" hidden="false" customHeight="false" outlineLevel="0" collapsed="false">
      <c r="A176" s="21"/>
      <c r="B176" s="21"/>
      <c r="C176" s="21"/>
      <c r="D176" s="21"/>
      <c r="E176" s="21"/>
      <c r="F176" s="21"/>
      <c r="G176" s="21"/>
      <c r="H176" s="24"/>
      <c r="I176" s="10" t="str">
        <f aca="false">IF(A176="","",IFERROR(DATEVALUE(LEFT(A176,10)),A176))</f>
        <v/>
      </c>
      <c r="J176" s="8" t="str">
        <f aca="false">IF(H176="","",IF(COUNTIFS(Transactions!$A:$A,I176,Transactions!$J:$J,"&gt;="&amp;(H176-0.01),Transactions!$J:$J,"&lt;="&amp;(H176+0.01))&gt;0,"Matched","Missing from ledger"))</f>
        <v/>
      </c>
    </row>
    <row r="177" customFormat="false" ht="15" hidden="false" customHeight="false" outlineLevel="0" collapsed="false">
      <c r="A177" s="21"/>
      <c r="B177" s="21"/>
      <c r="C177" s="21"/>
      <c r="D177" s="21"/>
      <c r="E177" s="21"/>
      <c r="F177" s="21"/>
      <c r="G177" s="21"/>
      <c r="H177" s="24"/>
      <c r="I177" s="10" t="str">
        <f aca="false">IF(A177="","",IFERROR(DATEVALUE(LEFT(A177,10)),A177))</f>
        <v/>
      </c>
      <c r="J177" s="8" t="str">
        <f aca="false">IF(H177="","",IF(COUNTIFS(Transactions!$A:$A,I177,Transactions!$J:$J,"&gt;="&amp;(H177-0.01),Transactions!$J:$J,"&lt;="&amp;(H177+0.01))&gt;0,"Matched","Missing from ledger"))</f>
        <v/>
      </c>
    </row>
    <row r="178" customFormat="false" ht="15" hidden="false" customHeight="false" outlineLevel="0" collapsed="false">
      <c r="A178" s="21"/>
      <c r="B178" s="21"/>
      <c r="C178" s="21"/>
      <c r="D178" s="21"/>
      <c r="E178" s="21"/>
      <c r="F178" s="21"/>
      <c r="G178" s="21"/>
      <c r="H178" s="24"/>
      <c r="I178" s="10" t="str">
        <f aca="false">IF(A178="","",IFERROR(DATEVALUE(LEFT(A178,10)),A178))</f>
        <v/>
      </c>
      <c r="J178" s="8" t="str">
        <f aca="false">IF(H178="","",IF(COUNTIFS(Transactions!$A:$A,I178,Transactions!$J:$J,"&gt;="&amp;(H178-0.01),Transactions!$J:$J,"&lt;="&amp;(H178+0.01))&gt;0,"Matched","Missing from ledger"))</f>
        <v/>
      </c>
    </row>
    <row r="179" customFormat="false" ht="15" hidden="false" customHeight="false" outlineLevel="0" collapsed="false">
      <c r="A179" s="21"/>
      <c r="B179" s="21"/>
      <c r="C179" s="21"/>
      <c r="D179" s="21"/>
      <c r="E179" s="21"/>
      <c r="F179" s="21"/>
      <c r="G179" s="21"/>
      <c r="H179" s="24"/>
      <c r="I179" s="10" t="str">
        <f aca="false">IF(A179="","",IFERROR(DATEVALUE(LEFT(A179,10)),A179))</f>
        <v/>
      </c>
      <c r="J179" s="8" t="str">
        <f aca="false">IF(H179="","",IF(COUNTIFS(Transactions!$A:$A,I179,Transactions!$J:$J,"&gt;="&amp;(H179-0.01),Transactions!$J:$J,"&lt;="&amp;(H179+0.01))&gt;0,"Matched","Missing from ledger"))</f>
        <v/>
      </c>
    </row>
    <row r="180" customFormat="false" ht="15" hidden="false" customHeight="false" outlineLevel="0" collapsed="false">
      <c r="A180" s="21"/>
      <c r="B180" s="21"/>
      <c r="C180" s="21"/>
      <c r="D180" s="21"/>
      <c r="E180" s="21"/>
      <c r="F180" s="21"/>
      <c r="G180" s="21"/>
      <c r="H180" s="24"/>
      <c r="I180" s="10" t="str">
        <f aca="false">IF(A180="","",IFERROR(DATEVALUE(LEFT(A180,10)),A180))</f>
        <v/>
      </c>
      <c r="J180" s="8" t="str">
        <f aca="false">IF(H180="","",IF(COUNTIFS(Transactions!$A:$A,I180,Transactions!$J:$J,"&gt;="&amp;(H180-0.01),Transactions!$J:$J,"&lt;="&amp;(H180+0.01))&gt;0,"Matched","Missing from ledger"))</f>
        <v/>
      </c>
    </row>
    <row r="181" customFormat="false" ht="15" hidden="false" customHeight="false" outlineLevel="0" collapsed="false">
      <c r="A181" s="21"/>
      <c r="B181" s="21"/>
      <c r="C181" s="21"/>
      <c r="D181" s="21"/>
      <c r="E181" s="21"/>
      <c r="F181" s="21"/>
      <c r="G181" s="21"/>
      <c r="H181" s="24"/>
      <c r="I181" s="10" t="str">
        <f aca="false">IF(A181="","",IFERROR(DATEVALUE(LEFT(A181,10)),A181))</f>
        <v/>
      </c>
      <c r="J181" s="8" t="str">
        <f aca="false">IF(H181="","",IF(COUNTIFS(Transactions!$A:$A,I181,Transactions!$J:$J,"&gt;="&amp;(H181-0.01),Transactions!$J:$J,"&lt;="&amp;(H181+0.01))&gt;0,"Matched","Missing from ledger"))</f>
        <v/>
      </c>
    </row>
    <row r="182" customFormat="false" ht="15" hidden="false" customHeight="false" outlineLevel="0" collapsed="false">
      <c r="A182" s="21"/>
      <c r="B182" s="21"/>
      <c r="C182" s="21"/>
      <c r="D182" s="21"/>
      <c r="E182" s="21"/>
      <c r="F182" s="21"/>
      <c r="G182" s="21"/>
      <c r="H182" s="24"/>
      <c r="I182" s="10" t="str">
        <f aca="false">IF(A182="","",IFERROR(DATEVALUE(LEFT(A182,10)),A182))</f>
        <v/>
      </c>
      <c r="J182" s="8" t="str">
        <f aca="false">IF(H182="","",IF(COUNTIFS(Transactions!$A:$A,I182,Transactions!$J:$J,"&gt;="&amp;(H182-0.01),Transactions!$J:$J,"&lt;="&amp;(H182+0.01))&gt;0,"Matched","Missing from ledger"))</f>
        <v/>
      </c>
    </row>
    <row r="183" customFormat="false" ht="15" hidden="false" customHeight="false" outlineLevel="0" collapsed="false">
      <c r="A183" s="21"/>
      <c r="B183" s="21"/>
      <c r="C183" s="21"/>
      <c r="D183" s="21"/>
      <c r="E183" s="21"/>
      <c r="F183" s="21"/>
      <c r="G183" s="21"/>
      <c r="H183" s="24"/>
      <c r="I183" s="10" t="str">
        <f aca="false">IF(A183="","",IFERROR(DATEVALUE(LEFT(A183,10)),A183))</f>
        <v/>
      </c>
      <c r="J183" s="8" t="str">
        <f aca="false">IF(H183="","",IF(COUNTIFS(Transactions!$A:$A,I183,Transactions!$J:$J,"&gt;="&amp;(H183-0.01),Transactions!$J:$J,"&lt;="&amp;(H183+0.01))&gt;0,"Matched","Missing from ledger"))</f>
        <v/>
      </c>
    </row>
    <row r="184" customFormat="false" ht="15" hidden="false" customHeight="false" outlineLevel="0" collapsed="false">
      <c r="A184" s="21"/>
      <c r="B184" s="21"/>
      <c r="C184" s="21"/>
      <c r="D184" s="21"/>
      <c r="E184" s="21"/>
      <c r="F184" s="21"/>
      <c r="G184" s="21"/>
      <c r="H184" s="24"/>
      <c r="I184" s="10" t="str">
        <f aca="false">IF(A184="","",IFERROR(DATEVALUE(LEFT(A184,10)),A184))</f>
        <v/>
      </c>
      <c r="J184" s="8" t="str">
        <f aca="false">IF(H184="","",IF(COUNTIFS(Transactions!$A:$A,I184,Transactions!$J:$J,"&gt;="&amp;(H184-0.01),Transactions!$J:$J,"&lt;="&amp;(H184+0.01))&gt;0,"Matched","Missing from ledger"))</f>
        <v/>
      </c>
    </row>
    <row r="185" customFormat="false" ht="15" hidden="false" customHeight="false" outlineLevel="0" collapsed="false">
      <c r="A185" s="21"/>
      <c r="B185" s="21"/>
      <c r="C185" s="21"/>
      <c r="D185" s="21"/>
      <c r="E185" s="21"/>
      <c r="F185" s="21"/>
      <c r="G185" s="21"/>
      <c r="H185" s="24"/>
      <c r="I185" s="10" t="str">
        <f aca="false">IF(A185="","",IFERROR(DATEVALUE(LEFT(A185,10)),A185))</f>
        <v/>
      </c>
      <c r="J185" s="8" t="str">
        <f aca="false">IF(H185="","",IF(COUNTIFS(Transactions!$A:$A,I185,Transactions!$J:$J,"&gt;="&amp;(H185-0.01),Transactions!$J:$J,"&lt;="&amp;(H185+0.01))&gt;0,"Matched","Missing from ledger"))</f>
        <v/>
      </c>
    </row>
    <row r="186" customFormat="false" ht="15" hidden="false" customHeight="false" outlineLevel="0" collapsed="false">
      <c r="A186" s="21"/>
      <c r="B186" s="21"/>
      <c r="C186" s="21"/>
      <c r="D186" s="21"/>
      <c r="E186" s="21"/>
      <c r="F186" s="21"/>
      <c r="G186" s="21"/>
      <c r="H186" s="24"/>
      <c r="I186" s="10" t="str">
        <f aca="false">IF(A186="","",IFERROR(DATEVALUE(LEFT(A186,10)),A186))</f>
        <v/>
      </c>
      <c r="J186" s="8" t="str">
        <f aca="false">IF(H186="","",IF(COUNTIFS(Transactions!$A:$A,I186,Transactions!$J:$J,"&gt;="&amp;(H186-0.01),Transactions!$J:$J,"&lt;="&amp;(H186+0.01))&gt;0,"Matched","Missing from ledger"))</f>
        <v/>
      </c>
    </row>
    <row r="187" customFormat="false" ht="15" hidden="false" customHeight="false" outlineLevel="0" collapsed="false">
      <c r="A187" s="21"/>
      <c r="B187" s="21"/>
      <c r="C187" s="21"/>
      <c r="D187" s="21"/>
      <c r="E187" s="21"/>
      <c r="F187" s="21"/>
      <c r="G187" s="21"/>
      <c r="H187" s="24"/>
      <c r="I187" s="10" t="str">
        <f aca="false">IF(A187="","",IFERROR(DATEVALUE(LEFT(A187,10)),A187))</f>
        <v/>
      </c>
      <c r="J187" s="8" t="str">
        <f aca="false">IF(H187="","",IF(COUNTIFS(Transactions!$A:$A,I187,Transactions!$J:$J,"&gt;="&amp;(H187-0.01),Transactions!$J:$J,"&lt;="&amp;(H187+0.01))&gt;0,"Matched","Missing from ledger"))</f>
        <v/>
      </c>
    </row>
    <row r="188" customFormat="false" ht="15" hidden="false" customHeight="false" outlineLevel="0" collapsed="false">
      <c r="A188" s="21"/>
      <c r="B188" s="21"/>
      <c r="C188" s="21"/>
      <c r="D188" s="21"/>
      <c r="E188" s="21"/>
      <c r="F188" s="21"/>
      <c r="G188" s="21"/>
      <c r="H188" s="24"/>
      <c r="I188" s="10" t="str">
        <f aca="false">IF(A188="","",IFERROR(DATEVALUE(LEFT(A188,10)),A188))</f>
        <v/>
      </c>
      <c r="J188" s="8" t="str">
        <f aca="false">IF(H188="","",IF(COUNTIFS(Transactions!$A:$A,I188,Transactions!$J:$J,"&gt;="&amp;(H188-0.01),Transactions!$J:$J,"&lt;="&amp;(H188+0.01))&gt;0,"Matched","Missing from ledger"))</f>
        <v/>
      </c>
    </row>
    <row r="189" customFormat="false" ht="15" hidden="false" customHeight="false" outlineLevel="0" collapsed="false">
      <c r="A189" s="21"/>
      <c r="B189" s="21"/>
      <c r="C189" s="21"/>
      <c r="D189" s="21"/>
      <c r="E189" s="21"/>
      <c r="F189" s="21"/>
      <c r="G189" s="21"/>
      <c r="H189" s="24"/>
      <c r="I189" s="10" t="str">
        <f aca="false">IF(A189="","",IFERROR(DATEVALUE(LEFT(A189,10)),A189))</f>
        <v/>
      </c>
      <c r="J189" s="8" t="str">
        <f aca="false">IF(H189="","",IF(COUNTIFS(Transactions!$A:$A,I189,Transactions!$J:$J,"&gt;="&amp;(H189-0.01),Transactions!$J:$J,"&lt;="&amp;(H189+0.01))&gt;0,"Matched","Missing from ledger"))</f>
        <v/>
      </c>
    </row>
    <row r="190" customFormat="false" ht="15" hidden="false" customHeight="false" outlineLevel="0" collapsed="false">
      <c r="A190" s="21"/>
      <c r="B190" s="21"/>
      <c r="C190" s="21"/>
      <c r="D190" s="21"/>
      <c r="E190" s="21"/>
      <c r="F190" s="21"/>
      <c r="G190" s="21"/>
      <c r="H190" s="24"/>
      <c r="I190" s="10" t="str">
        <f aca="false">IF(A190="","",IFERROR(DATEVALUE(LEFT(A190,10)),A190))</f>
        <v/>
      </c>
      <c r="J190" s="8" t="str">
        <f aca="false">IF(H190="","",IF(COUNTIFS(Transactions!$A:$A,I190,Transactions!$J:$J,"&gt;="&amp;(H190-0.01),Transactions!$J:$J,"&lt;="&amp;(H190+0.01))&gt;0,"Matched","Missing from ledger"))</f>
        <v/>
      </c>
    </row>
    <row r="191" customFormat="false" ht="15" hidden="false" customHeight="false" outlineLevel="0" collapsed="false">
      <c r="A191" s="21"/>
      <c r="B191" s="21"/>
      <c r="C191" s="21"/>
      <c r="D191" s="21"/>
      <c r="E191" s="21"/>
      <c r="F191" s="21"/>
      <c r="G191" s="21"/>
      <c r="H191" s="24"/>
      <c r="I191" s="10" t="str">
        <f aca="false">IF(A191="","",IFERROR(DATEVALUE(LEFT(A191,10)),A191))</f>
        <v/>
      </c>
      <c r="J191" s="8" t="str">
        <f aca="false">IF(H191="","",IF(COUNTIFS(Transactions!$A:$A,I191,Transactions!$J:$J,"&gt;="&amp;(H191-0.01),Transactions!$J:$J,"&lt;="&amp;(H191+0.01))&gt;0,"Matched","Missing from ledger"))</f>
        <v/>
      </c>
    </row>
    <row r="192" customFormat="false" ht="15" hidden="false" customHeight="false" outlineLevel="0" collapsed="false">
      <c r="A192" s="21"/>
      <c r="B192" s="21"/>
      <c r="C192" s="21"/>
      <c r="D192" s="21"/>
      <c r="E192" s="21"/>
      <c r="F192" s="21"/>
      <c r="G192" s="21"/>
      <c r="H192" s="24"/>
      <c r="I192" s="10" t="str">
        <f aca="false">IF(A192="","",IFERROR(DATEVALUE(LEFT(A192,10)),A192))</f>
        <v/>
      </c>
      <c r="J192" s="8" t="str">
        <f aca="false">IF(H192="","",IF(COUNTIFS(Transactions!$A:$A,I192,Transactions!$J:$J,"&gt;="&amp;(H192-0.01),Transactions!$J:$J,"&lt;="&amp;(H192+0.01))&gt;0,"Matched","Missing from ledger"))</f>
        <v/>
      </c>
    </row>
    <row r="193" customFormat="false" ht="15" hidden="false" customHeight="false" outlineLevel="0" collapsed="false">
      <c r="A193" s="21"/>
      <c r="B193" s="21"/>
      <c r="C193" s="21"/>
      <c r="D193" s="21"/>
      <c r="E193" s="21"/>
      <c r="F193" s="21"/>
      <c r="G193" s="21"/>
      <c r="H193" s="24"/>
      <c r="I193" s="10" t="str">
        <f aca="false">IF(A193="","",IFERROR(DATEVALUE(LEFT(A193,10)),A193))</f>
        <v/>
      </c>
      <c r="J193" s="8" t="str">
        <f aca="false">IF(H193="","",IF(COUNTIFS(Transactions!$A:$A,I193,Transactions!$J:$J,"&gt;="&amp;(H193-0.01),Transactions!$J:$J,"&lt;="&amp;(H193+0.01))&gt;0,"Matched","Missing from ledger"))</f>
        <v/>
      </c>
    </row>
    <row r="194" customFormat="false" ht="15" hidden="false" customHeight="false" outlineLevel="0" collapsed="false">
      <c r="A194" s="21"/>
      <c r="B194" s="21"/>
      <c r="C194" s="21"/>
      <c r="D194" s="21"/>
      <c r="E194" s="21"/>
      <c r="F194" s="21"/>
      <c r="G194" s="21"/>
      <c r="H194" s="24"/>
      <c r="I194" s="10" t="str">
        <f aca="false">IF(A194="","",IFERROR(DATEVALUE(LEFT(A194,10)),A194))</f>
        <v/>
      </c>
      <c r="J194" s="8" t="str">
        <f aca="false">IF(H194="","",IF(COUNTIFS(Transactions!$A:$A,I194,Transactions!$J:$J,"&gt;="&amp;(H194-0.01),Transactions!$J:$J,"&lt;="&amp;(H194+0.01))&gt;0,"Matched","Missing from ledger"))</f>
        <v/>
      </c>
    </row>
    <row r="195" customFormat="false" ht="15" hidden="false" customHeight="false" outlineLevel="0" collapsed="false">
      <c r="A195" s="21"/>
      <c r="B195" s="21"/>
      <c r="C195" s="21"/>
      <c r="D195" s="21"/>
      <c r="E195" s="21"/>
      <c r="F195" s="21"/>
      <c r="G195" s="21"/>
      <c r="H195" s="24"/>
      <c r="I195" s="10" t="str">
        <f aca="false">IF(A195="","",IFERROR(DATEVALUE(LEFT(A195,10)),A195))</f>
        <v/>
      </c>
      <c r="J195" s="8" t="str">
        <f aca="false">IF(H195="","",IF(COUNTIFS(Transactions!$A:$A,I195,Transactions!$J:$J,"&gt;="&amp;(H195-0.01),Transactions!$J:$J,"&lt;="&amp;(H195+0.01))&gt;0,"Matched","Missing from ledger"))</f>
        <v/>
      </c>
    </row>
    <row r="196" customFormat="false" ht="15" hidden="false" customHeight="false" outlineLevel="0" collapsed="false">
      <c r="A196" s="21"/>
      <c r="B196" s="21"/>
      <c r="C196" s="21"/>
      <c r="D196" s="21"/>
      <c r="E196" s="21"/>
      <c r="F196" s="21"/>
      <c r="G196" s="21"/>
      <c r="H196" s="24"/>
      <c r="I196" s="10" t="str">
        <f aca="false">IF(A196="","",IFERROR(DATEVALUE(LEFT(A196,10)),A196))</f>
        <v/>
      </c>
      <c r="J196" s="8" t="str">
        <f aca="false">IF(H196="","",IF(COUNTIFS(Transactions!$A:$A,I196,Transactions!$J:$J,"&gt;="&amp;(H196-0.01),Transactions!$J:$J,"&lt;="&amp;(H196+0.01))&gt;0,"Matched","Missing from ledger"))</f>
        <v/>
      </c>
    </row>
    <row r="197" customFormat="false" ht="15" hidden="false" customHeight="false" outlineLevel="0" collapsed="false">
      <c r="A197" s="21"/>
      <c r="B197" s="21"/>
      <c r="C197" s="21"/>
      <c r="D197" s="21"/>
      <c r="E197" s="21"/>
      <c r="F197" s="21"/>
      <c r="G197" s="21"/>
      <c r="H197" s="24"/>
      <c r="I197" s="10" t="str">
        <f aca="false">IF(A197="","",IFERROR(DATEVALUE(LEFT(A197,10)),A197))</f>
        <v/>
      </c>
      <c r="J197" s="8" t="str">
        <f aca="false">IF(H197="","",IF(COUNTIFS(Transactions!$A:$A,I197,Transactions!$J:$J,"&gt;="&amp;(H197-0.01),Transactions!$J:$J,"&lt;="&amp;(H197+0.01))&gt;0,"Matched","Missing from ledger"))</f>
        <v/>
      </c>
    </row>
    <row r="198" customFormat="false" ht="15" hidden="false" customHeight="false" outlineLevel="0" collapsed="false">
      <c r="A198" s="21"/>
      <c r="B198" s="21"/>
      <c r="C198" s="21"/>
      <c r="D198" s="21"/>
      <c r="E198" s="21"/>
      <c r="F198" s="21"/>
      <c r="G198" s="21"/>
      <c r="H198" s="24"/>
      <c r="I198" s="10" t="str">
        <f aca="false">IF(A198="","",IFERROR(DATEVALUE(LEFT(A198,10)),A198))</f>
        <v/>
      </c>
      <c r="J198" s="8" t="str">
        <f aca="false">IF(H198="","",IF(COUNTIFS(Transactions!$A:$A,I198,Transactions!$J:$J,"&gt;="&amp;(H198-0.01),Transactions!$J:$J,"&lt;="&amp;(H198+0.01))&gt;0,"Matched","Missing from ledger"))</f>
        <v/>
      </c>
    </row>
    <row r="199" customFormat="false" ht="15" hidden="false" customHeight="false" outlineLevel="0" collapsed="false">
      <c r="A199" s="21"/>
      <c r="B199" s="21"/>
      <c r="C199" s="21"/>
      <c r="D199" s="21"/>
      <c r="E199" s="21"/>
      <c r="F199" s="21"/>
      <c r="G199" s="21"/>
      <c r="H199" s="24"/>
      <c r="I199" s="10" t="str">
        <f aca="false">IF(A199="","",IFERROR(DATEVALUE(LEFT(A199,10)),A199))</f>
        <v/>
      </c>
      <c r="J199" s="8" t="str">
        <f aca="false">IF(H199="","",IF(COUNTIFS(Transactions!$A:$A,I199,Transactions!$J:$J,"&gt;="&amp;(H199-0.01),Transactions!$J:$J,"&lt;="&amp;(H199+0.01))&gt;0,"Matched","Missing from ledger"))</f>
        <v/>
      </c>
    </row>
    <row r="200" customFormat="false" ht="15" hidden="false" customHeight="false" outlineLevel="0" collapsed="false">
      <c r="A200" s="21"/>
      <c r="B200" s="21"/>
      <c r="C200" s="21"/>
      <c r="D200" s="21"/>
      <c r="E200" s="21"/>
      <c r="F200" s="21"/>
      <c r="G200" s="21"/>
      <c r="H200" s="24"/>
      <c r="I200" s="10" t="str">
        <f aca="false">IF(A200="","",IFERROR(DATEVALUE(LEFT(A200,10)),A200))</f>
        <v/>
      </c>
      <c r="J200" s="8" t="str">
        <f aca="false">IF(H200="","",IF(COUNTIFS(Transactions!$A:$A,I200,Transactions!$J:$J,"&gt;="&amp;(H200-0.01),Transactions!$J:$J,"&lt;="&amp;(H200+0.01))&gt;0,"Matched","Missing from ledger"))</f>
        <v/>
      </c>
    </row>
    <row r="201" customFormat="false" ht="15" hidden="false" customHeight="false" outlineLevel="0" collapsed="false">
      <c r="A201" s="21"/>
      <c r="B201" s="21"/>
      <c r="C201" s="21"/>
      <c r="D201" s="21"/>
      <c r="E201" s="21"/>
      <c r="F201" s="21"/>
      <c r="G201" s="21"/>
      <c r="H201" s="24"/>
      <c r="I201" s="10" t="str">
        <f aca="false">IF(A201="","",IFERROR(DATEVALUE(LEFT(A201,10)),A201))</f>
        <v/>
      </c>
      <c r="J201" s="8" t="str">
        <f aca="false">IF(H201="","",IF(COUNTIFS(Transactions!$A:$A,I201,Transactions!$J:$J,"&gt;="&amp;(H201-0.01),Transactions!$J:$J,"&lt;="&amp;(H201+0.01))&gt;0,"Matched","Missing from ledger"))</f>
        <v/>
      </c>
    </row>
    <row r="202" customFormat="false" ht="15" hidden="false" customHeight="false" outlineLevel="0" collapsed="false">
      <c r="A202" s="21"/>
      <c r="B202" s="21"/>
      <c r="C202" s="21"/>
      <c r="D202" s="21"/>
      <c r="E202" s="21"/>
      <c r="F202" s="21"/>
      <c r="G202" s="21"/>
      <c r="H202" s="24"/>
      <c r="I202" s="10" t="str">
        <f aca="false">IF(A202="","",IFERROR(DATEVALUE(LEFT(A202,10)),A202))</f>
        <v/>
      </c>
      <c r="J202" s="8" t="str">
        <f aca="false">IF(H202="","",IF(COUNTIFS(Transactions!$A:$A,I202,Transactions!$J:$J,"&gt;="&amp;(H202-0.01),Transactions!$J:$J,"&lt;="&amp;(H202+0.01))&gt;0,"Matched","Missing from ledger"))</f>
        <v/>
      </c>
    </row>
    <row r="203" customFormat="false" ht="15" hidden="false" customHeight="false" outlineLevel="0" collapsed="false">
      <c r="A203" s="21"/>
      <c r="B203" s="21"/>
      <c r="C203" s="21"/>
      <c r="D203" s="21"/>
      <c r="E203" s="21"/>
      <c r="F203" s="21"/>
      <c r="G203" s="21"/>
      <c r="H203" s="24"/>
      <c r="I203" s="10" t="str">
        <f aca="false">IF(A203="","",IFERROR(DATEVALUE(LEFT(A203,10)),A203))</f>
        <v/>
      </c>
      <c r="J203" s="8" t="str">
        <f aca="false">IF(H203="","",IF(COUNTIFS(Transactions!$A:$A,I203,Transactions!$J:$J,"&gt;="&amp;(H203-0.01),Transactions!$J:$J,"&lt;="&amp;(H203+0.01))&gt;0,"Matched","Missing from ledger"))</f>
        <v/>
      </c>
    </row>
    <row r="204" customFormat="false" ht="15" hidden="false" customHeight="false" outlineLevel="0" collapsed="false">
      <c r="A204" s="21"/>
      <c r="B204" s="21"/>
      <c r="C204" s="21"/>
      <c r="D204" s="21"/>
      <c r="E204" s="21"/>
      <c r="F204" s="21"/>
      <c r="G204" s="21"/>
      <c r="H204" s="24"/>
      <c r="I204" s="10" t="str">
        <f aca="false">IF(A204="","",IFERROR(DATEVALUE(LEFT(A204,10)),A204))</f>
        <v/>
      </c>
      <c r="J204" s="8" t="str">
        <f aca="false">IF(H204="","",IF(COUNTIFS(Transactions!$A:$A,I204,Transactions!$J:$J,"&gt;="&amp;(H204-0.01),Transactions!$J:$J,"&lt;="&amp;(H204+0.01))&gt;0,"Matched","Missing from ledger"))</f>
        <v/>
      </c>
    </row>
    <row r="205" customFormat="false" ht="15" hidden="false" customHeight="false" outlineLevel="0" collapsed="false">
      <c r="A205" s="21"/>
      <c r="B205" s="21"/>
      <c r="C205" s="21"/>
      <c r="D205" s="21"/>
      <c r="E205" s="21"/>
      <c r="F205" s="21"/>
      <c r="G205" s="21"/>
      <c r="H205" s="24"/>
      <c r="I205" s="10" t="str">
        <f aca="false">IF(A205="","",IFERROR(DATEVALUE(LEFT(A205,10)),A205))</f>
        <v/>
      </c>
      <c r="J205" s="8" t="str">
        <f aca="false">IF(H205="","",IF(COUNTIFS(Transactions!$A:$A,I205,Transactions!$J:$J,"&gt;="&amp;(H205-0.01),Transactions!$J:$J,"&lt;="&amp;(H205+0.01))&gt;0,"Matched","Missing from ledger"))</f>
        <v/>
      </c>
    </row>
    <row r="206" customFormat="false" ht="15" hidden="false" customHeight="false" outlineLevel="0" collapsed="false">
      <c r="A206" s="21"/>
      <c r="B206" s="21"/>
      <c r="C206" s="21"/>
      <c r="D206" s="21"/>
      <c r="E206" s="21"/>
      <c r="F206" s="21"/>
      <c r="G206" s="21"/>
      <c r="H206" s="24"/>
      <c r="I206" s="10" t="str">
        <f aca="false">IF(A206="","",IFERROR(DATEVALUE(LEFT(A206,10)),A206))</f>
        <v/>
      </c>
      <c r="J206" s="8" t="str">
        <f aca="false">IF(H206="","",IF(COUNTIFS(Transactions!$A:$A,I206,Transactions!$J:$J,"&gt;="&amp;(H206-0.01),Transactions!$J:$J,"&lt;="&amp;(H206+0.01))&gt;0,"Matched","Missing from ledger"))</f>
        <v/>
      </c>
    </row>
    <row r="207" customFormat="false" ht="15" hidden="false" customHeight="false" outlineLevel="0" collapsed="false">
      <c r="A207" s="21"/>
      <c r="B207" s="21"/>
      <c r="C207" s="21"/>
      <c r="D207" s="21"/>
      <c r="E207" s="21"/>
      <c r="F207" s="21"/>
      <c r="G207" s="21"/>
      <c r="H207" s="24"/>
      <c r="I207" s="10" t="str">
        <f aca="false">IF(A207="","",IFERROR(DATEVALUE(LEFT(A207,10)),A207))</f>
        <v/>
      </c>
      <c r="J207" s="8" t="str">
        <f aca="false">IF(H207="","",IF(COUNTIFS(Transactions!$A:$A,I207,Transactions!$J:$J,"&gt;="&amp;(H207-0.01),Transactions!$J:$J,"&lt;="&amp;(H207+0.01))&gt;0,"Matched","Missing from ledger"))</f>
        <v/>
      </c>
    </row>
    <row r="208" customFormat="false" ht="15" hidden="false" customHeight="false" outlineLevel="0" collapsed="false">
      <c r="A208" s="21"/>
      <c r="B208" s="21"/>
      <c r="C208" s="21"/>
      <c r="D208" s="21"/>
      <c r="E208" s="21"/>
      <c r="F208" s="21"/>
      <c r="G208" s="21"/>
      <c r="H208" s="24"/>
      <c r="I208" s="10" t="str">
        <f aca="false">IF(A208="","",IFERROR(DATEVALUE(LEFT(A208,10)),A208))</f>
        <v/>
      </c>
      <c r="J208" s="8" t="str">
        <f aca="false">IF(H208="","",IF(COUNTIFS(Transactions!$A:$A,I208,Transactions!$J:$J,"&gt;="&amp;(H208-0.01),Transactions!$J:$J,"&lt;="&amp;(H208+0.01))&gt;0,"Matched","Missing from ledger"))</f>
        <v/>
      </c>
    </row>
    <row r="209" customFormat="false" ht="15" hidden="false" customHeight="false" outlineLevel="0" collapsed="false">
      <c r="A209" s="21"/>
      <c r="B209" s="21"/>
      <c r="C209" s="21"/>
      <c r="D209" s="21"/>
      <c r="E209" s="21"/>
      <c r="F209" s="21"/>
      <c r="G209" s="21"/>
      <c r="H209" s="24"/>
      <c r="I209" s="10" t="str">
        <f aca="false">IF(A209="","",IFERROR(DATEVALUE(LEFT(A209,10)),A209))</f>
        <v/>
      </c>
      <c r="J209" s="8" t="str">
        <f aca="false">IF(H209="","",IF(COUNTIFS(Transactions!$A:$A,I209,Transactions!$J:$J,"&gt;="&amp;(H209-0.01),Transactions!$J:$J,"&lt;="&amp;(H209+0.01))&gt;0,"Matched","Missing from ledger"))</f>
        <v/>
      </c>
    </row>
    <row r="210" customFormat="false" ht="15" hidden="false" customHeight="false" outlineLevel="0" collapsed="false">
      <c r="A210" s="21"/>
      <c r="B210" s="21"/>
      <c r="C210" s="21"/>
      <c r="D210" s="21"/>
      <c r="E210" s="21"/>
      <c r="F210" s="21"/>
      <c r="G210" s="21"/>
      <c r="H210" s="24"/>
      <c r="I210" s="10" t="str">
        <f aca="false">IF(A210="","",IFERROR(DATEVALUE(LEFT(A210,10)),A210))</f>
        <v/>
      </c>
      <c r="J210" s="8" t="str">
        <f aca="false">IF(H210="","",IF(COUNTIFS(Transactions!$A:$A,I210,Transactions!$J:$J,"&gt;="&amp;(H210-0.01),Transactions!$J:$J,"&lt;="&amp;(H210+0.01))&gt;0,"Matched","Missing from ledger"))</f>
        <v/>
      </c>
    </row>
    <row r="211" customFormat="false" ht="15" hidden="false" customHeight="false" outlineLevel="0" collapsed="false">
      <c r="A211" s="21"/>
      <c r="B211" s="21"/>
      <c r="C211" s="21"/>
      <c r="D211" s="21"/>
      <c r="E211" s="21"/>
      <c r="F211" s="21"/>
      <c r="G211" s="21"/>
      <c r="H211" s="24"/>
      <c r="I211" s="10" t="str">
        <f aca="false">IF(A211="","",IFERROR(DATEVALUE(LEFT(A211,10)),A211))</f>
        <v/>
      </c>
      <c r="J211" s="8" t="str">
        <f aca="false">IF(H211="","",IF(COUNTIFS(Transactions!$A:$A,I211,Transactions!$J:$J,"&gt;="&amp;(H211-0.01),Transactions!$J:$J,"&lt;="&amp;(H211+0.01))&gt;0,"Matched","Missing from ledger"))</f>
        <v/>
      </c>
    </row>
    <row r="212" customFormat="false" ht="15" hidden="false" customHeight="false" outlineLevel="0" collapsed="false">
      <c r="A212" s="21"/>
      <c r="B212" s="21"/>
      <c r="C212" s="21"/>
      <c r="D212" s="21"/>
      <c r="E212" s="21"/>
      <c r="F212" s="21"/>
      <c r="G212" s="21"/>
      <c r="H212" s="24"/>
      <c r="I212" s="10" t="str">
        <f aca="false">IF(A212="","",IFERROR(DATEVALUE(LEFT(A212,10)),A212))</f>
        <v/>
      </c>
      <c r="J212" s="8" t="str">
        <f aca="false">IF(H212="","",IF(COUNTIFS(Transactions!$A:$A,I212,Transactions!$J:$J,"&gt;="&amp;(H212-0.01),Transactions!$J:$J,"&lt;="&amp;(H212+0.01))&gt;0,"Matched","Missing from ledger"))</f>
        <v/>
      </c>
    </row>
    <row r="213" customFormat="false" ht="15" hidden="false" customHeight="false" outlineLevel="0" collapsed="false">
      <c r="A213" s="21"/>
      <c r="B213" s="21"/>
      <c r="C213" s="21"/>
      <c r="D213" s="21"/>
      <c r="E213" s="21"/>
      <c r="F213" s="21"/>
      <c r="G213" s="21"/>
      <c r="H213" s="24"/>
      <c r="I213" s="10" t="str">
        <f aca="false">IF(A213="","",IFERROR(DATEVALUE(LEFT(A213,10)),A213))</f>
        <v/>
      </c>
      <c r="J213" s="8" t="str">
        <f aca="false">IF(H213="","",IF(COUNTIFS(Transactions!$A:$A,I213,Transactions!$J:$J,"&gt;="&amp;(H213-0.01),Transactions!$J:$J,"&lt;="&amp;(H213+0.01))&gt;0,"Matched","Missing from ledger"))</f>
        <v/>
      </c>
    </row>
    <row r="214" customFormat="false" ht="15" hidden="false" customHeight="false" outlineLevel="0" collapsed="false">
      <c r="A214" s="21"/>
      <c r="B214" s="21"/>
      <c r="C214" s="21"/>
      <c r="D214" s="21"/>
      <c r="E214" s="21"/>
      <c r="F214" s="21"/>
      <c r="G214" s="21"/>
      <c r="H214" s="24"/>
      <c r="I214" s="10" t="str">
        <f aca="false">IF(A214="","",IFERROR(DATEVALUE(LEFT(A214,10)),A214))</f>
        <v/>
      </c>
      <c r="J214" s="8" t="str">
        <f aca="false">IF(H214="","",IF(COUNTIFS(Transactions!$A:$A,I214,Transactions!$J:$J,"&gt;="&amp;(H214-0.01),Transactions!$J:$J,"&lt;="&amp;(H214+0.01))&gt;0,"Matched","Missing from ledger"))</f>
        <v/>
      </c>
    </row>
    <row r="215" customFormat="false" ht="15" hidden="false" customHeight="false" outlineLevel="0" collapsed="false">
      <c r="A215" s="21"/>
      <c r="B215" s="21"/>
      <c r="C215" s="21"/>
      <c r="D215" s="21"/>
      <c r="E215" s="21"/>
      <c r="F215" s="21"/>
      <c r="G215" s="21"/>
      <c r="H215" s="24"/>
      <c r="I215" s="10" t="str">
        <f aca="false">IF(A215="","",IFERROR(DATEVALUE(LEFT(A215,10)),A215))</f>
        <v/>
      </c>
      <c r="J215" s="8" t="str">
        <f aca="false">IF(H215="","",IF(COUNTIFS(Transactions!$A:$A,I215,Transactions!$J:$J,"&gt;="&amp;(H215-0.01),Transactions!$J:$J,"&lt;="&amp;(H215+0.01))&gt;0,"Matched","Missing from ledger"))</f>
        <v/>
      </c>
    </row>
    <row r="216" customFormat="false" ht="15" hidden="false" customHeight="false" outlineLevel="0" collapsed="false">
      <c r="A216" s="21"/>
      <c r="B216" s="21"/>
      <c r="C216" s="21"/>
      <c r="D216" s="21"/>
      <c r="E216" s="21"/>
      <c r="F216" s="21"/>
      <c r="G216" s="21"/>
      <c r="H216" s="24"/>
      <c r="I216" s="10" t="str">
        <f aca="false">IF(A216="","",IFERROR(DATEVALUE(LEFT(A216,10)),A216))</f>
        <v/>
      </c>
      <c r="J216" s="8" t="str">
        <f aca="false">IF(H216="","",IF(COUNTIFS(Transactions!$A:$A,I216,Transactions!$J:$J,"&gt;="&amp;(H216-0.01),Transactions!$J:$J,"&lt;="&amp;(H216+0.01))&gt;0,"Matched","Missing from ledger"))</f>
        <v/>
      </c>
    </row>
    <row r="217" customFormat="false" ht="15" hidden="false" customHeight="false" outlineLevel="0" collapsed="false">
      <c r="A217" s="21"/>
      <c r="B217" s="21"/>
      <c r="C217" s="21"/>
      <c r="D217" s="21"/>
      <c r="E217" s="21"/>
      <c r="F217" s="21"/>
      <c r="G217" s="21"/>
      <c r="H217" s="24"/>
      <c r="I217" s="10" t="str">
        <f aca="false">IF(A217="","",IFERROR(DATEVALUE(LEFT(A217,10)),A217))</f>
        <v/>
      </c>
      <c r="J217" s="8" t="str">
        <f aca="false">IF(H217="","",IF(COUNTIFS(Transactions!$A:$A,I217,Transactions!$J:$J,"&gt;="&amp;(H217-0.01),Transactions!$J:$J,"&lt;="&amp;(H217+0.01))&gt;0,"Matched","Missing from ledger"))</f>
        <v/>
      </c>
    </row>
    <row r="218" customFormat="false" ht="15" hidden="false" customHeight="false" outlineLevel="0" collapsed="false">
      <c r="A218" s="21"/>
      <c r="B218" s="21"/>
      <c r="C218" s="21"/>
      <c r="D218" s="21"/>
      <c r="E218" s="21"/>
      <c r="F218" s="21"/>
      <c r="G218" s="21"/>
      <c r="H218" s="24"/>
      <c r="I218" s="10" t="str">
        <f aca="false">IF(A218="","",IFERROR(DATEVALUE(LEFT(A218,10)),A218))</f>
        <v/>
      </c>
      <c r="J218" s="8" t="str">
        <f aca="false">IF(H218="","",IF(COUNTIFS(Transactions!$A:$A,I218,Transactions!$J:$J,"&gt;="&amp;(H218-0.01),Transactions!$J:$J,"&lt;="&amp;(H218+0.01))&gt;0,"Matched","Missing from ledger"))</f>
        <v/>
      </c>
    </row>
    <row r="219" customFormat="false" ht="15" hidden="false" customHeight="false" outlineLevel="0" collapsed="false">
      <c r="A219" s="21"/>
      <c r="B219" s="21"/>
      <c r="C219" s="21"/>
      <c r="D219" s="21"/>
      <c r="E219" s="21"/>
      <c r="F219" s="21"/>
      <c r="G219" s="21"/>
      <c r="H219" s="24"/>
      <c r="I219" s="10" t="str">
        <f aca="false">IF(A219="","",IFERROR(DATEVALUE(LEFT(A219,10)),A219))</f>
        <v/>
      </c>
      <c r="J219" s="8" t="str">
        <f aca="false">IF(H219="","",IF(COUNTIFS(Transactions!$A:$A,I219,Transactions!$J:$J,"&gt;="&amp;(H219-0.01),Transactions!$J:$J,"&lt;="&amp;(H219+0.01))&gt;0,"Matched","Missing from ledger"))</f>
        <v/>
      </c>
    </row>
    <row r="220" customFormat="false" ht="15" hidden="false" customHeight="false" outlineLevel="0" collapsed="false">
      <c r="A220" s="21"/>
      <c r="B220" s="21"/>
      <c r="C220" s="21"/>
      <c r="D220" s="21"/>
      <c r="E220" s="21"/>
      <c r="F220" s="21"/>
      <c r="G220" s="21"/>
      <c r="H220" s="24"/>
      <c r="I220" s="10" t="str">
        <f aca="false">IF(A220="","",IFERROR(DATEVALUE(LEFT(A220,10)),A220))</f>
        <v/>
      </c>
      <c r="J220" s="8" t="str">
        <f aca="false">IF(H220="","",IF(COUNTIFS(Transactions!$A:$A,I220,Transactions!$J:$J,"&gt;="&amp;(H220-0.01),Transactions!$J:$J,"&lt;="&amp;(H220+0.01))&gt;0,"Matched","Missing from ledger"))</f>
        <v/>
      </c>
    </row>
    <row r="221" customFormat="false" ht="15" hidden="false" customHeight="false" outlineLevel="0" collapsed="false">
      <c r="A221" s="21"/>
      <c r="B221" s="21"/>
      <c r="C221" s="21"/>
      <c r="D221" s="21"/>
      <c r="E221" s="21"/>
      <c r="F221" s="21"/>
      <c r="G221" s="21"/>
      <c r="H221" s="24"/>
      <c r="I221" s="10" t="str">
        <f aca="false">IF(A221="","",IFERROR(DATEVALUE(LEFT(A221,10)),A221))</f>
        <v/>
      </c>
      <c r="J221" s="8" t="str">
        <f aca="false">IF(H221="","",IF(COUNTIFS(Transactions!$A:$A,I221,Transactions!$J:$J,"&gt;="&amp;(H221-0.01),Transactions!$J:$J,"&lt;="&amp;(H221+0.01))&gt;0,"Matched","Missing from ledger"))</f>
        <v/>
      </c>
    </row>
    <row r="222" customFormat="false" ht="15" hidden="false" customHeight="false" outlineLevel="0" collapsed="false">
      <c r="A222" s="21"/>
      <c r="B222" s="21"/>
      <c r="C222" s="21"/>
      <c r="D222" s="21"/>
      <c r="E222" s="21"/>
      <c r="F222" s="21"/>
      <c r="G222" s="21"/>
      <c r="H222" s="24"/>
      <c r="I222" s="10" t="str">
        <f aca="false">IF(A222="","",IFERROR(DATEVALUE(LEFT(A222,10)),A222))</f>
        <v/>
      </c>
      <c r="J222" s="8" t="str">
        <f aca="false">IF(H222="","",IF(COUNTIFS(Transactions!$A:$A,I222,Transactions!$J:$J,"&gt;="&amp;(H222-0.01),Transactions!$J:$J,"&lt;="&amp;(H222+0.01))&gt;0,"Matched","Missing from ledger"))</f>
        <v/>
      </c>
    </row>
    <row r="223" customFormat="false" ht="15" hidden="false" customHeight="false" outlineLevel="0" collapsed="false">
      <c r="A223" s="21"/>
      <c r="B223" s="21"/>
      <c r="C223" s="21"/>
      <c r="D223" s="21"/>
      <c r="E223" s="21"/>
      <c r="F223" s="21"/>
      <c r="G223" s="21"/>
      <c r="H223" s="24"/>
      <c r="I223" s="10" t="str">
        <f aca="false">IF(A223="","",IFERROR(DATEVALUE(LEFT(A223,10)),A223))</f>
        <v/>
      </c>
      <c r="J223" s="8" t="str">
        <f aca="false">IF(H223="","",IF(COUNTIFS(Transactions!$A:$A,I223,Transactions!$J:$J,"&gt;="&amp;(H223-0.01),Transactions!$J:$J,"&lt;="&amp;(H223+0.01))&gt;0,"Matched","Missing from ledger"))</f>
        <v/>
      </c>
    </row>
    <row r="224" customFormat="false" ht="15" hidden="false" customHeight="false" outlineLevel="0" collapsed="false">
      <c r="A224" s="21"/>
      <c r="B224" s="21"/>
      <c r="C224" s="21"/>
      <c r="D224" s="21"/>
      <c r="E224" s="21"/>
      <c r="F224" s="21"/>
      <c r="G224" s="21"/>
      <c r="H224" s="24"/>
      <c r="I224" s="10" t="str">
        <f aca="false">IF(A224="","",IFERROR(DATEVALUE(LEFT(A224,10)),A224))</f>
        <v/>
      </c>
      <c r="J224" s="8" t="str">
        <f aca="false">IF(H224="","",IF(COUNTIFS(Transactions!$A:$A,I224,Transactions!$J:$J,"&gt;="&amp;(H224-0.01),Transactions!$J:$J,"&lt;="&amp;(H224+0.01))&gt;0,"Matched","Missing from ledger"))</f>
        <v/>
      </c>
    </row>
    <row r="225" customFormat="false" ht="15" hidden="false" customHeight="false" outlineLevel="0" collapsed="false">
      <c r="A225" s="21"/>
      <c r="B225" s="21"/>
      <c r="C225" s="21"/>
      <c r="D225" s="21"/>
      <c r="E225" s="21"/>
      <c r="F225" s="21"/>
      <c r="G225" s="21"/>
      <c r="H225" s="24"/>
      <c r="I225" s="10" t="str">
        <f aca="false">IF(A225="","",IFERROR(DATEVALUE(LEFT(A225,10)),A225))</f>
        <v/>
      </c>
      <c r="J225" s="8" t="str">
        <f aca="false">IF(H225="","",IF(COUNTIFS(Transactions!$A:$A,I225,Transactions!$J:$J,"&gt;="&amp;(H225-0.01),Transactions!$J:$J,"&lt;="&amp;(H225+0.01))&gt;0,"Matched","Missing from ledger"))</f>
        <v/>
      </c>
    </row>
    <row r="226" customFormat="false" ht="15" hidden="false" customHeight="false" outlineLevel="0" collapsed="false">
      <c r="A226" s="21"/>
      <c r="B226" s="21"/>
      <c r="C226" s="21"/>
      <c r="D226" s="21"/>
      <c r="E226" s="21"/>
      <c r="F226" s="21"/>
      <c r="G226" s="21"/>
      <c r="H226" s="24"/>
      <c r="I226" s="10" t="str">
        <f aca="false">IF(A226="","",IFERROR(DATEVALUE(LEFT(A226,10)),A226))</f>
        <v/>
      </c>
      <c r="J226" s="8" t="str">
        <f aca="false">IF(H226="","",IF(COUNTIFS(Transactions!$A:$A,I226,Transactions!$J:$J,"&gt;="&amp;(H226-0.01),Transactions!$J:$J,"&lt;="&amp;(H226+0.01))&gt;0,"Matched","Missing from ledger"))</f>
        <v/>
      </c>
    </row>
    <row r="227" customFormat="false" ht="15" hidden="false" customHeight="false" outlineLevel="0" collapsed="false">
      <c r="A227" s="21"/>
      <c r="B227" s="21"/>
      <c r="C227" s="21"/>
      <c r="D227" s="21"/>
      <c r="E227" s="21"/>
      <c r="F227" s="21"/>
      <c r="G227" s="21"/>
      <c r="H227" s="24"/>
      <c r="I227" s="10" t="str">
        <f aca="false">IF(A227="","",IFERROR(DATEVALUE(LEFT(A227,10)),A227))</f>
        <v/>
      </c>
      <c r="J227" s="8" t="str">
        <f aca="false">IF(H227="","",IF(COUNTIFS(Transactions!$A:$A,I227,Transactions!$J:$J,"&gt;="&amp;(H227-0.01),Transactions!$J:$J,"&lt;="&amp;(H227+0.01))&gt;0,"Matched","Missing from ledger"))</f>
        <v/>
      </c>
    </row>
    <row r="228" customFormat="false" ht="15" hidden="false" customHeight="false" outlineLevel="0" collapsed="false">
      <c r="A228" s="21"/>
      <c r="B228" s="21"/>
      <c r="C228" s="21"/>
      <c r="D228" s="21"/>
      <c r="E228" s="21"/>
      <c r="F228" s="21"/>
      <c r="G228" s="21"/>
      <c r="H228" s="24"/>
      <c r="I228" s="10" t="str">
        <f aca="false">IF(A228="","",IFERROR(DATEVALUE(LEFT(A228,10)),A228))</f>
        <v/>
      </c>
      <c r="J228" s="8" t="str">
        <f aca="false">IF(H228="","",IF(COUNTIFS(Transactions!$A:$A,I228,Transactions!$J:$J,"&gt;="&amp;(H228-0.01),Transactions!$J:$J,"&lt;="&amp;(H228+0.01))&gt;0,"Matched","Missing from ledger"))</f>
        <v/>
      </c>
    </row>
    <row r="229" customFormat="false" ht="15" hidden="false" customHeight="false" outlineLevel="0" collapsed="false">
      <c r="A229" s="21"/>
      <c r="B229" s="21"/>
      <c r="C229" s="21"/>
      <c r="D229" s="21"/>
      <c r="E229" s="21"/>
      <c r="F229" s="21"/>
      <c r="G229" s="21"/>
      <c r="H229" s="24"/>
      <c r="I229" s="10" t="str">
        <f aca="false">IF(A229="","",IFERROR(DATEVALUE(LEFT(A229,10)),A229))</f>
        <v/>
      </c>
      <c r="J229" s="8" t="str">
        <f aca="false">IF(H229="","",IF(COUNTIFS(Transactions!$A:$A,I229,Transactions!$J:$J,"&gt;="&amp;(H229-0.01),Transactions!$J:$J,"&lt;="&amp;(H229+0.01))&gt;0,"Matched","Missing from ledger"))</f>
        <v/>
      </c>
    </row>
    <row r="230" customFormat="false" ht="15" hidden="false" customHeight="false" outlineLevel="0" collapsed="false">
      <c r="A230" s="21"/>
      <c r="B230" s="21"/>
      <c r="C230" s="21"/>
      <c r="D230" s="21"/>
      <c r="E230" s="21"/>
      <c r="F230" s="21"/>
      <c r="G230" s="21"/>
      <c r="H230" s="24"/>
      <c r="I230" s="10" t="str">
        <f aca="false">IF(A230="","",IFERROR(DATEVALUE(LEFT(A230,10)),A230))</f>
        <v/>
      </c>
      <c r="J230" s="8" t="str">
        <f aca="false">IF(H230="","",IF(COUNTIFS(Transactions!$A:$A,I230,Transactions!$J:$J,"&gt;="&amp;(H230-0.01),Transactions!$J:$J,"&lt;="&amp;(H230+0.01))&gt;0,"Matched","Missing from ledger"))</f>
        <v/>
      </c>
    </row>
    <row r="231" customFormat="false" ht="15" hidden="false" customHeight="false" outlineLevel="0" collapsed="false">
      <c r="A231" s="21"/>
      <c r="B231" s="21"/>
      <c r="C231" s="21"/>
      <c r="D231" s="21"/>
      <c r="E231" s="21"/>
      <c r="F231" s="21"/>
      <c r="G231" s="21"/>
      <c r="H231" s="24"/>
      <c r="I231" s="10" t="str">
        <f aca="false">IF(A231="","",IFERROR(DATEVALUE(LEFT(A231,10)),A231))</f>
        <v/>
      </c>
      <c r="J231" s="8" t="str">
        <f aca="false">IF(H231="","",IF(COUNTIFS(Transactions!$A:$A,I231,Transactions!$J:$J,"&gt;="&amp;(H231-0.01),Transactions!$J:$J,"&lt;="&amp;(H231+0.01))&gt;0,"Matched","Missing from ledger"))</f>
        <v/>
      </c>
    </row>
    <row r="232" customFormat="false" ht="15" hidden="false" customHeight="false" outlineLevel="0" collapsed="false">
      <c r="A232" s="21"/>
      <c r="B232" s="21"/>
      <c r="C232" s="21"/>
      <c r="D232" s="21"/>
      <c r="E232" s="21"/>
      <c r="F232" s="21"/>
      <c r="G232" s="21"/>
      <c r="H232" s="24"/>
      <c r="I232" s="10" t="str">
        <f aca="false">IF(A232="","",IFERROR(DATEVALUE(LEFT(A232,10)),A232))</f>
        <v/>
      </c>
      <c r="J232" s="8" t="str">
        <f aca="false">IF(H232="","",IF(COUNTIFS(Transactions!$A:$A,I232,Transactions!$J:$J,"&gt;="&amp;(H232-0.01),Transactions!$J:$J,"&lt;="&amp;(H232+0.01))&gt;0,"Matched","Missing from ledger"))</f>
        <v/>
      </c>
    </row>
    <row r="233" customFormat="false" ht="15" hidden="false" customHeight="false" outlineLevel="0" collapsed="false">
      <c r="A233" s="21"/>
      <c r="B233" s="21"/>
      <c r="C233" s="21"/>
      <c r="D233" s="21"/>
      <c r="E233" s="21"/>
      <c r="F233" s="21"/>
      <c r="G233" s="21"/>
      <c r="H233" s="24"/>
      <c r="I233" s="10" t="str">
        <f aca="false">IF(A233="","",IFERROR(DATEVALUE(LEFT(A233,10)),A233))</f>
        <v/>
      </c>
      <c r="J233" s="8" t="str">
        <f aca="false">IF(H233="","",IF(COUNTIFS(Transactions!$A:$A,I233,Transactions!$J:$J,"&gt;="&amp;(H233-0.01),Transactions!$J:$J,"&lt;="&amp;(H233+0.01))&gt;0,"Matched","Missing from ledger"))</f>
        <v/>
      </c>
    </row>
    <row r="234" customFormat="false" ht="15" hidden="false" customHeight="false" outlineLevel="0" collapsed="false">
      <c r="A234" s="21"/>
      <c r="B234" s="21"/>
      <c r="C234" s="21"/>
      <c r="D234" s="21"/>
      <c r="E234" s="21"/>
      <c r="F234" s="21"/>
      <c r="G234" s="21"/>
      <c r="H234" s="24"/>
      <c r="I234" s="10" t="str">
        <f aca="false">IF(A234="","",IFERROR(DATEVALUE(LEFT(A234,10)),A234))</f>
        <v/>
      </c>
      <c r="J234" s="8" t="str">
        <f aca="false">IF(H234="","",IF(COUNTIFS(Transactions!$A:$A,I234,Transactions!$J:$J,"&gt;="&amp;(H234-0.01),Transactions!$J:$J,"&lt;="&amp;(H234+0.01))&gt;0,"Matched","Missing from ledger"))</f>
        <v/>
      </c>
    </row>
    <row r="235" customFormat="false" ht="15" hidden="false" customHeight="false" outlineLevel="0" collapsed="false">
      <c r="A235" s="21"/>
      <c r="B235" s="21"/>
      <c r="C235" s="21"/>
      <c r="D235" s="21"/>
      <c r="E235" s="21"/>
      <c r="F235" s="21"/>
      <c r="G235" s="21"/>
      <c r="H235" s="24"/>
      <c r="I235" s="10" t="str">
        <f aca="false">IF(A235="","",IFERROR(DATEVALUE(LEFT(A235,10)),A235))</f>
        <v/>
      </c>
      <c r="J235" s="8" t="str">
        <f aca="false">IF(H235="","",IF(COUNTIFS(Transactions!$A:$A,I235,Transactions!$J:$J,"&gt;="&amp;(H235-0.01),Transactions!$J:$J,"&lt;="&amp;(H235+0.01))&gt;0,"Matched","Missing from ledger"))</f>
        <v/>
      </c>
    </row>
    <row r="236" customFormat="false" ht="15" hidden="false" customHeight="false" outlineLevel="0" collapsed="false">
      <c r="A236" s="21"/>
      <c r="B236" s="21"/>
      <c r="C236" s="21"/>
      <c r="D236" s="21"/>
      <c r="E236" s="21"/>
      <c r="F236" s="21"/>
      <c r="G236" s="21"/>
      <c r="H236" s="24"/>
      <c r="I236" s="10" t="str">
        <f aca="false">IF(A236="","",IFERROR(DATEVALUE(LEFT(A236,10)),A236))</f>
        <v/>
      </c>
      <c r="J236" s="8" t="str">
        <f aca="false">IF(H236="","",IF(COUNTIFS(Transactions!$A:$A,I236,Transactions!$J:$J,"&gt;="&amp;(H236-0.01),Transactions!$J:$J,"&lt;="&amp;(H236+0.01))&gt;0,"Matched","Missing from ledger"))</f>
        <v/>
      </c>
    </row>
    <row r="237" customFormat="false" ht="15" hidden="false" customHeight="false" outlineLevel="0" collapsed="false">
      <c r="A237" s="21"/>
      <c r="B237" s="21"/>
      <c r="C237" s="21"/>
      <c r="D237" s="21"/>
      <c r="E237" s="21"/>
      <c r="F237" s="21"/>
      <c r="G237" s="21"/>
      <c r="H237" s="24"/>
      <c r="I237" s="10" t="str">
        <f aca="false">IF(A237="","",IFERROR(DATEVALUE(LEFT(A237,10)),A237))</f>
        <v/>
      </c>
      <c r="J237" s="8" t="str">
        <f aca="false">IF(H237="","",IF(COUNTIFS(Transactions!$A:$A,I237,Transactions!$J:$J,"&gt;="&amp;(H237-0.01),Transactions!$J:$J,"&lt;="&amp;(H237+0.01))&gt;0,"Matched","Missing from ledger"))</f>
        <v/>
      </c>
    </row>
    <row r="238" customFormat="false" ht="15" hidden="false" customHeight="false" outlineLevel="0" collapsed="false">
      <c r="A238" s="21"/>
      <c r="B238" s="21"/>
      <c r="C238" s="21"/>
      <c r="D238" s="21"/>
      <c r="E238" s="21"/>
      <c r="F238" s="21"/>
      <c r="G238" s="21"/>
      <c r="H238" s="24"/>
      <c r="I238" s="10" t="str">
        <f aca="false">IF(A238="","",IFERROR(DATEVALUE(LEFT(A238,10)),A238))</f>
        <v/>
      </c>
      <c r="J238" s="8" t="str">
        <f aca="false">IF(H238="","",IF(COUNTIFS(Transactions!$A:$A,I238,Transactions!$J:$J,"&gt;="&amp;(H238-0.01),Transactions!$J:$J,"&lt;="&amp;(H238+0.01))&gt;0,"Matched","Missing from ledger"))</f>
        <v/>
      </c>
    </row>
    <row r="239" customFormat="false" ht="15" hidden="false" customHeight="false" outlineLevel="0" collapsed="false">
      <c r="A239" s="21"/>
      <c r="B239" s="21"/>
      <c r="C239" s="21"/>
      <c r="D239" s="21"/>
      <c r="E239" s="21"/>
      <c r="F239" s="21"/>
      <c r="G239" s="21"/>
      <c r="H239" s="24"/>
      <c r="I239" s="10" t="str">
        <f aca="false">IF(A239="","",IFERROR(DATEVALUE(LEFT(A239,10)),A239))</f>
        <v/>
      </c>
      <c r="J239" s="8" t="str">
        <f aca="false">IF(H239="","",IF(COUNTIFS(Transactions!$A:$A,I239,Transactions!$J:$J,"&gt;="&amp;(H239-0.01),Transactions!$J:$J,"&lt;="&amp;(H239+0.01))&gt;0,"Matched","Missing from ledger"))</f>
        <v/>
      </c>
    </row>
    <row r="240" customFormat="false" ht="15" hidden="false" customHeight="false" outlineLevel="0" collapsed="false">
      <c r="A240" s="21"/>
      <c r="B240" s="21"/>
      <c r="C240" s="21"/>
      <c r="D240" s="21"/>
      <c r="E240" s="21"/>
      <c r="F240" s="21"/>
      <c r="G240" s="21"/>
      <c r="H240" s="24"/>
      <c r="I240" s="10" t="str">
        <f aca="false">IF(A240="","",IFERROR(DATEVALUE(LEFT(A240,10)),A240))</f>
        <v/>
      </c>
      <c r="J240" s="8" t="str">
        <f aca="false">IF(H240="","",IF(COUNTIFS(Transactions!$A:$A,I240,Transactions!$J:$J,"&gt;="&amp;(H240-0.01),Transactions!$J:$J,"&lt;="&amp;(H240+0.01))&gt;0,"Matched","Missing from ledger"))</f>
        <v/>
      </c>
    </row>
    <row r="241" customFormat="false" ht="15" hidden="false" customHeight="false" outlineLevel="0" collapsed="false">
      <c r="A241" s="21"/>
      <c r="B241" s="21"/>
      <c r="C241" s="21"/>
      <c r="D241" s="21"/>
      <c r="E241" s="21"/>
      <c r="F241" s="21"/>
      <c r="G241" s="21"/>
      <c r="H241" s="24"/>
      <c r="I241" s="10" t="str">
        <f aca="false">IF(A241="","",IFERROR(DATEVALUE(LEFT(A241,10)),A241))</f>
        <v/>
      </c>
      <c r="J241" s="8" t="str">
        <f aca="false">IF(H241="","",IF(COUNTIFS(Transactions!$A:$A,I241,Transactions!$J:$J,"&gt;="&amp;(H241-0.01),Transactions!$J:$J,"&lt;="&amp;(H241+0.01))&gt;0,"Matched","Missing from ledger"))</f>
        <v/>
      </c>
    </row>
    <row r="242" customFormat="false" ht="15" hidden="false" customHeight="false" outlineLevel="0" collapsed="false">
      <c r="A242" s="21"/>
      <c r="B242" s="21"/>
      <c r="C242" s="21"/>
      <c r="D242" s="21"/>
      <c r="E242" s="21"/>
      <c r="F242" s="21"/>
      <c r="G242" s="21"/>
      <c r="H242" s="24"/>
      <c r="I242" s="10" t="str">
        <f aca="false">IF(A242="","",IFERROR(DATEVALUE(LEFT(A242,10)),A242))</f>
        <v/>
      </c>
      <c r="J242" s="8" t="str">
        <f aca="false">IF(H242="","",IF(COUNTIFS(Transactions!$A:$A,I242,Transactions!$J:$J,"&gt;="&amp;(H242-0.01),Transactions!$J:$J,"&lt;="&amp;(H242+0.01))&gt;0,"Matched","Missing from ledger"))</f>
        <v/>
      </c>
    </row>
    <row r="243" customFormat="false" ht="15" hidden="false" customHeight="false" outlineLevel="0" collapsed="false">
      <c r="A243" s="21"/>
      <c r="B243" s="21"/>
      <c r="C243" s="21"/>
      <c r="D243" s="21"/>
      <c r="E243" s="21"/>
      <c r="F243" s="21"/>
      <c r="G243" s="21"/>
      <c r="H243" s="24"/>
      <c r="I243" s="10" t="str">
        <f aca="false">IF(A243="","",IFERROR(DATEVALUE(LEFT(A243,10)),A243))</f>
        <v/>
      </c>
      <c r="J243" s="8" t="str">
        <f aca="false">IF(H243="","",IF(COUNTIFS(Transactions!$A:$A,I243,Transactions!$J:$J,"&gt;="&amp;(H243-0.01),Transactions!$J:$J,"&lt;="&amp;(H243+0.01))&gt;0,"Matched","Missing from ledger"))</f>
        <v/>
      </c>
    </row>
    <row r="244" customFormat="false" ht="15" hidden="false" customHeight="false" outlineLevel="0" collapsed="false">
      <c r="A244" s="21"/>
      <c r="B244" s="21"/>
      <c r="C244" s="21"/>
      <c r="D244" s="21"/>
      <c r="E244" s="21"/>
      <c r="F244" s="21"/>
      <c r="G244" s="21"/>
      <c r="H244" s="24"/>
      <c r="I244" s="10" t="str">
        <f aca="false">IF(A244="","",IFERROR(DATEVALUE(LEFT(A244,10)),A244))</f>
        <v/>
      </c>
      <c r="J244" s="8" t="str">
        <f aca="false">IF(H244="","",IF(COUNTIFS(Transactions!$A:$A,I244,Transactions!$J:$J,"&gt;="&amp;(H244-0.01),Transactions!$J:$J,"&lt;="&amp;(H244+0.01))&gt;0,"Matched","Missing from ledger"))</f>
        <v/>
      </c>
    </row>
    <row r="245" customFormat="false" ht="15" hidden="false" customHeight="false" outlineLevel="0" collapsed="false">
      <c r="A245" s="21"/>
      <c r="B245" s="21"/>
      <c r="C245" s="21"/>
      <c r="D245" s="21"/>
      <c r="E245" s="21"/>
      <c r="F245" s="21"/>
      <c r="G245" s="21"/>
      <c r="H245" s="24"/>
      <c r="I245" s="10" t="str">
        <f aca="false">IF(A245="","",IFERROR(DATEVALUE(LEFT(A245,10)),A245))</f>
        <v/>
      </c>
      <c r="J245" s="8" t="str">
        <f aca="false">IF(H245="","",IF(COUNTIFS(Transactions!$A:$A,I245,Transactions!$J:$J,"&gt;="&amp;(H245-0.01),Transactions!$J:$J,"&lt;="&amp;(H245+0.01))&gt;0,"Matched","Missing from ledger"))</f>
        <v/>
      </c>
    </row>
    <row r="246" customFormat="false" ht="15" hidden="false" customHeight="false" outlineLevel="0" collapsed="false">
      <c r="A246" s="21"/>
      <c r="B246" s="21"/>
      <c r="C246" s="21"/>
      <c r="D246" s="21"/>
      <c r="E246" s="21"/>
      <c r="F246" s="21"/>
      <c r="G246" s="21"/>
      <c r="H246" s="24"/>
      <c r="I246" s="10" t="str">
        <f aca="false">IF(A246="","",IFERROR(DATEVALUE(LEFT(A246,10)),A246))</f>
        <v/>
      </c>
      <c r="J246" s="8" t="str">
        <f aca="false">IF(H246="","",IF(COUNTIFS(Transactions!$A:$A,I246,Transactions!$J:$J,"&gt;="&amp;(H246-0.01),Transactions!$J:$J,"&lt;="&amp;(H246+0.01))&gt;0,"Matched","Missing from ledger"))</f>
        <v/>
      </c>
    </row>
    <row r="247" customFormat="false" ht="15" hidden="false" customHeight="false" outlineLevel="0" collapsed="false">
      <c r="A247" s="21"/>
      <c r="B247" s="21"/>
      <c r="C247" s="21"/>
      <c r="D247" s="21"/>
      <c r="E247" s="21"/>
      <c r="F247" s="21"/>
      <c r="G247" s="21"/>
      <c r="H247" s="24"/>
      <c r="I247" s="10" t="str">
        <f aca="false">IF(A247="","",IFERROR(DATEVALUE(LEFT(A247,10)),A247))</f>
        <v/>
      </c>
      <c r="J247" s="8" t="str">
        <f aca="false">IF(H247="","",IF(COUNTIFS(Transactions!$A:$A,I247,Transactions!$J:$J,"&gt;="&amp;(H247-0.01),Transactions!$J:$J,"&lt;="&amp;(H247+0.01))&gt;0,"Matched","Missing from ledger"))</f>
        <v/>
      </c>
    </row>
    <row r="248" customFormat="false" ht="15" hidden="false" customHeight="false" outlineLevel="0" collapsed="false">
      <c r="A248" s="21"/>
      <c r="B248" s="21"/>
      <c r="C248" s="21"/>
      <c r="D248" s="21"/>
      <c r="E248" s="21"/>
      <c r="F248" s="21"/>
      <c r="G248" s="21"/>
      <c r="H248" s="24"/>
      <c r="I248" s="10" t="str">
        <f aca="false">IF(A248="","",IFERROR(DATEVALUE(LEFT(A248,10)),A248))</f>
        <v/>
      </c>
      <c r="J248" s="8" t="str">
        <f aca="false">IF(H248="","",IF(COUNTIFS(Transactions!$A:$A,I248,Transactions!$J:$J,"&gt;="&amp;(H248-0.01),Transactions!$J:$J,"&lt;="&amp;(H248+0.01))&gt;0,"Matched","Missing from ledger"))</f>
        <v/>
      </c>
    </row>
    <row r="249" customFormat="false" ht="15" hidden="false" customHeight="false" outlineLevel="0" collapsed="false">
      <c r="A249" s="21"/>
      <c r="B249" s="21"/>
      <c r="C249" s="21"/>
      <c r="D249" s="21"/>
      <c r="E249" s="21"/>
      <c r="F249" s="21"/>
      <c r="G249" s="21"/>
      <c r="H249" s="24"/>
      <c r="I249" s="10" t="str">
        <f aca="false">IF(A249="","",IFERROR(DATEVALUE(LEFT(A249,10)),A249))</f>
        <v/>
      </c>
      <c r="J249" s="8" t="str">
        <f aca="false">IF(H249="","",IF(COUNTIFS(Transactions!$A:$A,I249,Transactions!$J:$J,"&gt;="&amp;(H249-0.01),Transactions!$J:$J,"&lt;="&amp;(H249+0.01))&gt;0,"Matched","Missing from ledger"))</f>
        <v/>
      </c>
    </row>
    <row r="250" customFormat="false" ht="15" hidden="false" customHeight="false" outlineLevel="0" collapsed="false">
      <c r="A250" s="21"/>
      <c r="B250" s="21"/>
      <c r="C250" s="21"/>
      <c r="D250" s="21"/>
      <c r="E250" s="21"/>
      <c r="F250" s="21"/>
      <c r="G250" s="21"/>
      <c r="H250" s="24"/>
      <c r="I250" s="10" t="str">
        <f aca="false">IF(A250="","",IFERROR(DATEVALUE(LEFT(A250,10)),A250))</f>
        <v/>
      </c>
      <c r="J250" s="8" t="str">
        <f aca="false">IF(H250="","",IF(COUNTIFS(Transactions!$A:$A,I250,Transactions!$J:$J,"&gt;="&amp;(H250-0.01),Transactions!$J:$J,"&lt;="&amp;(H250+0.01))&gt;0,"Matched","Missing from ledger"))</f>
        <v/>
      </c>
    </row>
    <row r="251" customFormat="false" ht="15" hidden="false" customHeight="false" outlineLevel="0" collapsed="false">
      <c r="A251" s="21"/>
      <c r="B251" s="21"/>
      <c r="C251" s="21"/>
      <c r="D251" s="21"/>
      <c r="E251" s="21"/>
      <c r="F251" s="21"/>
      <c r="G251" s="21"/>
      <c r="H251" s="24"/>
      <c r="I251" s="10" t="str">
        <f aca="false">IF(A251="","",IFERROR(DATEVALUE(LEFT(A251,10)),A251))</f>
        <v/>
      </c>
      <c r="J251" s="8" t="str">
        <f aca="false">IF(H251="","",IF(COUNTIFS(Transactions!$A:$A,I251,Transactions!$J:$J,"&gt;="&amp;(H251-0.01),Transactions!$J:$J,"&lt;="&amp;(H251+0.01))&gt;0,"Matched","Missing from ledger"))</f>
        <v/>
      </c>
    </row>
    <row r="252" customFormat="false" ht="15" hidden="false" customHeight="false" outlineLevel="0" collapsed="false">
      <c r="A252" s="21"/>
      <c r="B252" s="21"/>
      <c r="C252" s="21"/>
      <c r="D252" s="21"/>
      <c r="E252" s="21"/>
      <c r="F252" s="21"/>
      <c r="G252" s="21"/>
      <c r="H252" s="24"/>
      <c r="I252" s="10" t="str">
        <f aca="false">IF(A252="","",IFERROR(DATEVALUE(LEFT(A252,10)),A252))</f>
        <v/>
      </c>
      <c r="J252" s="8" t="str">
        <f aca="false">IF(H252="","",IF(COUNTIFS(Transactions!$A:$A,I252,Transactions!$J:$J,"&gt;="&amp;(H252-0.01),Transactions!$J:$J,"&lt;="&amp;(H252+0.01))&gt;0,"Matched","Missing from ledger"))</f>
        <v/>
      </c>
    </row>
    <row r="253" customFormat="false" ht="15" hidden="false" customHeight="false" outlineLevel="0" collapsed="false">
      <c r="A253" s="21"/>
      <c r="B253" s="21"/>
      <c r="C253" s="21"/>
      <c r="D253" s="21"/>
      <c r="E253" s="21"/>
      <c r="F253" s="21"/>
      <c r="G253" s="21"/>
      <c r="H253" s="24"/>
      <c r="I253" s="10" t="str">
        <f aca="false">IF(A253="","",IFERROR(DATEVALUE(LEFT(A253,10)),A253))</f>
        <v/>
      </c>
      <c r="J253" s="8" t="str">
        <f aca="false">IF(H253="","",IF(COUNTIFS(Transactions!$A:$A,I253,Transactions!$J:$J,"&gt;="&amp;(H253-0.01),Transactions!$J:$J,"&lt;="&amp;(H253+0.01))&gt;0,"Matched","Missing from ledger"))</f>
        <v/>
      </c>
    </row>
    <row r="254" customFormat="false" ht="15" hidden="false" customHeight="false" outlineLevel="0" collapsed="false">
      <c r="A254" s="21"/>
      <c r="B254" s="21"/>
      <c r="C254" s="21"/>
      <c r="D254" s="21"/>
      <c r="E254" s="21"/>
      <c r="F254" s="21"/>
      <c r="G254" s="21"/>
      <c r="H254" s="24"/>
      <c r="I254" s="10" t="str">
        <f aca="false">IF(A254="","",IFERROR(DATEVALUE(LEFT(A254,10)),A254))</f>
        <v/>
      </c>
      <c r="J254" s="8" t="str">
        <f aca="false">IF(H254="","",IF(COUNTIFS(Transactions!$A:$A,I254,Transactions!$J:$J,"&gt;="&amp;(H254-0.01),Transactions!$J:$J,"&lt;="&amp;(H254+0.01))&gt;0,"Matched","Missing from ledger"))</f>
        <v/>
      </c>
    </row>
    <row r="255" customFormat="false" ht="15" hidden="false" customHeight="false" outlineLevel="0" collapsed="false">
      <c r="A255" s="21"/>
      <c r="B255" s="21"/>
      <c r="C255" s="21"/>
      <c r="D255" s="21"/>
      <c r="E255" s="21"/>
      <c r="F255" s="21"/>
      <c r="G255" s="21"/>
      <c r="H255" s="24"/>
      <c r="I255" s="10" t="str">
        <f aca="false">IF(A255="","",IFERROR(DATEVALUE(LEFT(A255,10)),A255))</f>
        <v/>
      </c>
      <c r="J255" s="8" t="str">
        <f aca="false">IF(H255="","",IF(COUNTIFS(Transactions!$A:$A,I255,Transactions!$J:$J,"&gt;="&amp;(H255-0.01),Transactions!$J:$J,"&lt;="&amp;(H255+0.01))&gt;0,"Matched","Missing from ledger"))</f>
        <v/>
      </c>
    </row>
    <row r="256" customFormat="false" ht="15" hidden="false" customHeight="false" outlineLevel="0" collapsed="false">
      <c r="A256" s="21"/>
      <c r="B256" s="21"/>
      <c r="C256" s="21"/>
      <c r="D256" s="21"/>
      <c r="E256" s="21"/>
      <c r="F256" s="21"/>
      <c r="G256" s="21"/>
      <c r="H256" s="24"/>
      <c r="I256" s="10" t="str">
        <f aca="false">IF(A256="","",IFERROR(DATEVALUE(LEFT(A256,10)),A256))</f>
        <v/>
      </c>
      <c r="J256" s="8" t="str">
        <f aca="false">IF(H256="","",IF(COUNTIFS(Transactions!$A:$A,I256,Transactions!$J:$J,"&gt;="&amp;(H256-0.01),Transactions!$J:$J,"&lt;="&amp;(H256+0.01))&gt;0,"Matched","Missing from ledger"))</f>
        <v/>
      </c>
    </row>
    <row r="257" customFormat="false" ht="15" hidden="false" customHeight="false" outlineLevel="0" collapsed="false">
      <c r="A257" s="21"/>
      <c r="B257" s="21"/>
      <c r="C257" s="21"/>
      <c r="D257" s="21"/>
      <c r="E257" s="21"/>
      <c r="F257" s="21"/>
      <c r="G257" s="21"/>
      <c r="H257" s="24"/>
      <c r="I257" s="10" t="str">
        <f aca="false">IF(A257="","",IFERROR(DATEVALUE(LEFT(A257,10)),A257))</f>
        <v/>
      </c>
      <c r="J257" s="8" t="str">
        <f aca="false">IF(H257="","",IF(COUNTIFS(Transactions!$A:$A,I257,Transactions!$J:$J,"&gt;="&amp;(H257-0.01),Transactions!$J:$J,"&lt;="&amp;(H257+0.01))&gt;0,"Matched","Missing from ledger"))</f>
        <v/>
      </c>
    </row>
    <row r="258" customFormat="false" ht="15" hidden="false" customHeight="false" outlineLevel="0" collapsed="false">
      <c r="A258" s="21"/>
      <c r="B258" s="21"/>
      <c r="C258" s="21"/>
      <c r="D258" s="21"/>
      <c r="E258" s="21"/>
      <c r="F258" s="21"/>
      <c r="G258" s="21"/>
      <c r="H258" s="24"/>
      <c r="I258" s="10" t="str">
        <f aca="false">IF(A258="","",IFERROR(DATEVALUE(LEFT(A258,10)),A258))</f>
        <v/>
      </c>
      <c r="J258" s="8" t="str">
        <f aca="false">IF(H258="","",IF(COUNTIFS(Transactions!$A:$A,I258,Transactions!$J:$J,"&gt;="&amp;(H258-0.01),Transactions!$J:$J,"&lt;="&amp;(H258+0.01))&gt;0,"Matched","Missing from ledger"))</f>
        <v/>
      </c>
    </row>
    <row r="259" customFormat="false" ht="15" hidden="false" customHeight="false" outlineLevel="0" collapsed="false">
      <c r="A259" s="21"/>
      <c r="B259" s="21"/>
      <c r="C259" s="21"/>
      <c r="D259" s="21"/>
      <c r="E259" s="21"/>
      <c r="F259" s="21"/>
      <c r="G259" s="21"/>
      <c r="H259" s="24"/>
      <c r="I259" s="10" t="str">
        <f aca="false">IF(A259="","",IFERROR(DATEVALUE(LEFT(A259,10)),A259))</f>
        <v/>
      </c>
      <c r="J259" s="8" t="str">
        <f aca="false">IF(H259="","",IF(COUNTIFS(Transactions!$A:$A,I259,Transactions!$J:$J,"&gt;="&amp;(H259-0.01),Transactions!$J:$J,"&lt;="&amp;(H259+0.01))&gt;0,"Matched","Missing from ledger"))</f>
        <v/>
      </c>
    </row>
    <row r="260" customFormat="false" ht="15" hidden="false" customHeight="false" outlineLevel="0" collapsed="false">
      <c r="A260" s="21"/>
      <c r="B260" s="21"/>
      <c r="C260" s="21"/>
      <c r="D260" s="21"/>
      <c r="E260" s="21"/>
      <c r="F260" s="21"/>
      <c r="G260" s="21"/>
      <c r="H260" s="24"/>
      <c r="I260" s="10" t="str">
        <f aca="false">IF(A260="","",IFERROR(DATEVALUE(LEFT(A260,10)),A260))</f>
        <v/>
      </c>
      <c r="J260" s="8" t="str">
        <f aca="false">IF(H260="","",IF(COUNTIFS(Transactions!$A:$A,I260,Transactions!$J:$J,"&gt;="&amp;(H260-0.01),Transactions!$J:$J,"&lt;="&amp;(H260+0.01))&gt;0,"Matched","Missing from ledger"))</f>
        <v/>
      </c>
    </row>
    <row r="261" customFormat="false" ht="15" hidden="false" customHeight="false" outlineLevel="0" collapsed="false">
      <c r="A261" s="21"/>
      <c r="B261" s="21"/>
      <c r="C261" s="21"/>
      <c r="D261" s="21"/>
      <c r="E261" s="21"/>
      <c r="F261" s="21"/>
      <c r="G261" s="21"/>
      <c r="H261" s="24"/>
      <c r="I261" s="10" t="str">
        <f aca="false">IF(A261="","",IFERROR(DATEVALUE(LEFT(A261,10)),A261))</f>
        <v/>
      </c>
      <c r="J261" s="8" t="str">
        <f aca="false">IF(H261="","",IF(COUNTIFS(Transactions!$A:$A,I261,Transactions!$J:$J,"&gt;="&amp;(H261-0.01),Transactions!$J:$J,"&lt;="&amp;(H261+0.01))&gt;0,"Matched","Missing from ledger"))</f>
        <v/>
      </c>
    </row>
    <row r="262" customFormat="false" ht="15" hidden="false" customHeight="false" outlineLevel="0" collapsed="false">
      <c r="A262" s="21"/>
      <c r="B262" s="21"/>
      <c r="C262" s="21"/>
      <c r="D262" s="21"/>
      <c r="E262" s="21"/>
      <c r="F262" s="21"/>
      <c r="G262" s="21"/>
      <c r="H262" s="24"/>
      <c r="I262" s="10" t="str">
        <f aca="false">IF(A262="","",IFERROR(DATEVALUE(LEFT(A262,10)),A262))</f>
        <v/>
      </c>
      <c r="J262" s="8" t="str">
        <f aca="false">IF(H262="","",IF(COUNTIFS(Transactions!$A:$A,I262,Transactions!$J:$J,"&gt;="&amp;(H262-0.01),Transactions!$J:$J,"&lt;="&amp;(H262+0.01))&gt;0,"Matched","Missing from ledger"))</f>
        <v/>
      </c>
    </row>
    <row r="263" customFormat="false" ht="15" hidden="false" customHeight="false" outlineLevel="0" collapsed="false">
      <c r="A263" s="21"/>
      <c r="B263" s="21"/>
      <c r="C263" s="21"/>
      <c r="D263" s="21"/>
      <c r="E263" s="21"/>
      <c r="F263" s="21"/>
      <c r="G263" s="21"/>
      <c r="H263" s="24"/>
      <c r="I263" s="10" t="str">
        <f aca="false">IF(A263="","",IFERROR(DATEVALUE(LEFT(A263,10)),A263))</f>
        <v/>
      </c>
      <c r="J263" s="8" t="str">
        <f aca="false">IF(H263="","",IF(COUNTIFS(Transactions!$A:$A,I263,Transactions!$J:$J,"&gt;="&amp;(H263-0.01),Transactions!$J:$J,"&lt;="&amp;(H263+0.01))&gt;0,"Matched","Missing from ledger"))</f>
        <v/>
      </c>
    </row>
    <row r="264" customFormat="false" ht="15" hidden="false" customHeight="false" outlineLevel="0" collapsed="false">
      <c r="A264" s="21"/>
      <c r="B264" s="21"/>
      <c r="C264" s="21"/>
      <c r="D264" s="21"/>
      <c r="E264" s="21"/>
      <c r="F264" s="21"/>
      <c r="G264" s="21"/>
      <c r="H264" s="24"/>
      <c r="I264" s="10" t="str">
        <f aca="false">IF(A264="","",IFERROR(DATEVALUE(LEFT(A264,10)),A264))</f>
        <v/>
      </c>
      <c r="J264" s="8" t="str">
        <f aca="false">IF(H264="","",IF(COUNTIFS(Transactions!$A:$A,I264,Transactions!$J:$J,"&gt;="&amp;(H264-0.01),Transactions!$J:$J,"&lt;="&amp;(H264+0.01))&gt;0,"Matched","Missing from ledger"))</f>
        <v/>
      </c>
    </row>
    <row r="265" customFormat="false" ht="15" hidden="false" customHeight="false" outlineLevel="0" collapsed="false">
      <c r="A265" s="21"/>
      <c r="B265" s="21"/>
      <c r="C265" s="21"/>
      <c r="D265" s="21"/>
      <c r="E265" s="21"/>
      <c r="F265" s="21"/>
      <c r="G265" s="21"/>
      <c r="H265" s="24"/>
      <c r="I265" s="10" t="str">
        <f aca="false">IF(A265="","",IFERROR(DATEVALUE(LEFT(A265,10)),A265))</f>
        <v/>
      </c>
      <c r="J265" s="8" t="str">
        <f aca="false">IF(H265="","",IF(COUNTIFS(Transactions!$A:$A,I265,Transactions!$J:$J,"&gt;="&amp;(H265-0.01),Transactions!$J:$J,"&lt;="&amp;(H265+0.01))&gt;0,"Matched","Missing from ledger"))</f>
        <v/>
      </c>
    </row>
    <row r="266" customFormat="false" ht="15" hidden="false" customHeight="false" outlineLevel="0" collapsed="false">
      <c r="A266" s="21"/>
      <c r="B266" s="21"/>
      <c r="C266" s="21"/>
      <c r="D266" s="21"/>
      <c r="E266" s="21"/>
      <c r="F266" s="21"/>
      <c r="G266" s="21"/>
      <c r="H266" s="24"/>
      <c r="I266" s="10" t="str">
        <f aca="false">IF(A266="","",IFERROR(DATEVALUE(LEFT(A266,10)),A266))</f>
        <v/>
      </c>
      <c r="J266" s="8" t="str">
        <f aca="false">IF(H266="","",IF(COUNTIFS(Transactions!$A:$A,I266,Transactions!$J:$J,"&gt;="&amp;(H266-0.01),Transactions!$J:$J,"&lt;="&amp;(H266+0.01))&gt;0,"Matched","Missing from ledger"))</f>
        <v/>
      </c>
    </row>
    <row r="267" customFormat="false" ht="15" hidden="false" customHeight="false" outlineLevel="0" collapsed="false">
      <c r="A267" s="21"/>
      <c r="B267" s="21"/>
      <c r="C267" s="21"/>
      <c r="D267" s="21"/>
      <c r="E267" s="21"/>
      <c r="F267" s="21"/>
      <c r="G267" s="21"/>
      <c r="H267" s="24"/>
      <c r="I267" s="10" t="str">
        <f aca="false">IF(A267="","",IFERROR(DATEVALUE(LEFT(A267,10)),A267))</f>
        <v/>
      </c>
      <c r="J267" s="8" t="str">
        <f aca="false">IF(H267="","",IF(COUNTIFS(Transactions!$A:$A,I267,Transactions!$J:$J,"&gt;="&amp;(H267-0.01),Transactions!$J:$J,"&lt;="&amp;(H267+0.01))&gt;0,"Matched","Missing from ledger"))</f>
        <v/>
      </c>
    </row>
    <row r="268" customFormat="false" ht="15" hidden="false" customHeight="false" outlineLevel="0" collapsed="false">
      <c r="A268" s="21"/>
      <c r="B268" s="21"/>
      <c r="C268" s="21"/>
      <c r="D268" s="21"/>
      <c r="E268" s="21"/>
      <c r="F268" s="21"/>
      <c r="G268" s="21"/>
      <c r="H268" s="24"/>
      <c r="I268" s="10" t="str">
        <f aca="false">IF(A268="","",IFERROR(DATEVALUE(LEFT(A268,10)),A268))</f>
        <v/>
      </c>
      <c r="J268" s="8" t="str">
        <f aca="false">IF(H268="","",IF(COUNTIFS(Transactions!$A:$A,I268,Transactions!$J:$J,"&gt;="&amp;(H268-0.01),Transactions!$J:$J,"&lt;="&amp;(H268+0.01))&gt;0,"Matched","Missing from ledger"))</f>
        <v/>
      </c>
    </row>
    <row r="269" customFormat="false" ht="15" hidden="false" customHeight="false" outlineLevel="0" collapsed="false">
      <c r="A269" s="21"/>
      <c r="B269" s="21"/>
      <c r="C269" s="21"/>
      <c r="D269" s="21"/>
      <c r="E269" s="21"/>
      <c r="F269" s="21"/>
      <c r="G269" s="21"/>
      <c r="H269" s="24"/>
      <c r="I269" s="10" t="str">
        <f aca="false">IF(A269="","",IFERROR(DATEVALUE(LEFT(A269,10)),A269))</f>
        <v/>
      </c>
      <c r="J269" s="8" t="str">
        <f aca="false">IF(H269="","",IF(COUNTIFS(Transactions!$A:$A,I269,Transactions!$J:$J,"&gt;="&amp;(H269-0.01),Transactions!$J:$J,"&lt;="&amp;(H269+0.01))&gt;0,"Matched","Missing from ledger"))</f>
        <v/>
      </c>
    </row>
    <row r="270" customFormat="false" ht="15" hidden="false" customHeight="false" outlineLevel="0" collapsed="false">
      <c r="A270" s="21"/>
      <c r="B270" s="21"/>
      <c r="C270" s="21"/>
      <c r="D270" s="21"/>
      <c r="E270" s="21"/>
      <c r="F270" s="21"/>
      <c r="G270" s="21"/>
      <c r="H270" s="24"/>
      <c r="I270" s="10" t="str">
        <f aca="false">IF(A270="","",IFERROR(DATEVALUE(LEFT(A270,10)),A270))</f>
        <v/>
      </c>
      <c r="J270" s="8" t="str">
        <f aca="false">IF(H270="","",IF(COUNTIFS(Transactions!$A:$A,I270,Transactions!$J:$J,"&gt;="&amp;(H270-0.01),Transactions!$J:$J,"&lt;="&amp;(H270+0.01))&gt;0,"Matched","Missing from ledger"))</f>
        <v/>
      </c>
    </row>
    <row r="271" customFormat="false" ht="15" hidden="false" customHeight="false" outlineLevel="0" collapsed="false">
      <c r="A271" s="21"/>
      <c r="B271" s="21"/>
      <c r="C271" s="21"/>
      <c r="D271" s="21"/>
      <c r="E271" s="21"/>
      <c r="F271" s="21"/>
      <c r="G271" s="21"/>
      <c r="H271" s="24"/>
      <c r="I271" s="10" t="str">
        <f aca="false">IF(A271="","",IFERROR(DATEVALUE(LEFT(A271,10)),A271))</f>
        <v/>
      </c>
      <c r="J271" s="8" t="str">
        <f aca="false">IF(H271="","",IF(COUNTIFS(Transactions!$A:$A,I271,Transactions!$J:$J,"&gt;="&amp;(H271-0.01),Transactions!$J:$J,"&lt;="&amp;(H271+0.01))&gt;0,"Matched","Missing from ledger"))</f>
        <v/>
      </c>
    </row>
    <row r="272" customFormat="false" ht="15" hidden="false" customHeight="false" outlineLevel="0" collapsed="false">
      <c r="A272" s="21"/>
      <c r="B272" s="21"/>
      <c r="C272" s="21"/>
      <c r="D272" s="21"/>
      <c r="E272" s="21"/>
      <c r="F272" s="21"/>
      <c r="G272" s="21"/>
      <c r="H272" s="24"/>
      <c r="I272" s="10" t="str">
        <f aca="false">IF(A272="","",IFERROR(DATEVALUE(LEFT(A272,10)),A272))</f>
        <v/>
      </c>
      <c r="J272" s="8" t="str">
        <f aca="false">IF(H272="","",IF(COUNTIFS(Transactions!$A:$A,I272,Transactions!$J:$J,"&gt;="&amp;(H272-0.01),Transactions!$J:$J,"&lt;="&amp;(H272+0.01))&gt;0,"Matched","Missing from ledger"))</f>
        <v/>
      </c>
    </row>
    <row r="273" customFormat="false" ht="15" hidden="false" customHeight="false" outlineLevel="0" collapsed="false">
      <c r="A273" s="21"/>
      <c r="B273" s="21"/>
      <c r="C273" s="21"/>
      <c r="D273" s="21"/>
      <c r="E273" s="21"/>
      <c r="F273" s="21"/>
      <c r="G273" s="21"/>
      <c r="H273" s="24"/>
      <c r="I273" s="10" t="str">
        <f aca="false">IF(A273="","",IFERROR(DATEVALUE(LEFT(A273,10)),A273))</f>
        <v/>
      </c>
      <c r="J273" s="8" t="str">
        <f aca="false">IF(H273="","",IF(COUNTIFS(Transactions!$A:$A,I273,Transactions!$J:$J,"&gt;="&amp;(H273-0.01),Transactions!$J:$J,"&lt;="&amp;(H273+0.01))&gt;0,"Matched","Missing from ledger"))</f>
        <v/>
      </c>
    </row>
    <row r="274" customFormat="false" ht="15" hidden="false" customHeight="false" outlineLevel="0" collapsed="false">
      <c r="A274" s="21"/>
      <c r="B274" s="21"/>
      <c r="C274" s="21"/>
      <c r="D274" s="21"/>
      <c r="E274" s="21"/>
      <c r="F274" s="21"/>
      <c r="G274" s="21"/>
      <c r="H274" s="24"/>
      <c r="I274" s="10" t="str">
        <f aca="false">IF(A274="","",IFERROR(DATEVALUE(LEFT(A274,10)),A274))</f>
        <v/>
      </c>
      <c r="J274" s="8" t="str">
        <f aca="false">IF(H274="","",IF(COUNTIFS(Transactions!$A:$A,I274,Transactions!$J:$J,"&gt;="&amp;(H274-0.01),Transactions!$J:$J,"&lt;="&amp;(H274+0.01))&gt;0,"Matched","Missing from ledger"))</f>
        <v/>
      </c>
    </row>
    <row r="275" customFormat="false" ht="15" hidden="false" customHeight="false" outlineLevel="0" collapsed="false">
      <c r="A275" s="21"/>
      <c r="B275" s="21"/>
      <c r="C275" s="21"/>
      <c r="D275" s="21"/>
      <c r="E275" s="21"/>
      <c r="F275" s="21"/>
      <c r="G275" s="21"/>
      <c r="H275" s="24"/>
      <c r="I275" s="10" t="str">
        <f aca="false">IF(A275="","",IFERROR(DATEVALUE(LEFT(A275,10)),A275))</f>
        <v/>
      </c>
      <c r="J275" s="8" t="str">
        <f aca="false">IF(H275="","",IF(COUNTIFS(Transactions!$A:$A,I275,Transactions!$J:$J,"&gt;="&amp;(H275-0.01),Transactions!$J:$J,"&lt;="&amp;(H275+0.01))&gt;0,"Matched","Missing from ledger"))</f>
        <v/>
      </c>
    </row>
    <row r="276" customFormat="false" ht="15" hidden="false" customHeight="false" outlineLevel="0" collapsed="false">
      <c r="A276" s="21"/>
      <c r="B276" s="21"/>
      <c r="C276" s="21"/>
      <c r="D276" s="21"/>
      <c r="E276" s="21"/>
      <c r="F276" s="21"/>
      <c r="G276" s="21"/>
      <c r="H276" s="24"/>
      <c r="I276" s="10" t="str">
        <f aca="false">IF(A276="","",IFERROR(DATEVALUE(LEFT(A276,10)),A276))</f>
        <v/>
      </c>
      <c r="J276" s="8" t="str">
        <f aca="false">IF(H276="","",IF(COUNTIFS(Transactions!$A:$A,I276,Transactions!$J:$J,"&gt;="&amp;(H276-0.01),Transactions!$J:$J,"&lt;="&amp;(H276+0.01))&gt;0,"Matched","Missing from ledger"))</f>
        <v/>
      </c>
    </row>
    <row r="277" customFormat="false" ht="15" hidden="false" customHeight="false" outlineLevel="0" collapsed="false">
      <c r="A277" s="21"/>
      <c r="B277" s="21"/>
      <c r="C277" s="21"/>
      <c r="D277" s="21"/>
      <c r="E277" s="21"/>
      <c r="F277" s="21"/>
      <c r="G277" s="21"/>
      <c r="H277" s="24"/>
      <c r="I277" s="10" t="str">
        <f aca="false">IF(A277="","",IFERROR(DATEVALUE(LEFT(A277,10)),A277))</f>
        <v/>
      </c>
      <c r="J277" s="8" t="str">
        <f aca="false">IF(H277="","",IF(COUNTIFS(Transactions!$A:$A,I277,Transactions!$J:$J,"&gt;="&amp;(H277-0.01),Transactions!$J:$J,"&lt;="&amp;(H277+0.01))&gt;0,"Matched","Missing from ledger"))</f>
        <v/>
      </c>
    </row>
    <row r="278" customFormat="false" ht="15" hidden="false" customHeight="false" outlineLevel="0" collapsed="false">
      <c r="A278" s="21"/>
      <c r="B278" s="21"/>
      <c r="C278" s="21"/>
      <c r="D278" s="21"/>
      <c r="E278" s="21"/>
      <c r="F278" s="21"/>
      <c r="G278" s="21"/>
      <c r="H278" s="24"/>
      <c r="I278" s="10" t="str">
        <f aca="false">IF(A278="","",IFERROR(DATEVALUE(LEFT(A278,10)),A278))</f>
        <v/>
      </c>
      <c r="J278" s="8" t="str">
        <f aca="false">IF(H278="","",IF(COUNTIFS(Transactions!$A:$A,I278,Transactions!$J:$J,"&gt;="&amp;(H278-0.01),Transactions!$J:$J,"&lt;="&amp;(H278+0.01))&gt;0,"Matched","Missing from ledger"))</f>
        <v/>
      </c>
    </row>
    <row r="279" customFormat="false" ht="15" hidden="false" customHeight="false" outlineLevel="0" collapsed="false">
      <c r="A279" s="21"/>
      <c r="B279" s="21"/>
      <c r="C279" s="21"/>
      <c r="D279" s="21"/>
      <c r="E279" s="21"/>
      <c r="F279" s="21"/>
      <c r="G279" s="21"/>
      <c r="H279" s="24"/>
      <c r="I279" s="10" t="str">
        <f aca="false">IF(A279="","",IFERROR(DATEVALUE(LEFT(A279,10)),A279))</f>
        <v/>
      </c>
      <c r="J279" s="8" t="str">
        <f aca="false">IF(H279="","",IF(COUNTIFS(Transactions!$A:$A,I279,Transactions!$J:$J,"&gt;="&amp;(H279-0.01),Transactions!$J:$J,"&lt;="&amp;(H279+0.01))&gt;0,"Matched","Missing from ledger"))</f>
        <v/>
      </c>
    </row>
    <row r="280" customFormat="false" ht="15" hidden="false" customHeight="false" outlineLevel="0" collapsed="false">
      <c r="A280" s="21"/>
      <c r="B280" s="21"/>
      <c r="C280" s="21"/>
      <c r="D280" s="21"/>
      <c r="E280" s="21"/>
      <c r="F280" s="21"/>
      <c r="G280" s="21"/>
      <c r="H280" s="24"/>
      <c r="I280" s="10" t="str">
        <f aca="false">IF(A280="","",IFERROR(DATEVALUE(LEFT(A280,10)),A280))</f>
        <v/>
      </c>
      <c r="J280" s="8" t="str">
        <f aca="false">IF(H280="","",IF(COUNTIFS(Transactions!$A:$A,I280,Transactions!$J:$J,"&gt;="&amp;(H280-0.01),Transactions!$J:$J,"&lt;="&amp;(H280+0.01))&gt;0,"Matched","Missing from ledger"))</f>
        <v/>
      </c>
    </row>
    <row r="281" customFormat="false" ht="15" hidden="false" customHeight="false" outlineLevel="0" collapsed="false">
      <c r="A281" s="21"/>
      <c r="B281" s="21"/>
      <c r="C281" s="21"/>
      <c r="D281" s="21"/>
      <c r="E281" s="21"/>
      <c r="F281" s="21"/>
      <c r="G281" s="21"/>
      <c r="H281" s="24"/>
      <c r="I281" s="10" t="str">
        <f aca="false">IF(A281="","",IFERROR(DATEVALUE(LEFT(A281,10)),A281))</f>
        <v/>
      </c>
      <c r="J281" s="8" t="str">
        <f aca="false">IF(H281="","",IF(COUNTIFS(Transactions!$A:$A,I281,Transactions!$J:$J,"&gt;="&amp;(H281-0.01),Transactions!$J:$J,"&lt;="&amp;(H281+0.01))&gt;0,"Matched","Missing from ledger"))</f>
        <v/>
      </c>
    </row>
    <row r="282" customFormat="false" ht="15" hidden="false" customHeight="false" outlineLevel="0" collapsed="false">
      <c r="A282" s="21"/>
      <c r="B282" s="21"/>
      <c r="C282" s="21"/>
      <c r="D282" s="21"/>
      <c r="E282" s="21"/>
      <c r="F282" s="21"/>
      <c r="G282" s="21"/>
      <c r="H282" s="24"/>
      <c r="I282" s="10" t="str">
        <f aca="false">IF(A282="","",IFERROR(DATEVALUE(LEFT(A282,10)),A282))</f>
        <v/>
      </c>
      <c r="J282" s="8" t="str">
        <f aca="false">IF(H282="","",IF(COUNTIFS(Transactions!$A:$A,I282,Transactions!$J:$J,"&gt;="&amp;(H282-0.01),Transactions!$J:$J,"&lt;="&amp;(H282+0.01))&gt;0,"Matched","Missing from ledger"))</f>
        <v/>
      </c>
    </row>
    <row r="283" customFormat="false" ht="15" hidden="false" customHeight="false" outlineLevel="0" collapsed="false">
      <c r="A283" s="21"/>
      <c r="B283" s="21"/>
      <c r="C283" s="21"/>
      <c r="D283" s="21"/>
      <c r="E283" s="21"/>
      <c r="F283" s="21"/>
      <c r="G283" s="21"/>
      <c r="H283" s="24"/>
      <c r="I283" s="10" t="str">
        <f aca="false">IF(A283="","",IFERROR(DATEVALUE(LEFT(A283,10)),A283))</f>
        <v/>
      </c>
      <c r="J283" s="8" t="str">
        <f aca="false">IF(H283="","",IF(COUNTIFS(Transactions!$A:$A,I283,Transactions!$J:$J,"&gt;="&amp;(H283-0.01),Transactions!$J:$J,"&lt;="&amp;(H283+0.01))&gt;0,"Matched","Missing from ledger"))</f>
        <v/>
      </c>
    </row>
    <row r="284" customFormat="false" ht="15" hidden="false" customHeight="false" outlineLevel="0" collapsed="false">
      <c r="A284" s="21"/>
      <c r="B284" s="21"/>
      <c r="C284" s="21"/>
      <c r="D284" s="21"/>
      <c r="E284" s="21"/>
      <c r="F284" s="21"/>
      <c r="G284" s="21"/>
      <c r="H284" s="24"/>
      <c r="I284" s="10" t="str">
        <f aca="false">IF(A284="","",IFERROR(DATEVALUE(LEFT(A284,10)),A284))</f>
        <v/>
      </c>
      <c r="J284" s="8" t="str">
        <f aca="false">IF(H284="","",IF(COUNTIFS(Transactions!$A:$A,I284,Transactions!$J:$J,"&gt;="&amp;(H284-0.01),Transactions!$J:$J,"&lt;="&amp;(H284+0.01))&gt;0,"Matched","Missing from ledger"))</f>
        <v/>
      </c>
    </row>
    <row r="285" customFormat="false" ht="15" hidden="false" customHeight="false" outlineLevel="0" collapsed="false">
      <c r="A285" s="21"/>
      <c r="B285" s="21"/>
      <c r="C285" s="21"/>
      <c r="D285" s="21"/>
      <c r="E285" s="21"/>
      <c r="F285" s="21"/>
      <c r="G285" s="21"/>
      <c r="H285" s="24"/>
      <c r="I285" s="10" t="str">
        <f aca="false">IF(A285="","",IFERROR(DATEVALUE(LEFT(A285,10)),A285))</f>
        <v/>
      </c>
      <c r="J285" s="8" t="str">
        <f aca="false">IF(H285="","",IF(COUNTIFS(Transactions!$A:$A,I285,Transactions!$J:$J,"&gt;="&amp;(H285-0.01),Transactions!$J:$J,"&lt;="&amp;(H285+0.01))&gt;0,"Matched","Missing from ledger"))</f>
        <v/>
      </c>
    </row>
    <row r="286" customFormat="false" ht="15" hidden="false" customHeight="false" outlineLevel="0" collapsed="false">
      <c r="A286" s="21"/>
      <c r="B286" s="21"/>
      <c r="C286" s="21"/>
      <c r="D286" s="21"/>
      <c r="E286" s="21"/>
      <c r="F286" s="21"/>
      <c r="G286" s="21"/>
      <c r="H286" s="24"/>
      <c r="I286" s="10" t="str">
        <f aca="false">IF(A286="","",IFERROR(DATEVALUE(LEFT(A286,10)),A286))</f>
        <v/>
      </c>
      <c r="J286" s="8" t="str">
        <f aca="false">IF(H286="","",IF(COUNTIFS(Transactions!$A:$A,I286,Transactions!$J:$J,"&gt;="&amp;(H286-0.01),Transactions!$J:$J,"&lt;="&amp;(H286+0.01))&gt;0,"Matched","Missing from ledger"))</f>
        <v/>
      </c>
    </row>
    <row r="287" customFormat="false" ht="15" hidden="false" customHeight="false" outlineLevel="0" collapsed="false">
      <c r="A287" s="21"/>
      <c r="B287" s="21"/>
      <c r="C287" s="21"/>
      <c r="D287" s="21"/>
      <c r="E287" s="21"/>
      <c r="F287" s="21"/>
      <c r="G287" s="21"/>
      <c r="H287" s="24"/>
      <c r="I287" s="10" t="str">
        <f aca="false">IF(A287="","",IFERROR(DATEVALUE(LEFT(A287,10)),A287))</f>
        <v/>
      </c>
      <c r="J287" s="8" t="str">
        <f aca="false">IF(H287="","",IF(COUNTIFS(Transactions!$A:$A,I287,Transactions!$J:$J,"&gt;="&amp;(H287-0.01),Transactions!$J:$J,"&lt;="&amp;(H287+0.01))&gt;0,"Matched","Missing from ledger"))</f>
        <v/>
      </c>
    </row>
    <row r="288" customFormat="false" ht="15" hidden="false" customHeight="false" outlineLevel="0" collapsed="false">
      <c r="A288" s="21"/>
      <c r="B288" s="21"/>
      <c r="C288" s="21"/>
      <c r="D288" s="21"/>
      <c r="E288" s="21"/>
      <c r="F288" s="21"/>
      <c r="G288" s="21"/>
      <c r="H288" s="24"/>
      <c r="I288" s="10" t="str">
        <f aca="false">IF(A288="","",IFERROR(DATEVALUE(LEFT(A288,10)),A288))</f>
        <v/>
      </c>
      <c r="J288" s="8" t="str">
        <f aca="false">IF(H288="","",IF(COUNTIFS(Transactions!$A:$A,I288,Transactions!$J:$J,"&gt;="&amp;(H288-0.01),Transactions!$J:$J,"&lt;="&amp;(H288+0.01))&gt;0,"Matched","Missing from ledger"))</f>
        <v/>
      </c>
    </row>
    <row r="289" customFormat="false" ht="15" hidden="false" customHeight="false" outlineLevel="0" collapsed="false">
      <c r="A289" s="21"/>
      <c r="B289" s="21"/>
      <c r="C289" s="21"/>
      <c r="D289" s="21"/>
      <c r="E289" s="21"/>
      <c r="F289" s="21"/>
      <c r="G289" s="21"/>
      <c r="H289" s="24"/>
      <c r="I289" s="10" t="str">
        <f aca="false">IF(A289="","",IFERROR(DATEVALUE(LEFT(A289,10)),A289))</f>
        <v/>
      </c>
      <c r="J289" s="8" t="str">
        <f aca="false">IF(H289="","",IF(COUNTIFS(Transactions!$A:$A,I289,Transactions!$J:$J,"&gt;="&amp;(H289-0.01),Transactions!$J:$J,"&lt;="&amp;(H289+0.01))&gt;0,"Matched","Missing from ledger"))</f>
        <v/>
      </c>
    </row>
    <row r="290" customFormat="false" ht="15" hidden="false" customHeight="false" outlineLevel="0" collapsed="false">
      <c r="A290" s="21"/>
      <c r="B290" s="21"/>
      <c r="C290" s="21"/>
      <c r="D290" s="21"/>
      <c r="E290" s="21"/>
      <c r="F290" s="21"/>
      <c r="G290" s="21"/>
      <c r="H290" s="24"/>
      <c r="I290" s="10" t="str">
        <f aca="false">IF(A290="","",IFERROR(DATEVALUE(LEFT(A290,10)),A290))</f>
        <v/>
      </c>
      <c r="J290" s="8" t="str">
        <f aca="false">IF(H290="","",IF(COUNTIFS(Transactions!$A:$A,I290,Transactions!$J:$J,"&gt;="&amp;(H290-0.01),Transactions!$J:$J,"&lt;="&amp;(H290+0.01))&gt;0,"Matched","Missing from ledger"))</f>
        <v/>
      </c>
    </row>
    <row r="291" customFormat="false" ht="15" hidden="false" customHeight="false" outlineLevel="0" collapsed="false">
      <c r="A291" s="21"/>
      <c r="B291" s="21"/>
      <c r="C291" s="21"/>
      <c r="D291" s="21"/>
      <c r="E291" s="21"/>
      <c r="F291" s="21"/>
      <c r="G291" s="21"/>
      <c r="H291" s="24"/>
      <c r="I291" s="10" t="str">
        <f aca="false">IF(A291="","",IFERROR(DATEVALUE(LEFT(A291,10)),A291))</f>
        <v/>
      </c>
      <c r="J291" s="8" t="str">
        <f aca="false">IF(H291="","",IF(COUNTIFS(Transactions!$A:$A,I291,Transactions!$J:$J,"&gt;="&amp;(H291-0.01),Transactions!$J:$J,"&lt;="&amp;(H291+0.01))&gt;0,"Matched","Missing from ledger"))</f>
        <v/>
      </c>
    </row>
    <row r="292" customFormat="false" ht="15" hidden="false" customHeight="false" outlineLevel="0" collapsed="false">
      <c r="A292" s="21"/>
      <c r="B292" s="21"/>
      <c r="C292" s="21"/>
      <c r="D292" s="21"/>
      <c r="E292" s="21"/>
      <c r="F292" s="21"/>
      <c r="G292" s="21"/>
      <c r="H292" s="24"/>
      <c r="I292" s="10" t="str">
        <f aca="false">IF(A292="","",IFERROR(DATEVALUE(LEFT(A292,10)),A292))</f>
        <v/>
      </c>
      <c r="J292" s="8" t="str">
        <f aca="false">IF(H292="","",IF(COUNTIFS(Transactions!$A:$A,I292,Transactions!$J:$J,"&gt;="&amp;(H292-0.01),Transactions!$J:$J,"&lt;="&amp;(H292+0.01))&gt;0,"Matched","Missing from ledger"))</f>
        <v/>
      </c>
    </row>
    <row r="293" customFormat="false" ht="15" hidden="false" customHeight="false" outlineLevel="0" collapsed="false">
      <c r="A293" s="21"/>
      <c r="B293" s="21"/>
      <c r="C293" s="21"/>
      <c r="D293" s="21"/>
      <c r="E293" s="21"/>
      <c r="F293" s="21"/>
      <c r="G293" s="21"/>
      <c r="H293" s="24"/>
      <c r="I293" s="10" t="str">
        <f aca="false">IF(A293="","",IFERROR(DATEVALUE(LEFT(A293,10)),A293))</f>
        <v/>
      </c>
      <c r="J293" s="8" t="str">
        <f aca="false">IF(H293="","",IF(COUNTIFS(Transactions!$A:$A,I293,Transactions!$J:$J,"&gt;="&amp;(H293-0.01),Transactions!$J:$J,"&lt;="&amp;(H293+0.01))&gt;0,"Matched","Missing from ledger"))</f>
        <v/>
      </c>
    </row>
    <row r="294" customFormat="false" ht="15" hidden="false" customHeight="false" outlineLevel="0" collapsed="false">
      <c r="A294" s="21"/>
      <c r="B294" s="21"/>
      <c r="C294" s="21"/>
      <c r="D294" s="21"/>
      <c r="E294" s="21"/>
      <c r="F294" s="21"/>
      <c r="G294" s="21"/>
      <c r="H294" s="24"/>
      <c r="I294" s="10" t="str">
        <f aca="false">IF(A294="","",IFERROR(DATEVALUE(LEFT(A294,10)),A294))</f>
        <v/>
      </c>
      <c r="J294" s="8" t="str">
        <f aca="false">IF(H294="","",IF(COUNTIFS(Transactions!$A:$A,I294,Transactions!$J:$J,"&gt;="&amp;(H294-0.01),Transactions!$J:$J,"&lt;="&amp;(H294+0.01))&gt;0,"Matched","Missing from ledger"))</f>
        <v/>
      </c>
    </row>
    <row r="295" customFormat="false" ht="15" hidden="false" customHeight="false" outlineLevel="0" collapsed="false">
      <c r="A295" s="21"/>
      <c r="B295" s="21"/>
      <c r="C295" s="21"/>
      <c r="D295" s="21"/>
      <c r="E295" s="21"/>
      <c r="F295" s="21"/>
      <c r="G295" s="21"/>
      <c r="H295" s="24"/>
      <c r="I295" s="10" t="str">
        <f aca="false">IF(A295="","",IFERROR(DATEVALUE(LEFT(A295,10)),A295))</f>
        <v/>
      </c>
      <c r="J295" s="8" t="str">
        <f aca="false">IF(H295="","",IF(COUNTIFS(Transactions!$A:$A,I295,Transactions!$J:$J,"&gt;="&amp;(H295-0.01),Transactions!$J:$J,"&lt;="&amp;(H295+0.01))&gt;0,"Matched","Missing from ledger"))</f>
        <v/>
      </c>
    </row>
    <row r="296" customFormat="false" ht="15" hidden="false" customHeight="false" outlineLevel="0" collapsed="false">
      <c r="A296" s="21"/>
      <c r="B296" s="21"/>
      <c r="C296" s="21"/>
      <c r="D296" s="21"/>
      <c r="E296" s="21"/>
      <c r="F296" s="21"/>
      <c r="G296" s="21"/>
      <c r="H296" s="24"/>
      <c r="I296" s="10" t="str">
        <f aca="false">IF(A296="","",IFERROR(DATEVALUE(LEFT(A296,10)),A296))</f>
        <v/>
      </c>
      <c r="J296" s="8" t="str">
        <f aca="false">IF(H296="","",IF(COUNTIFS(Transactions!$A:$A,I296,Transactions!$J:$J,"&gt;="&amp;(H296-0.01),Transactions!$J:$J,"&lt;="&amp;(H296+0.01))&gt;0,"Matched","Missing from ledger"))</f>
        <v/>
      </c>
    </row>
    <row r="297" customFormat="false" ht="15" hidden="false" customHeight="false" outlineLevel="0" collapsed="false">
      <c r="A297" s="21"/>
      <c r="B297" s="21"/>
      <c r="C297" s="21"/>
      <c r="D297" s="21"/>
      <c r="E297" s="21"/>
      <c r="F297" s="21"/>
      <c r="G297" s="21"/>
      <c r="H297" s="24"/>
      <c r="I297" s="10" t="str">
        <f aca="false">IF(A297="","",IFERROR(DATEVALUE(LEFT(A297,10)),A297))</f>
        <v/>
      </c>
      <c r="J297" s="8" t="str">
        <f aca="false">IF(H297="","",IF(COUNTIFS(Transactions!$A:$A,I297,Transactions!$J:$J,"&gt;="&amp;(H297-0.01),Transactions!$J:$J,"&lt;="&amp;(H297+0.01))&gt;0,"Matched","Missing from ledger"))</f>
        <v/>
      </c>
    </row>
    <row r="298" customFormat="false" ht="15" hidden="false" customHeight="false" outlineLevel="0" collapsed="false">
      <c r="A298" s="21"/>
      <c r="B298" s="21"/>
      <c r="C298" s="21"/>
      <c r="D298" s="21"/>
      <c r="E298" s="21"/>
      <c r="F298" s="21"/>
      <c r="G298" s="21"/>
      <c r="H298" s="24"/>
      <c r="I298" s="10" t="str">
        <f aca="false">IF(A298="","",IFERROR(DATEVALUE(LEFT(A298,10)),A298))</f>
        <v/>
      </c>
      <c r="J298" s="8" t="str">
        <f aca="false">IF(H298="","",IF(COUNTIFS(Transactions!$A:$A,I298,Transactions!$J:$J,"&gt;="&amp;(H298-0.01),Transactions!$J:$J,"&lt;="&amp;(H298+0.01))&gt;0,"Matched","Missing from ledger"))</f>
        <v/>
      </c>
    </row>
    <row r="299" customFormat="false" ht="15" hidden="false" customHeight="false" outlineLevel="0" collapsed="false">
      <c r="A299" s="21"/>
      <c r="B299" s="21"/>
      <c r="C299" s="21"/>
      <c r="D299" s="21"/>
      <c r="E299" s="21"/>
      <c r="F299" s="21"/>
      <c r="G299" s="21"/>
      <c r="H299" s="24"/>
      <c r="I299" s="10" t="str">
        <f aca="false">IF(A299="","",IFERROR(DATEVALUE(LEFT(A299,10)),A299))</f>
        <v/>
      </c>
      <c r="J299" s="8" t="str">
        <f aca="false">IF(H299="","",IF(COUNTIFS(Transactions!$A:$A,I299,Transactions!$J:$J,"&gt;="&amp;(H299-0.01),Transactions!$J:$J,"&lt;="&amp;(H299+0.01))&gt;0,"Matched","Missing from ledger"))</f>
        <v/>
      </c>
    </row>
    <row r="300" customFormat="false" ht="15" hidden="false" customHeight="false" outlineLevel="0" collapsed="false">
      <c r="A300" s="21"/>
      <c r="B300" s="21"/>
      <c r="C300" s="21"/>
      <c r="D300" s="21"/>
      <c r="E300" s="21"/>
      <c r="F300" s="21"/>
      <c r="G300" s="21"/>
      <c r="H300" s="24"/>
      <c r="I300" s="10" t="str">
        <f aca="false">IF(A300="","",IFERROR(DATEVALUE(LEFT(A300,10)),A300))</f>
        <v/>
      </c>
      <c r="J300" s="8" t="str">
        <f aca="false">IF(H300="","",IF(COUNTIFS(Transactions!$A:$A,I300,Transactions!$J:$J,"&gt;="&amp;(H300-0.01),Transactions!$J:$J,"&lt;="&amp;(H300+0.01))&gt;0,"Matched","Missing from ledger"))</f>
        <v/>
      </c>
    </row>
    <row r="301" customFormat="false" ht="15" hidden="false" customHeight="false" outlineLevel="0" collapsed="false">
      <c r="A301" s="21"/>
      <c r="B301" s="21"/>
      <c r="C301" s="21"/>
      <c r="D301" s="21"/>
      <c r="E301" s="21"/>
      <c r="F301" s="21"/>
      <c r="G301" s="21"/>
      <c r="H301" s="24"/>
      <c r="I301" s="10" t="str">
        <f aca="false">IF(A301="","",IFERROR(DATEVALUE(LEFT(A301,10)),A301))</f>
        <v/>
      </c>
      <c r="J301" s="8" t="str">
        <f aca="false">IF(H301="","",IF(COUNTIFS(Transactions!$A:$A,I301,Transactions!$J:$J,"&gt;="&amp;(H301-0.01),Transactions!$J:$J,"&lt;="&amp;(H301+0.01))&gt;0,"Matched","Missing from ledger"))</f>
        <v/>
      </c>
    </row>
    <row r="302" customFormat="false" ht="15" hidden="false" customHeight="false" outlineLevel="0" collapsed="false">
      <c r="A302" s="21"/>
      <c r="B302" s="21"/>
      <c r="C302" s="21"/>
      <c r="D302" s="21"/>
      <c r="E302" s="21"/>
      <c r="F302" s="21"/>
      <c r="G302" s="21"/>
      <c r="H302" s="24"/>
      <c r="I302" s="10" t="str">
        <f aca="false">IF(A302="","",IFERROR(DATEVALUE(LEFT(A302,10)),A302))</f>
        <v/>
      </c>
      <c r="J302" s="8" t="str">
        <f aca="false">IF(H302="","",IF(COUNTIFS(Transactions!$A:$A,I302,Transactions!$J:$J,"&gt;="&amp;(H302-0.01),Transactions!$J:$J,"&lt;="&amp;(H302+0.01))&gt;0,"Matched","Missing from ledger"))</f>
        <v/>
      </c>
    </row>
    <row r="303" customFormat="false" ht="15" hidden="false" customHeight="false" outlineLevel="0" collapsed="false">
      <c r="A303" s="21"/>
      <c r="B303" s="21"/>
      <c r="C303" s="21"/>
      <c r="D303" s="21"/>
      <c r="E303" s="21"/>
      <c r="F303" s="21"/>
      <c r="G303" s="21"/>
      <c r="H303" s="24"/>
      <c r="I303" s="10" t="str">
        <f aca="false">IF(A303="","",IFERROR(DATEVALUE(LEFT(A303,10)),A303))</f>
        <v/>
      </c>
      <c r="J303" s="8" t="str">
        <f aca="false">IF(H303="","",IF(COUNTIFS(Transactions!$A:$A,I303,Transactions!$J:$J,"&gt;="&amp;(H303-0.01),Transactions!$J:$J,"&lt;="&amp;(H303+0.01))&gt;0,"Matched","Missing from ledger"))</f>
        <v/>
      </c>
    </row>
    <row r="304" customFormat="false" ht="15" hidden="false" customHeight="false" outlineLevel="0" collapsed="false">
      <c r="A304" s="21"/>
      <c r="B304" s="21"/>
      <c r="C304" s="21"/>
      <c r="D304" s="21"/>
      <c r="E304" s="21"/>
      <c r="F304" s="21"/>
      <c r="G304" s="21"/>
      <c r="H304" s="24"/>
      <c r="I304" s="10" t="str">
        <f aca="false">IF(A304="","",IFERROR(DATEVALUE(LEFT(A304,10)),A304))</f>
        <v/>
      </c>
      <c r="J304" s="8" t="str">
        <f aca="false">IF(H304="","",IF(COUNTIFS(Transactions!$A:$A,I304,Transactions!$J:$J,"&gt;="&amp;(H304-0.01),Transactions!$J:$J,"&lt;="&amp;(H304+0.01))&gt;0,"Matched","Missing from ledger"))</f>
        <v/>
      </c>
    </row>
    <row r="305" customFormat="false" ht="15" hidden="false" customHeight="false" outlineLevel="0" collapsed="false">
      <c r="A305" s="21"/>
      <c r="B305" s="21"/>
      <c r="C305" s="21"/>
      <c r="D305" s="21"/>
      <c r="E305" s="21"/>
      <c r="F305" s="21"/>
      <c r="G305" s="21"/>
      <c r="H305" s="24"/>
      <c r="I305" s="10" t="str">
        <f aca="false">IF(A305="","",IFERROR(DATEVALUE(LEFT(A305,10)),A305))</f>
        <v/>
      </c>
      <c r="J305" s="8" t="str">
        <f aca="false">IF(H305="","",IF(COUNTIFS(Transactions!$A:$A,I305,Transactions!$J:$J,"&gt;="&amp;(H305-0.01),Transactions!$J:$J,"&lt;="&amp;(H305+0.01))&gt;0,"Matched","Missing from ledger"))</f>
        <v/>
      </c>
    </row>
    <row r="306" customFormat="false" ht="15" hidden="false" customHeight="false" outlineLevel="0" collapsed="false">
      <c r="A306" s="21"/>
      <c r="B306" s="21"/>
      <c r="C306" s="21"/>
      <c r="D306" s="21"/>
      <c r="E306" s="21"/>
      <c r="F306" s="21"/>
      <c r="G306" s="21"/>
      <c r="H306" s="24"/>
      <c r="I306" s="10" t="str">
        <f aca="false">IF(A306="","",IFERROR(DATEVALUE(LEFT(A306,10)),A306))</f>
        <v/>
      </c>
      <c r="J306" s="8" t="str">
        <f aca="false">IF(H306="","",IF(COUNTIFS(Transactions!$A:$A,I306,Transactions!$J:$J,"&gt;="&amp;(H306-0.01),Transactions!$J:$J,"&lt;="&amp;(H306+0.01))&gt;0,"Matched","Missing from ledger"))</f>
        <v/>
      </c>
    </row>
    <row r="307" customFormat="false" ht="15" hidden="false" customHeight="false" outlineLevel="0" collapsed="false">
      <c r="A307" s="21"/>
      <c r="B307" s="21"/>
      <c r="C307" s="21"/>
      <c r="D307" s="21"/>
      <c r="E307" s="21"/>
      <c r="F307" s="21"/>
      <c r="G307" s="21"/>
      <c r="H307" s="24"/>
      <c r="I307" s="10" t="str">
        <f aca="false">IF(A307="","",IFERROR(DATEVALUE(LEFT(A307,10)),A307))</f>
        <v/>
      </c>
      <c r="J307" s="8" t="str">
        <f aca="false">IF(H307="","",IF(COUNTIFS(Transactions!$A:$A,I307,Transactions!$J:$J,"&gt;="&amp;(H307-0.01),Transactions!$J:$J,"&lt;="&amp;(H307+0.01))&gt;0,"Matched","Missing from ledger"))</f>
        <v/>
      </c>
    </row>
    <row r="308" customFormat="false" ht="15" hidden="false" customHeight="false" outlineLevel="0" collapsed="false">
      <c r="A308" s="21"/>
      <c r="B308" s="21"/>
      <c r="C308" s="21"/>
      <c r="D308" s="21"/>
      <c r="E308" s="21"/>
      <c r="F308" s="21"/>
      <c r="G308" s="21"/>
      <c r="H308" s="24"/>
      <c r="I308" s="10" t="str">
        <f aca="false">IF(A308="","",IFERROR(DATEVALUE(LEFT(A308,10)),A308))</f>
        <v/>
      </c>
      <c r="J308" s="8" t="str">
        <f aca="false">IF(H308="","",IF(COUNTIFS(Transactions!$A:$A,I308,Transactions!$J:$J,"&gt;="&amp;(H308-0.01),Transactions!$J:$J,"&lt;="&amp;(H308+0.01))&gt;0,"Matched","Missing from ledger"))</f>
        <v/>
      </c>
    </row>
    <row r="309" customFormat="false" ht="15" hidden="false" customHeight="false" outlineLevel="0" collapsed="false">
      <c r="A309" s="21"/>
      <c r="B309" s="21"/>
      <c r="C309" s="21"/>
      <c r="D309" s="21"/>
      <c r="E309" s="21"/>
      <c r="F309" s="21"/>
      <c r="G309" s="21"/>
      <c r="H309" s="24"/>
      <c r="I309" s="10" t="str">
        <f aca="false">IF(A309="","",IFERROR(DATEVALUE(LEFT(A309,10)),A309))</f>
        <v/>
      </c>
      <c r="J309" s="8" t="str">
        <f aca="false">IF(H309="","",IF(COUNTIFS(Transactions!$A:$A,I309,Transactions!$J:$J,"&gt;="&amp;(H309-0.01),Transactions!$J:$J,"&lt;="&amp;(H309+0.01))&gt;0,"Matched","Missing from ledger"))</f>
        <v/>
      </c>
    </row>
    <row r="310" customFormat="false" ht="15" hidden="false" customHeight="false" outlineLevel="0" collapsed="false">
      <c r="A310" s="21"/>
      <c r="B310" s="21"/>
      <c r="C310" s="21"/>
      <c r="D310" s="21"/>
      <c r="E310" s="21"/>
      <c r="F310" s="21"/>
      <c r="G310" s="21"/>
      <c r="H310" s="24"/>
      <c r="I310" s="10" t="str">
        <f aca="false">IF(A310="","",IFERROR(DATEVALUE(LEFT(A310,10)),A310))</f>
        <v/>
      </c>
      <c r="J310" s="8" t="str">
        <f aca="false">IF(H310="","",IF(COUNTIFS(Transactions!$A:$A,I310,Transactions!$J:$J,"&gt;="&amp;(H310-0.01),Transactions!$J:$J,"&lt;="&amp;(H310+0.01))&gt;0,"Matched","Missing from ledger"))</f>
        <v/>
      </c>
    </row>
    <row r="311" customFormat="false" ht="15" hidden="false" customHeight="false" outlineLevel="0" collapsed="false">
      <c r="A311" s="21"/>
      <c r="B311" s="21"/>
      <c r="C311" s="21"/>
      <c r="D311" s="21"/>
      <c r="E311" s="21"/>
      <c r="F311" s="21"/>
      <c r="G311" s="21"/>
      <c r="H311" s="24"/>
      <c r="I311" s="10" t="str">
        <f aca="false">IF(A311="","",IFERROR(DATEVALUE(LEFT(A311,10)),A311))</f>
        <v/>
      </c>
      <c r="J311" s="8" t="str">
        <f aca="false">IF(H311="","",IF(COUNTIFS(Transactions!$A:$A,I311,Transactions!$J:$J,"&gt;="&amp;(H311-0.01),Transactions!$J:$J,"&lt;="&amp;(H311+0.01))&gt;0,"Matched","Missing from ledger"))</f>
        <v/>
      </c>
    </row>
    <row r="312" customFormat="false" ht="15" hidden="false" customHeight="false" outlineLevel="0" collapsed="false">
      <c r="A312" s="21"/>
      <c r="B312" s="21"/>
      <c r="C312" s="21"/>
      <c r="D312" s="21"/>
      <c r="E312" s="21"/>
      <c r="F312" s="21"/>
      <c r="G312" s="21"/>
      <c r="H312" s="24"/>
      <c r="I312" s="10" t="str">
        <f aca="false">IF(A312="","",IFERROR(DATEVALUE(LEFT(A312,10)),A312))</f>
        <v/>
      </c>
      <c r="J312" s="8" t="str">
        <f aca="false">IF(H312="","",IF(COUNTIFS(Transactions!$A:$A,I312,Transactions!$J:$J,"&gt;="&amp;(H312-0.01),Transactions!$J:$J,"&lt;="&amp;(H312+0.01))&gt;0,"Matched","Missing from ledger"))</f>
        <v/>
      </c>
    </row>
    <row r="313" customFormat="false" ht="15" hidden="false" customHeight="false" outlineLevel="0" collapsed="false">
      <c r="A313" s="21"/>
      <c r="B313" s="21"/>
      <c r="C313" s="21"/>
      <c r="D313" s="21"/>
      <c r="E313" s="21"/>
      <c r="F313" s="21"/>
      <c r="G313" s="21"/>
      <c r="H313" s="24"/>
      <c r="I313" s="10" t="str">
        <f aca="false">IF(A313="","",IFERROR(DATEVALUE(LEFT(A313,10)),A313))</f>
        <v/>
      </c>
      <c r="J313" s="8" t="str">
        <f aca="false">IF(H313="","",IF(COUNTIFS(Transactions!$A:$A,I313,Transactions!$J:$J,"&gt;="&amp;(H313-0.01),Transactions!$J:$J,"&lt;="&amp;(H313+0.01))&gt;0,"Matched","Missing from ledger"))</f>
        <v/>
      </c>
    </row>
    <row r="314" customFormat="false" ht="15" hidden="false" customHeight="false" outlineLevel="0" collapsed="false">
      <c r="A314" s="21"/>
      <c r="B314" s="21"/>
      <c r="C314" s="21"/>
      <c r="D314" s="21"/>
      <c r="E314" s="21"/>
      <c r="F314" s="21"/>
      <c r="G314" s="21"/>
      <c r="H314" s="24"/>
      <c r="I314" s="10" t="str">
        <f aca="false">IF(A314="","",IFERROR(DATEVALUE(LEFT(A314,10)),A314))</f>
        <v/>
      </c>
      <c r="J314" s="8" t="str">
        <f aca="false">IF(H314="","",IF(COUNTIFS(Transactions!$A:$A,I314,Transactions!$J:$J,"&gt;="&amp;(H314-0.01),Transactions!$J:$J,"&lt;="&amp;(H314+0.01))&gt;0,"Matched","Missing from ledger"))</f>
        <v/>
      </c>
    </row>
    <row r="315" customFormat="false" ht="15" hidden="false" customHeight="false" outlineLevel="0" collapsed="false">
      <c r="A315" s="21"/>
      <c r="B315" s="21"/>
      <c r="C315" s="21"/>
      <c r="D315" s="21"/>
      <c r="E315" s="21"/>
      <c r="F315" s="21"/>
      <c r="G315" s="21"/>
      <c r="H315" s="24"/>
      <c r="I315" s="10" t="str">
        <f aca="false">IF(A315="","",IFERROR(DATEVALUE(LEFT(A315,10)),A315))</f>
        <v/>
      </c>
      <c r="J315" s="8" t="str">
        <f aca="false">IF(H315="","",IF(COUNTIFS(Transactions!$A:$A,I315,Transactions!$J:$J,"&gt;="&amp;(H315-0.01),Transactions!$J:$J,"&lt;="&amp;(H315+0.01))&gt;0,"Matched","Missing from ledger"))</f>
        <v/>
      </c>
    </row>
    <row r="316" customFormat="false" ht="15" hidden="false" customHeight="false" outlineLevel="0" collapsed="false">
      <c r="A316" s="21"/>
      <c r="B316" s="21"/>
      <c r="C316" s="21"/>
      <c r="D316" s="21"/>
      <c r="E316" s="21"/>
      <c r="F316" s="21"/>
      <c r="G316" s="21"/>
      <c r="H316" s="24"/>
      <c r="I316" s="10" t="str">
        <f aca="false">IF(A316="","",IFERROR(DATEVALUE(LEFT(A316,10)),A316))</f>
        <v/>
      </c>
      <c r="J316" s="8" t="str">
        <f aca="false">IF(H316="","",IF(COUNTIFS(Transactions!$A:$A,I316,Transactions!$J:$J,"&gt;="&amp;(H316-0.01),Transactions!$J:$J,"&lt;="&amp;(H316+0.01))&gt;0,"Matched","Missing from ledger"))</f>
        <v/>
      </c>
    </row>
    <row r="317" customFormat="false" ht="15" hidden="false" customHeight="false" outlineLevel="0" collapsed="false">
      <c r="A317" s="21"/>
      <c r="B317" s="21"/>
      <c r="C317" s="21"/>
      <c r="D317" s="21"/>
      <c r="E317" s="21"/>
      <c r="F317" s="21"/>
      <c r="G317" s="21"/>
      <c r="H317" s="24"/>
      <c r="I317" s="10" t="str">
        <f aca="false">IF(A317="","",IFERROR(DATEVALUE(LEFT(A317,10)),A317))</f>
        <v/>
      </c>
      <c r="J317" s="8" t="str">
        <f aca="false">IF(H317="","",IF(COUNTIFS(Transactions!$A:$A,I317,Transactions!$J:$J,"&gt;="&amp;(H317-0.01),Transactions!$J:$J,"&lt;="&amp;(H317+0.01))&gt;0,"Matched","Missing from ledger"))</f>
        <v/>
      </c>
    </row>
    <row r="318" customFormat="false" ht="15" hidden="false" customHeight="false" outlineLevel="0" collapsed="false">
      <c r="A318" s="21"/>
      <c r="B318" s="21"/>
      <c r="C318" s="21"/>
      <c r="D318" s="21"/>
      <c r="E318" s="21"/>
      <c r="F318" s="21"/>
      <c r="G318" s="21"/>
      <c r="H318" s="24"/>
      <c r="I318" s="10" t="str">
        <f aca="false">IF(A318="","",IFERROR(DATEVALUE(LEFT(A318,10)),A318))</f>
        <v/>
      </c>
      <c r="J318" s="8" t="str">
        <f aca="false">IF(H318="","",IF(COUNTIFS(Transactions!$A:$A,I318,Transactions!$J:$J,"&gt;="&amp;(H318-0.01),Transactions!$J:$J,"&lt;="&amp;(H318+0.01))&gt;0,"Matched","Missing from ledger"))</f>
        <v/>
      </c>
    </row>
    <row r="319" customFormat="false" ht="15" hidden="false" customHeight="false" outlineLevel="0" collapsed="false">
      <c r="A319" s="21"/>
      <c r="B319" s="21"/>
      <c r="C319" s="21"/>
      <c r="D319" s="21"/>
      <c r="E319" s="21"/>
      <c r="F319" s="21"/>
      <c r="G319" s="21"/>
      <c r="H319" s="24"/>
      <c r="I319" s="10" t="str">
        <f aca="false">IF(A319="","",IFERROR(DATEVALUE(LEFT(A319,10)),A319))</f>
        <v/>
      </c>
      <c r="J319" s="8" t="str">
        <f aca="false">IF(H319="","",IF(COUNTIFS(Transactions!$A:$A,I319,Transactions!$J:$J,"&gt;="&amp;(H319-0.01),Transactions!$J:$J,"&lt;="&amp;(H319+0.01))&gt;0,"Matched","Missing from ledger"))</f>
        <v/>
      </c>
    </row>
    <row r="320" customFormat="false" ht="15" hidden="false" customHeight="false" outlineLevel="0" collapsed="false">
      <c r="A320" s="21"/>
      <c r="B320" s="21"/>
      <c r="C320" s="21"/>
      <c r="D320" s="21"/>
      <c r="E320" s="21"/>
      <c r="F320" s="21"/>
      <c r="G320" s="21"/>
      <c r="H320" s="24"/>
      <c r="I320" s="10" t="str">
        <f aca="false">IF(A320="","",IFERROR(DATEVALUE(LEFT(A320,10)),A320))</f>
        <v/>
      </c>
      <c r="J320" s="8" t="str">
        <f aca="false">IF(H320="","",IF(COUNTIFS(Transactions!$A:$A,I320,Transactions!$J:$J,"&gt;="&amp;(H320-0.01),Transactions!$J:$J,"&lt;="&amp;(H320+0.01))&gt;0,"Matched","Missing from ledger"))</f>
        <v/>
      </c>
    </row>
    <row r="321" customFormat="false" ht="15" hidden="false" customHeight="false" outlineLevel="0" collapsed="false">
      <c r="A321" s="21"/>
      <c r="B321" s="21"/>
      <c r="C321" s="21"/>
      <c r="D321" s="21"/>
      <c r="E321" s="21"/>
      <c r="F321" s="21"/>
      <c r="G321" s="21"/>
      <c r="H321" s="24"/>
      <c r="I321" s="10" t="str">
        <f aca="false">IF(A321="","",IFERROR(DATEVALUE(LEFT(A321,10)),A321))</f>
        <v/>
      </c>
      <c r="J321" s="8" t="str">
        <f aca="false">IF(H321="","",IF(COUNTIFS(Transactions!$A:$A,I321,Transactions!$J:$J,"&gt;="&amp;(H321-0.01),Transactions!$J:$J,"&lt;="&amp;(H321+0.01))&gt;0,"Matched","Missing from ledger"))</f>
        <v/>
      </c>
    </row>
    <row r="322" customFormat="false" ht="15" hidden="false" customHeight="false" outlineLevel="0" collapsed="false">
      <c r="A322" s="21"/>
      <c r="B322" s="21"/>
      <c r="C322" s="21"/>
      <c r="D322" s="21"/>
      <c r="E322" s="21"/>
      <c r="F322" s="21"/>
      <c r="G322" s="21"/>
      <c r="H322" s="24"/>
      <c r="I322" s="10" t="str">
        <f aca="false">IF(A322="","",IFERROR(DATEVALUE(LEFT(A322,10)),A322))</f>
        <v/>
      </c>
      <c r="J322" s="8" t="str">
        <f aca="false">IF(H322="","",IF(COUNTIFS(Transactions!$A:$A,I322,Transactions!$J:$J,"&gt;="&amp;(H322-0.01),Transactions!$J:$J,"&lt;="&amp;(H322+0.01))&gt;0,"Matched","Missing from ledger"))</f>
        <v/>
      </c>
    </row>
    <row r="323" customFormat="false" ht="15" hidden="false" customHeight="false" outlineLevel="0" collapsed="false">
      <c r="A323" s="21"/>
      <c r="B323" s="21"/>
      <c r="C323" s="21"/>
      <c r="D323" s="21"/>
      <c r="E323" s="21"/>
      <c r="F323" s="21"/>
      <c r="G323" s="21"/>
      <c r="H323" s="24"/>
      <c r="I323" s="10" t="str">
        <f aca="false">IF(A323="","",IFERROR(DATEVALUE(LEFT(A323,10)),A323))</f>
        <v/>
      </c>
      <c r="J323" s="8" t="str">
        <f aca="false">IF(H323="","",IF(COUNTIFS(Transactions!$A:$A,I323,Transactions!$J:$J,"&gt;="&amp;(H323-0.01),Transactions!$J:$J,"&lt;="&amp;(H323+0.01))&gt;0,"Matched","Missing from ledger"))</f>
        <v/>
      </c>
    </row>
    <row r="324" customFormat="false" ht="15" hidden="false" customHeight="false" outlineLevel="0" collapsed="false">
      <c r="A324" s="21"/>
      <c r="B324" s="21"/>
      <c r="C324" s="21"/>
      <c r="D324" s="21"/>
      <c r="E324" s="21"/>
      <c r="F324" s="21"/>
      <c r="G324" s="21"/>
      <c r="H324" s="24"/>
      <c r="I324" s="10" t="str">
        <f aca="false">IF(A324="","",IFERROR(DATEVALUE(LEFT(A324,10)),A324))</f>
        <v/>
      </c>
      <c r="J324" s="8" t="str">
        <f aca="false">IF(H324="","",IF(COUNTIFS(Transactions!$A:$A,I324,Transactions!$J:$J,"&gt;="&amp;(H324-0.01),Transactions!$J:$J,"&lt;="&amp;(H324+0.01))&gt;0,"Matched","Missing from ledger"))</f>
        <v/>
      </c>
    </row>
    <row r="325" customFormat="false" ht="15" hidden="false" customHeight="false" outlineLevel="0" collapsed="false">
      <c r="A325" s="21"/>
      <c r="B325" s="21"/>
      <c r="C325" s="21"/>
      <c r="D325" s="21"/>
      <c r="E325" s="21"/>
      <c r="F325" s="21"/>
      <c r="G325" s="21"/>
      <c r="H325" s="24"/>
      <c r="I325" s="10" t="str">
        <f aca="false">IF(A325="","",IFERROR(DATEVALUE(LEFT(A325,10)),A325))</f>
        <v/>
      </c>
      <c r="J325" s="8" t="str">
        <f aca="false">IF(H325="","",IF(COUNTIFS(Transactions!$A:$A,I325,Transactions!$J:$J,"&gt;="&amp;(H325-0.01),Transactions!$J:$J,"&lt;="&amp;(H325+0.01))&gt;0,"Matched","Missing from ledger"))</f>
        <v/>
      </c>
    </row>
    <row r="326" customFormat="false" ht="15" hidden="false" customHeight="false" outlineLevel="0" collapsed="false">
      <c r="A326" s="21"/>
      <c r="B326" s="21"/>
      <c r="C326" s="21"/>
      <c r="D326" s="21"/>
      <c r="E326" s="21"/>
      <c r="F326" s="21"/>
      <c r="G326" s="21"/>
      <c r="H326" s="24"/>
      <c r="I326" s="10" t="str">
        <f aca="false">IF(A326="","",IFERROR(DATEVALUE(LEFT(A326,10)),A326))</f>
        <v/>
      </c>
      <c r="J326" s="8" t="str">
        <f aca="false">IF(H326="","",IF(COUNTIFS(Transactions!$A:$A,I326,Transactions!$J:$J,"&gt;="&amp;(H326-0.01),Transactions!$J:$J,"&lt;="&amp;(H326+0.01))&gt;0,"Matched","Missing from ledger"))</f>
        <v/>
      </c>
    </row>
    <row r="327" customFormat="false" ht="15" hidden="false" customHeight="false" outlineLevel="0" collapsed="false">
      <c r="A327" s="21"/>
      <c r="B327" s="21"/>
      <c r="C327" s="21"/>
      <c r="D327" s="21"/>
      <c r="E327" s="21"/>
      <c r="F327" s="21"/>
      <c r="G327" s="21"/>
      <c r="H327" s="24"/>
      <c r="I327" s="10" t="str">
        <f aca="false">IF(A327="","",IFERROR(DATEVALUE(LEFT(A327,10)),A327))</f>
        <v/>
      </c>
      <c r="J327" s="8" t="str">
        <f aca="false">IF(H327="","",IF(COUNTIFS(Transactions!$A:$A,I327,Transactions!$J:$J,"&gt;="&amp;(H327-0.01),Transactions!$J:$J,"&lt;="&amp;(H327+0.01))&gt;0,"Matched","Missing from ledger"))</f>
        <v/>
      </c>
    </row>
    <row r="328" customFormat="false" ht="15" hidden="false" customHeight="false" outlineLevel="0" collapsed="false">
      <c r="A328" s="21"/>
      <c r="B328" s="21"/>
      <c r="C328" s="21"/>
      <c r="D328" s="21"/>
      <c r="E328" s="21"/>
      <c r="F328" s="21"/>
      <c r="G328" s="21"/>
      <c r="H328" s="24"/>
      <c r="I328" s="10" t="str">
        <f aca="false">IF(A328="","",IFERROR(DATEVALUE(LEFT(A328,10)),A328))</f>
        <v/>
      </c>
      <c r="J328" s="8" t="str">
        <f aca="false">IF(H328="","",IF(COUNTIFS(Transactions!$A:$A,I328,Transactions!$J:$J,"&gt;="&amp;(H328-0.01),Transactions!$J:$J,"&lt;="&amp;(H328+0.01))&gt;0,"Matched","Missing from ledger"))</f>
        <v/>
      </c>
    </row>
    <row r="329" customFormat="false" ht="15" hidden="false" customHeight="false" outlineLevel="0" collapsed="false">
      <c r="A329" s="21"/>
      <c r="B329" s="21"/>
      <c r="C329" s="21"/>
      <c r="D329" s="21"/>
      <c r="E329" s="21"/>
      <c r="F329" s="21"/>
      <c r="G329" s="21"/>
      <c r="H329" s="24"/>
      <c r="I329" s="10" t="str">
        <f aca="false">IF(A329="","",IFERROR(DATEVALUE(LEFT(A329,10)),A329))</f>
        <v/>
      </c>
      <c r="J329" s="8" t="str">
        <f aca="false">IF(H329="","",IF(COUNTIFS(Transactions!$A:$A,I329,Transactions!$J:$J,"&gt;="&amp;(H329-0.01),Transactions!$J:$J,"&lt;="&amp;(H329+0.01))&gt;0,"Matched","Missing from ledger"))</f>
        <v/>
      </c>
    </row>
    <row r="330" customFormat="false" ht="15" hidden="false" customHeight="false" outlineLevel="0" collapsed="false">
      <c r="A330" s="21"/>
      <c r="B330" s="21"/>
      <c r="C330" s="21"/>
      <c r="D330" s="21"/>
      <c r="E330" s="21"/>
      <c r="F330" s="21"/>
      <c r="G330" s="21"/>
      <c r="H330" s="24"/>
      <c r="I330" s="10" t="str">
        <f aca="false">IF(A330="","",IFERROR(DATEVALUE(LEFT(A330,10)),A330))</f>
        <v/>
      </c>
      <c r="J330" s="8" t="str">
        <f aca="false">IF(H330="","",IF(COUNTIFS(Transactions!$A:$A,I330,Transactions!$J:$J,"&gt;="&amp;(H330-0.01),Transactions!$J:$J,"&lt;="&amp;(H330+0.01))&gt;0,"Matched","Missing from ledger"))</f>
        <v/>
      </c>
    </row>
    <row r="331" customFormat="false" ht="15" hidden="false" customHeight="false" outlineLevel="0" collapsed="false">
      <c r="A331" s="21"/>
      <c r="B331" s="21"/>
      <c r="C331" s="21"/>
      <c r="D331" s="21"/>
      <c r="E331" s="21"/>
      <c r="F331" s="21"/>
      <c r="G331" s="21"/>
      <c r="H331" s="24"/>
      <c r="I331" s="10" t="str">
        <f aca="false">IF(A331="","",IFERROR(DATEVALUE(LEFT(A331,10)),A331))</f>
        <v/>
      </c>
      <c r="J331" s="8" t="str">
        <f aca="false">IF(H331="","",IF(COUNTIFS(Transactions!$A:$A,I331,Transactions!$J:$J,"&gt;="&amp;(H331-0.01),Transactions!$J:$J,"&lt;="&amp;(H331+0.01))&gt;0,"Matched","Missing from ledger"))</f>
        <v/>
      </c>
    </row>
    <row r="332" customFormat="false" ht="15" hidden="false" customHeight="false" outlineLevel="0" collapsed="false">
      <c r="A332" s="21"/>
      <c r="B332" s="21"/>
      <c r="C332" s="21"/>
      <c r="D332" s="21"/>
      <c r="E332" s="21"/>
      <c r="F332" s="21"/>
      <c r="G332" s="21"/>
      <c r="H332" s="24"/>
      <c r="I332" s="10" t="str">
        <f aca="false">IF(A332="","",IFERROR(DATEVALUE(LEFT(A332,10)),A332))</f>
        <v/>
      </c>
      <c r="J332" s="8" t="str">
        <f aca="false">IF(H332="","",IF(COUNTIFS(Transactions!$A:$A,I332,Transactions!$J:$J,"&gt;="&amp;(H332-0.01),Transactions!$J:$J,"&lt;="&amp;(H332+0.01))&gt;0,"Matched","Missing from ledger"))</f>
        <v/>
      </c>
    </row>
    <row r="333" customFormat="false" ht="15" hidden="false" customHeight="false" outlineLevel="0" collapsed="false">
      <c r="A333" s="21"/>
      <c r="B333" s="21"/>
      <c r="C333" s="21"/>
      <c r="D333" s="21"/>
      <c r="E333" s="21"/>
      <c r="F333" s="21"/>
      <c r="G333" s="21"/>
      <c r="H333" s="24"/>
      <c r="I333" s="10" t="str">
        <f aca="false">IF(A333="","",IFERROR(DATEVALUE(LEFT(A333,10)),A333))</f>
        <v/>
      </c>
      <c r="J333" s="8" t="str">
        <f aca="false">IF(H333="","",IF(COUNTIFS(Transactions!$A:$A,I333,Transactions!$J:$J,"&gt;="&amp;(H333-0.01),Transactions!$J:$J,"&lt;="&amp;(H333+0.01))&gt;0,"Matched","Missing from ledger"))</f>
        <v/>
      </c>
    </row>
    <row r="334" customFormat="false" ht="15" hidden="false" customHeight="false" outlineLevel="0" collapsed="false">
      <c r="A334" s="21"/>
      <c r="B334" s="21"/>
      <c r="C334" s="21"/>
      <c r="D334" s="21"/>
      <c r="E334" s="21"/>
      <c r="F334" s="21"/>
      <c r="G334" s="21"/>
      <c r="H334" s="24"/>
      <c r="I334" s="10" t="str">
        <f aca="false">IF(A334="","",IFERROR(DATEVALUE(LEFT(A334,10)),A334))</f>
        <v/>
      </c>
      <c r="J334" s="8" t="str">
        <f aca="false">IF(H334="","",IF(COUNTIFS(Transactions!$A:$A,I334,Transactions!$J:$J,"&gt;="&amp;(H334-0.01),Transactions!$J:$J,"&lt;="&amp;(H334+0.01))&gt;0,"Matched","Missing from ledger"))</f>
        <v/>
      </c>
    </row>
    <row r="335" customFormat="false" ht="15" hidden="false" customHeight="false" outlineLevel="0" collapsed="false">
      <c r="A335" s="21"/>
      <c r="B335" s="21"/>
      <c r="C335" s="21"/>
      <c r="D335" s="21"/>
      <c r="E335" s="21"/>
      <c r="F335" s="21"/>
      <c r="G335" s="21"/>
      <c r="H335" s="24"/>
      <c r="I335" s="10" t="str">
        <f aca="false">IF(A335="","",IFERROR(DATEVALUE(LEFT(A335,10)),A335))</f>
        <v/>
      </c>
      <c r="J335" s="8" t="str">
        <f aca="false">IF(H335="","",IF(COUNTIFS(Transactions!$A:$A,I335,Transactions!$J:$J,"&gt;="&amp;(H335-0.01),Transactions!$J:$J,"&lt;="&amp;(H335+0.01))&gt;0,"Matched","Missing from ledger"))</f>
        <v/>
      </c>
    </row>
    <row r="336" customFormat="false" ht="15" hidden="false" customHeight="false" outlineLevel="0" collapsed="false">
      <c r="A336" s="21"/>
      <c r="B336" s="21"/>
      <c r="C336" s="21"/>
      <c r="D336" s="21"/>
      <c r="E336" s="21"/>
      <c r="F336" s="21"/>
      <c r="G336" s="21"/>
      <c r="H336" s="24"/>
      <c r="I336" s="10" t="str">
        <f aca="false">IF(A336="","",IFERROR(DATEVALUE(LEFT(A336,10)),A336))</f>
        <v/>
      </c>
      <c r="J336" s="8" t="str">
        <f aca="false">IF(H336="","",IF(COUNTIFS(Transactions!$A:$A,I336,Transactions!$J:$J,"&gt;="&amp;(H336-0.01),Transactions!$J:$J,"&lt;="&amp;(H336+0.01))&gt;0,"Matched","Missing from ledger"))</f>
        <v/>
      </c>
    </row>
    <row r="337" customFormat="false" ht="15" hidden="false" customHeight="false" outlineLevel="0" collapsed="false">
      <c r="A337" s="21"/>
      <c r="B337" s="21"/>
      <c r="C337" s="21"/>
      <c r="D337" s="21"/>
      <c r="E337" s="21"/>
      <c r="F337" s="21"/>
      <c r="G337" s="21"/>
      <c r="H337" s="24"/>
      <c r="I337" s="10" t="str">
        <f aca="false">IF(A337="","",IFERROR(DATEVALUE(LEFT(A337,10)),A337))</f>
        <v/>
      </c>
      <c r="J337" s="8" t="str">
        <f aca="false">IF(H337="","",IF(COUNTIFS(Transactions!$A:$A,I337,Transactions!$J:$J,"&gt;="&amp;(H337-0.01),Transactions!$J:$J,"&lt;="&amp;(H337+0.01))&gt;0,"Matched","Missing from ledger"))</f>
        <v/>
      </c>
    </row>
    <row r="338" customFormat="false" ht="15" hidden="false" customHeight="false" outlineLevel="0" collapsed="false">
      <c r="A338" s="21"/>
      <c r="B338" s="21"/>
      <c r="C338" s="21"/>
      <c r="D338" s="21"/>
      <c r="E338" s="21"/>
      <c r="F338" s="21"/>
      <c r="G338" s="21"/>
      <c r="H338" s="24"/>
      <c r="I338" s="10" t="str">
        <f aca="false">IF(A338="","",IFERROR(DATEVALUE(LEFT(A338,10)),A338))</f>
        <v/>
      </c>
      <c r="J338" s="8" t="str">
        <f aca="false">IF(H338="","",IF(COUNTIFS(Transactions!$A:$A,I338,Transactions!$J:$J,"&gt;="&amp;(H338-0.01),Transactions!$J:$J,"&lt;="&amp;(H338+0.01))&gt;0,"Matched","Missing from ledger"))</f>
        <v/>
      </c>
    </row>
    <row r="339" customFormat="false" ht="15" hidden="false" customHeight="false" outlineLevel="0" collapsed="false">
      <c r="A339" s="21"/>
      <c r="B339" s="21"/>
      <c r="C339" s="21"/>
      <c r="D339" s="21"/>
      <c r="E339" s="21"/>
      <c r="F339" s="21"/>
      <c r="G339" s="21"/>
      <c r="H339" s="24"/>
      <c r="I339" s="10" t="str">
        <f aca="false">IF(A339="","",IFERROR(DATEVALUE(LEFT(A339,10)),A339))</f>
        <v/>
      </c>
      <c r="J339" s="8" t="str">
        <f aca="false">IF(H339="","",IF(COUNTIFS(Transactions!$A:$A,I339,Transactions!$J:$J,"&gt;="&amp;(H339-0.01),Transactions!$J:$J,"&lt;="&amp;(H339+0.01))&gt;0,"Matched","Missing from ledger"))</f>
        <v/>
      </c>
    </row>
    <row r="340" customFormat="false" ht="15" hidden="false" customHeight="false" outlineLevel="0" collapsed="false">
      <c r="A340" s="21"/>
      <c r="B340" s="21"/>
      <c r="C340" s="21"/>
      <c r="D340" s="21"/>
      <c r="E340" s="21"/>
      <c r="F340" s="21"/>
      <c r="G340" s="21"/>
      <c r="H340" s="24"/>
      <c r="I340" s="10" t="str">
        <f aca="false">IF(A340="","",IFERROR(DATEVALUE(LEFT(A340,10)),A340))</f>
        <v/>
      </c>
      <c r="J340" s="8" t="str">
        <f aca="false">IF(H340="","",IF(COUNTIFS(Transactions!$A:$A,I340,Transactions!$J:$J,"&gt;="&amp;(H340-0.01),Transactions!$J:$J,"&lt;="&amp;(H340+0.01))&gt;0,"Matched","Missing from ledger"))</f>
        <v/>
      </c>
    </row>
    <row r="341" customFormat="false" ht="15" hidden="false" customHeight="false" outlineLevel="0" collapsed="false">
      <c r="A341" s="21"/>
      <c r="B341" s="21"/>
      <c r="C341" s="21"/>
      <c r="D341" s="21"/>
      <c r="E341" s="21"/>
      <c r="F341" s="21"/>
      <c r="G341" s="21"/>
      <c r="H341" s="24"/>
      <c r="I341" s="10" t="str">
        <f aca="false">IF(A341="","",IFERROR(DATEVALUE(LEFT(A341,10)),A341))</f>
        <v/>
      </c>
      <c r="J341" s="8" t="str">
        <f aca="false">IF(H341="","",IF(COUNTIFS(Transactions!$A:$A,I341,Transactions!$J:$J,"&gt;="&amp;(H341-0.01),Transactions!$J:$J,"&lt;="&amp;(H341+0.01))&gt;0,"Matched","Missing from ledger"))</f>
        <v/>
      </c>
    </row>
    <row r="342" customFormat="false" ht="15" hidden="false" customHeight="false" outlineLevel="0" collapsed="false">
      <c r="A342" s="21"/>
      <c r="B342" s="21"/>
      <c r="C342" s="21"/>
      <c r="D342" s="21"/>
      <c r="E342" s="21"/>
      <c r="F342" s="21"/>
      <c r="G342" s="21"/>
      <c r="H342" s="24"/>
      <c r="I342" s="10" t="str">
        <f aca="false">IF(A342="","",IFERROR(DATEVALUE(LEFT(A342,10)),A342))</f>
        <v/>
      </c>
      <c r="J342" s="8" t="str">
        <f aca="false">IF(H342="","",IF(COUNTIFS(Transactions!$A:$A,I342,Transactions!$J:$J,"&gt;="&amp;(H342-0.01),Transactions!$J:$J,"&lt;="&amp;(H342+0.01))&gt;0,"Matched","Missing from ledger"))</f>
        <v/>
      </c>
    </row>
    <row r="343" customFormat="false" ht="15" hidden="false" customHeight="false" outlineLevel="0" collapsed="false">
      <c r="A343" s="21"/>
      <c r="B343" s="21"/>
      <c r="C343" s="21"/>
      <c r="D343" s="21"/>
      <c r="E343" s="21"/>
      <c r="F343" s="21"/>
      <c r="G343" s="21"/>
      <c r="H343" s="24"/>
      <c r="I343" s="10" t="str">
        <f aca="false">IF(A343="","",IFERROR(DATEVALUE(LEFT(A343,10)),A343))</f>
        <v/>
      </c>
      <c r="J343" s="8" t="str">
        <f aca="false">IF(H343="","",IF(COUNTIFS(Transactions!$A:$A,I343,Transactions!$J:$J,"&gt;="&amp;(H343-0.01),Transactions!$J:$J,"&lt;="&amp;(H343+0.01))&gt;0,"Matched","Missing from ledger"))</f>
        <v/>
      </c>
    </row>
    <row r="344" customFormat="false" ht="15" hidden="false" customHeight="false" outlineLevel="0" collapsed="false">
      <c r="A344" s="21"/>
      <c r="B344" s="21"/>
      <c r="C344" s="21"/>
      <c r="D344" s="21"/>
      <c r="E344" s="21"/>
      <c r="F344" s="21"/>
      <c r="G344" s="21"/>
      <c r="H344" s="24"/>
      <c r="I344" s="10" t="str">
        <f aca="false">IF(A344="","",IFERROR(DATEVALUE(LEFT(A344,10)),A344))</f>
        <v/>
      </c>
      <c r="J344" s="8" t="str">
        <f aca="false">IF(H344="","",IF(COUNTIFS(Transactions!$A:$A,I344,Transactions!$J:$J,"&gt;="&amp;(H344-0.01),Transactions!$J:$J,"&lt;="&amp;(H344+0.01))&gt;0,"Matched","Missing from ledger"))</f>
        <v/>
      </c>
    </row>
    <row r="345" customFormat="false" ht="15" hidden="false" customHeight="false" outlineLevel="0" collapsed="false">
      <c r="A345" s="21"/>
      <c r="B345" s="21"/>
      <c r="C345" s="21"/>
      <c r="D345" s="21"/>
      <c r="E345" s="21"/>
      <c r="F345" s="21"/>
      <c r="G345" s="21"/>
      <c r="H345" s="24"/>
      <c r="I345" s="10" t="str">
        <f aca="false">IF(A345="","",IFERROR(DATEVALUE(LEFT(A345,10)),A345))</f>
        <v/>
      </c>
      <c r="J345" s="8" t="str">
        <f aca="false">IF(H345="","",IF(COUNTIFS(Transactions!$A:$A,I345,Transactions!$J:$J,"&gt;="&amp;(H345-0.01),Transactions!$J:$J,"&lt;="&amp;(H345+0.01))&gt;0,"Matched","Missing from ledger"))</f>
        <v/>
      </c>
    </row>
    <row r="346" customFormat="false" ht="15" hidden="false" customHeight="false" outlineLevel="0" collapsed="false">
      <c r="A346" s="21"/>
      <c r="B346" s="21"/>
      <c r="C346" s="21"/>
      <c r="D346" s="21"/>
      <c r="E346" s="21"/>
      <c r="F346" s="21"/>
      <c r="G346" s="21"/>
      <c r="H346" s="24"/>
      <c r="I346" s="10" t="str">
        <f aca="false">IF(A346="","",IFERROR(DATEVALUE(LEFT(A346,10)),A346))</f>
        <v/>
      </c>
      <c r="J346" s="8" t="str">
        <f aca="false">IF(H346="","",IF(COUNTIFS(Transactions!$A:$A,I346,Transactions!$J:$J,"&gt;="&amp;(H346-0.01),Transactions!$J:$J,"&lt;="&amp;(H346+0.01))&gt;0,"Matched","Missing from ledger"))</f>
        <v/>
      </c>
    </row>
    <row r="347" customFormat="false" ht="15" hidden="false" customHeight="false" outlineLevel="0" collapsed="false">
      <c r="A347" s="21"/>
      <c r="B347" s="21"/>
      <c r="C347" s="21"/>
      <c r="D347" s="21"/>
      <c r="E347" s="21"/>
      <c r="F347" s="21"/>
      <c r="G347" s="21"/>
      <c r="H347" s="24"/>
      <c r="I347" s="10" t="str">
        <f aca="false">IF(A347="","",IFERROR(DATEVALUE(LEFT(A347,10)),A347))</f>
        <v/>
      </c>
      <c r="J347" s="8" t="str">
        <f aca="false">IF(H347="","",IF(COUNTIFS(Transactions!$A:$A,I347,Transactions!$J:$J,"&gt;="&amp;(H347-0.01),Transactions!$J:$J,"&lt;="&amp;(H347+0.01))&gt;0,"Matched","Missing from ledger"))</f>
        <v/>
      </c>
    </row>
    <row r="348" customFormat="false" ht="15" hidden="false" customHeight="false" outlineLevel="0" collapsed="false">
      <c r="A348" s="21"/>
      <c r="B348" s="21"/>
      <c r="C348" s="21"/>
      <c r="D348" s="21"/>
      <c r="E348" s="21"/>
      <c r="F348" s="21"/>
      <c r="G348" s="21"/>
      <c r="H348" s="24"/>
      <c r="I348" s="10" t="str">
        <f aca="false">IF(A348="","",IFERROR(DATEVALUE(LEFT(A348,10)),A348))</f>
        <v/>
      </c>
      <c r="J348" s="8" t="str">
        <f aca="false">IF(H348="","",IF(COUNTIFS(Transactions!$A:$A,I348,Transactions!$J:$J,"&gt;="&amp;(H348-0.01),Transactions!$J:$J,"&lt;="&amp;(H348+0.01))&gt;0,"Matched","Missing from ledger"))</f>
        <v/>
      </c>
    </row>
    <row r="349" customFormat="false" ht="15" hidden="false" customHeight="false" outlineLevel="0" collapsed="false">
      <c r="A349" s="21"/>
      <c r="B349" s="21"/>
      <c r="C349" s="21"/>
      <c r="D349" s="21"/>
      <c r="E349" s="21"/>
      <c r="F349" s="21"/>
      <c r="G349" s="21"/>
      <c r="H349" s="24"/>
      <c r="I349" s="10" t="str">
        <f aca="false">IF(A349="","",IFERROR(DATEVALUE(LEFT(A349,10)),A349))</f>
        <v/>
      </c>
      <c r="J349" s="8" t="str">
        <f aca="false">IF(H349="","",IF(COUNTIFS(Transactions!$A:$A,I349,Transactions!$J:$J,"&gt;="&amp;(H349-0.01),Transactions!$J:$J,"&lt;="&amp;(H349+0.01))&gt;0,"Matched","Missing from ledger"))</f>
        <v/>
      </c>
    </row>
    <row r="350" customFormat="false" ht="15" hidden="false" customHeight="false" outlineLevel="0" collapsed="false">
      <c r="A350" s="21"/>
      <c r="B350" s="21"/>
      <c r="C350" s="21"/>
      <c r="D350" s="21"/>
      <c r="E350" s="21"/>
      <c r="F350" s="21"/>
      <c r="G350" s="21"/>
      <c r="H350" s="24"/>
      <c r="I350" s="10" t="str">
        <f aca="false">IF(A350="","",IFERROR(DATEVALUE(LEFT(A350,10)),A350))</f>
        <v/>
      </c>
      <c r="J350" s="8" t="str">
        <f aca="false">IF(H350="","",IF(COUNTIFS(Transactions!$A:$A,I350,Transactions!$J:$J,"&gt;="&amp;(H350-0.01),Transactions!$J:$J,"&lt;="&amp;(H350+0.01))&gt;0,"Matched","Missing from ledger"))</f>
        <v/>
      </c>
    </row>
    <row r="351" customFormat="false" ht="15" hidden="false" customHeight="false" outlineLevel="0" collapsed="false">
      <c r="A351" s="21"/>
      <c r="B351" s="21"/>
      <c r="C351" s="21"/>
      <c r="D351" s="21"/>
      <c r="E351" s="21"/>
      <c r="F351" s="21"/>
      <c r="G351" s="21"/>
      <c r="H351" s="24"/>
      <c r="I351" s="10" t="str">
        <f aca="false">IF(A351="","",IFERROR(DATEVALUE(LEFT(A351,10)),A351))</f>
        <v/>
      </c>
      <c r="J351" s="8" t="str">
        <f aca="false">IF(H351="","",IF(COUNTIFS(Transactions!$A:$A,I351,Transactions!$J:$J,"&gt;="&amp;(H351-0.01),Transactions!$J:$J,"&lt;="&amp;(H351+0.01))&gt;0,"Matched","Missing from ledger"))</f>
        <v/>
      </c>
    </row>
    <row r="352" customFormat="false" ht="15" hidden="false" customHeight="false" outlineLevel="0" collapsed="false">
      <c r="A352" s="21"/>
      <c r="B352" s="21"/>
      <c r="C352" s="21"/>
      <c r="D352" s="21"/>
      <c r="E352" s="21"/>
      <c r="F352" s="21"/>
      <c r="G352" s="21"/>
      <c r="H352" s="24"/>
      <c r="I352" s="10" t="str">
        <f aca="false">IF(A352="","",IFERROR(DATEVALUE(LEFT(A352,10)),A352))</f>
        <v/>
      </c>
      <c r="J352" s="8" t="str">
        <f aca="false">IF(H352="","",IF(COUNTIFS(Transactions!$A:$A,I352,Transactions!$J:$J,"&gt;="&amp;(H352-0.01),Transactions!$J:$J,"&lt;="&amp;(H352+0.01))&gt;0,"Matched","Missing from ledger"))</f>
        <v/>
      </c>
    </row>
    <row r="353" customFormat="false" ht="15" hidden="false" customHeight="false" outlineLevel="0" collapsed="false">
      <c r="A353" s="21"/>
      <c r="B353" s="21"/>
      <c r="C353" s="21"/>
      <c r="D353" s="21"/>
      <c r="E353" s="21"/>
      <c r="F353" s="21"/>
      <c r="G353" s="21"/>
      <c r="H353" s="24"/>
      <c r="I353" s="10" t="str">
        <f aca="false">IF(A353="","",IFERROR(DATEVALUE(LEFT(A353,10)),A353))</f>
        <v/>
      </c>
      <c r="J353" s="8" t="str">
        <f aca="false">IF(H353="","",IF(COUNTIFS(Transactions!$A:$A,I353,Transactions!$J:$J,"&gt;="&amp;(H353-0.01),Transactions!$J:$J,"&lt;="&amp;(H353+0.01))&gt;0,"Matched","Missing from ledger"))</f>
        <v/>
      </c>
    </row>
    <row r="354" customFormat="false" ht="15" hidden="false" customHeight="false" outlineLevel="0" collapsed="false">
      <c r="A354" s="21"/>
      <c r="B354" s="21"/>
      <c r="C354" s="21"/>
      <c r="D354" s="21"/>
      <c r="E354" s="21"/>
      <c r="F354" s="21"/>
      <c r="G354" s="21"/>
      <c r="H354" s="24"/>
      <c r="I354" s="10" t="str">
        <f aca="false">IF(A354="","",IFERROR(DATEVALUE(LEFT(A354,10)),A354))</f>
        <v/>
      </c>
      <c r="J354" s="8" t="str">
        <f aca="false">IF(H354="","",IF(COUNTIFS(Transactions!$A:$A,I354,Transactions!$J:$J,"&gt;="&amp;(H354-0.01),Transactions!$J:$J,"&lt;="&amp;(H354+0.01))&gt;0,"Matched","Missing from ledger"))</f>
        <v/>
      </c>
    </row>
    <row r="355" customFormat="false" ht="15" hidden="false" customHeight="false" outlineLevel="0" collapsed="false">
      <c r="A355" s="21"/>
      <c r="B355" s="21"/>
      <c r="C355" s="21"/>
      <c r="D355" s="21"/>
      <c r="E355" s="21"/>
      <c r="F355" s="21"/>
      <c r="G355" s="21"/>
      <c r="H355" s="24"/>
      <c r="I355" s="10" t="str">
        <f aca="false">IF(A355="","",IFERROR(DATEVALUE(LEFT(A355,10)),A355))</f>
        <v/>
      </c>
      <c r="J355" s="8" t="str">
        <f aca="false">IF(H355="","",IF(COUNTIFS(Transactions!$A:$A,I355,Transactions!$J:$J,"&gt;="&amp;(H355-0.01),Transactions!$J:$J,"&lt;="&amp;(H355+0.01))&gt;0,"Matched","Missing from ledger"))</f>
        <v/>
      </c>
    </row>
    <row r="356" customFormat="false" ht="15" hidden="false" customHeight="false" outlineLevel="0" collapsed="false">
      <c r="A356" s="21"/>
      <c r="B356" s="21"/>
      <c r="C356" s="21"/>
      <c r="D356" s="21"/>
      <c r="E356" s="21"/>
      <c r="F356" s="21"/>
      <c r="G356" s="21"/>
      <c r="H356" s="24"/>
      <c r="I356" s="10" t="str">
        <f aca="false">IF(A356="","",IFERROR(DATEVALUE(LEFT(A356,10)),A356))</f>
        <v/>
      </c>
      <c r="J356" s="8" t="str">
        <f aca="false">IF(H356="","",IF(COUNTIFS(Transactions!$A:$A,I356,Transactions!$J:$J,"&gt;="&amp;(H356-0.01),Transactions!$J:$J,"&lt;="&amp;(H356+0.01))&gt;0,"Matched","Missing from ledger"))</f>
        <v/>
      </c>
    </row>
    <row r="357" customFormat="false" ht="15" hidden="false" customHeight="false" outlineLevel="0" collapsed="false">
      <c r="A357" s="21"/>
      <c r="B357" s="21"/>
      <c r="C357" s="21"/>
      <c r="D357" s="21"/>
      <c r="E357" s="21"/>
      <c r="F357" s="21"/>
      <c r="G357" s="21"/>
      <c r="H357" s="24"/>
      <c r="I357" s="10" t="str">
        <f aca="false">IF(A357="","",IFERROR(DATEVALUE(LEFT(A357,10)),A357))</f>
        <v/>
      </c>
      <c r="J357" s="8" t="str">
        <f aca="false">IF(H357="","",IF(COUNTIFS(Transactions!$A:$A,I357,Transactions!$J:$J,"&gt;="&amp;(H357-0.01),Transactions!$J:$J,"&lt;="&amp;(H357+0.01))&gt;0,"Matched","Missing from ledger"))</f>
        <v/>
      </c>
    </row>
    <row r="358" customFormat="false" ht="15" hidden="false" customHeight="false" outlineLevel="0" collapsed="false">
      <c r="A358" s="21"/>
      <c r="B358" s="21"/>
      <c r="C358" s="21"/>
      <c r="D358" s="21"/>
      <c r="E358" s="21"/>
      <c r="F358" s="21"/>
      <c r="G358" s="21"/>
      <c r="H358" s="24"/>
      <c r="I358" s="10" t="str">
        <f aca="false">IF(A358="","",IFERROR(DATEVALUE(LEFT(A358,10)),A358))</f>
        <v/>
      </c>
      <c r="J358" s="8" t="str">
        <f aca="false">IF(H358="","",IF(COUNTIFS(Transactions!$A:$A,I358,Transactions!$J:$J,"&gt;="&amp;(H358-0.01),Transactions!$J:$J,"&lt;="&amp;(H358+0.01))&gt;0,"Matched","Missing from ledger"))</f>
        <v/>
      </c>
    </row>
    <row r="359" customFormat="false" ht="15" hidden="false" customHeight="false" outlineLevel="0" collapsed="false">
      <c r="A359" s="21"/>
      <c r="B359" s="21"/>
      <c r="C359" s="21"/>
      <c r="D359" s="21"/>
      <c r="E359" s="21"/>
      <c r="F359" s="21"/>
      <c r="G359" s="21"/>
      <c r="H359" s="24"/>
      <c r="I359" s="10" t="str">
        <f aca="false">IF(A359="","",IFERROR(DATEVALUE(LEFT(A359,10)),A359))</f>
        <v/>
      </c>
      <c r="J359" s="8" t="str">
        <f aca="false">IF(H359="","",IF(COUNTIFS(Transactions!$A:$A,I359,Transactions!$J:$J,"&gt;="&amp;(H359-0.01),Transactions!$J:$J,"&lt;="&amp;(H359+0.01))&gt;0,"Matched","Missing from ledger"))</f>
        <v/>
      </c>
    </row>
    <row r="360" customFormat="false" ht="15" hidden="false" customHeight="false" outlineLevel="0" collapsed="false">
      <c r="A360" s="21"/>
      <c r="B360" s="21"/>
      <c r="C360" s="21"/>
      <c r="D360" s="21"/>
      <c r="E360" s="21"/>
      <c r="F360" s="21"/>
      <c r="G360" s="21"/>
      <c r="H360" s="24"/>
      <c r="I360" s="10" t="str">
        <f aca="false">IF(A360="","",IFERROR(DATEVALUE(LEFT(A360,10)),A360))</f>
        <v/>
      </c>
      <c r="J360" s="8" t="str">
        <f aca="false">IF(H360="","",IF(COUNTIFS(Transactions!$A:$A,I360,Transactions!$J:$J,"&gt;="&amp;(H360-0.01),Transactions!$J:$J,"&lt;="&amp;(H360+0.01))&gt;0,"Matched","Missing from ledger"))</f>
        <v/>
      </c>
    </row>
    <row r="361" customFormat="false" ht="15" hidden="false" customHeight="false" outlineLevel="0" collapsed="false">
      <c r="A361" s="21"/>
      <c r="B361" s="21"/>
      <c r="C361" s="21"/>
      <c r="D361" s="21"/>
      <c r="E361" s="21"/>
      <c r="F361" s="21"/>
      <c r="G361" s="21"/>
      <c r="H361" s="24"/>
      <c r="I361" s="10" t="str">
        <f aca="false">IF(A361="","",IFERROR(DATEVALUE(LEFT(A361,10)),A361))</f>
        <v/>
      </c>
      <c r="J361" s="8" t="str">
        <f aca="false">IF(H361="","",IF(COUNTIFS(Transactions!$A:$A,I361,Transactions!$J:$J,"&gt;="&amp;(H361-0.01),Transactions!$J:$J,"&lt;="&amp;(H361+0.01))&gt;0,"Matched","Missing from ledger"))</f>
        <v/>
      </c>
    </row>
    <row r="362" customFormat="false" ht="15" hidden="false" customHeight="false" outlineLevel="0" collapsed="false">
      <c r="A362" s="21"/>
      <c r="B362" s="21"/>
      <c r="C362" s="21"/>
      <c r="D362" s="21"/>
      <c r="E362" s="21"/>
      <c r="F362" s="21"/>
      <c r="G362" s="21"/>
      <c r="H362" s="24"/>
      <c r="I362" s="10" t="str">
        <f aca="false">IF(A362="","",IFERROR(DATEVALUE(LEFT(A362,10)),A362))</f>
        <v/>
      </c>
      <c r="J362" s="8" t="str">
        <f aca="false">IF(H362="","",IF(COUNTIFS(Transactions!$A:$A,I362,Transactions!$J:$J,"&gt;="&amp;(H362-0.01),Transactions!$J:$J,"&lt;="&amp;(H362+0.01))&gt;0,"Matched","Missing from ledger"))</f>
        <v/>
      </c>
    </row>
    <row r="363" customFormat="false" ht="15" hidden="false" customHeight="false" outlineLevel="0" collapsed="false">
      <c r="A363" s="21"/>
      <c r="B363" s="21"/>
      <c r="C363" s="21"/>
      <c r="D363" s="21"/>
      <c r="E363" s="21"/>
      <c r="F363" s="21"/>
      <c r="G363" s="21"/>
      <c r="H363" s="24"/>
      <c r="I363" s="10" t="str">
        <f aca="false">IF(A363="","",IFERROR(DATEVALUE(LEFT(A363,10)),A363))</f>
        <v/>
      </c>
      <c r="J363" s="8" t="str">
        <f aca="false">IF(H363="","",IF(COUNTIFS(Transactions!$A:$A,I363,Transactions!$J:$J,"&gt;="&amp;(H363-0.01),Transactions!$J:$J,"&lt;="&amp;(H363+0.01))&gt;0,"Matched","Missing from ledger"))</f>
        <v/>
      </c>
    </row>
    <row r="364" customFormat="false" ht="15" hidden="false" customHeight="false" outlineLevel="0" collapsed="false">
      <c r="A364" s="21"/>
      <c r="B364" s="21"/>
      <c r="C364" s="21"/>
      <c r="D364" s="21"/>
      <c r="E364" s="21"/>
      <c r="F364" s="21"/>
      <c r="G364" s="21"/>
      <c r="H364" s="24"/>
      <c r="I364" s="10" t="str">
        <f aca="false">IF(A364="","",IFERROR(DATEVALUE(LEFT(A364,10)),A364))</f>
        <v/>
      </c>
      <c r="J364" s="8" t="str">
        <f aca="false">IF(H364="","",IF(COUNTIFS(Transactions!$A:$A,I364,Transactions!$J:$J,"&gt;="&amp;(H364-0.01),Transactions!$J:$J,"&lt;="&amp;(H364+0.01))&gt;0,"Matched","Missing from ledger"))</f>
        <v/>
      </c>
    </row>
    <row r="365" customFormat="false" ht="15" hidden="false" customHeight="false" outlineLevel="0" collapsed="false">
      <c r="A365" s="21"/>
      <c r="B365" s="21"/>
      <c r="C365" s="21"/>
      <c r="D365" s="21"/>
      <c r="E365" s="21"/>
      <c r="F365" s="21"/>
      <c r="G365" s="21"/>
      <c r="H365" s="24"/>
      <c r="I365" s="10" t="str">
        <f aca="false">IF(A365="","",IFERROR(DATEVALUE(LEFT(A365,10)),A365))</f>
        <v/>
      </c>
      <c r="J365" s="8" t="str">
        <f aca="false">IF(H365="","",IF(COUNTIFS(Transactions!$A:$A,I365,Transactions!$J:$J,"&gt;="&amp;(H365-0.01),Transactions!$J:$J,"&lt;="&amp;(H365+0.01))&gt;0,"Matched","Missing from ledger"))</f>
        <v/>
      </c>
    </row>
    <row r="366" customFormat="false" ht="15" hidden="false" customHeight="false" outlineLevel="0" collapsed="false">
      <c r="A366" s="21"/>
      <c r="B366" s="21"/>
      <c r="C366" s="21"/>
      <c r="D366" s="21"/>
      <c r="E366" s="21"/>
      <c r="F366" s="21"/>
      <c r="G366" s="21"/>
      <c r="H366" s="24"/>
      <c r="I366" s="10" t="str">
        <f aca="false">IF(A366="","",IFERROR(DATEVALUE(LEFT(A366,10)),A366))</f>
        <v/>
      </c>
      <c r="J366" s="8" t="str">
        <f aca="false">IF(H366="","",IF(COUNTIFS(Transactions!$A:$A,I366,Transactions!$J:$J,"&gt;="&amp;(H366-0.01),Transactions!$J:$J,"&lt;="&amp;(H366+0.01))&gt;0,"Matched","Missing from ledger"))</f>
        <v/>
      </c>
    </row>
    <row r="367" customFormat="false" ht="15" hidden="false" customHeight="false" outlineLevel="0" collapsed="false">
      <c r="A367" s="21"/>
      <c r="B367" s="21"/>
      <c r="C367" s="21"/>
      <c r="D367" s="21"/>
      <c r="E367" s="21"/>
      <c r="F367" s="21"/>
      <c r="G367" s="21"/>
      <c r="H367" s="24"/>
      <c r="I367" s="10" t="str">
        <f aca="false">IF(A367="","",IFERROR(DATEVALUE(LEFT(A367,10)),A367))</f>
        <v/>
      </c>
      <c r="J367" s="8" t="str">
        <f aca="false">IF(H367="","",IF(COUNTIFS(Transactions!$A:$A,I367,Transactions!$J:$J,"&gt;="&amp;(H367-0.01),Transactions!$J:$J,"&lt;="&amp;(H367+0.01))&gt;0,"Matched","Missing from ledger"))</f>
        <v/>
      </c>
    </row>
    <row r="368" customFormat="false" ht="15" hidden="false" customHeight="false" outlineLevel="0" collapsed="false">
      <c r="A368" s="21"/>
      <c r="B368" s="21"/>
      <c r="C368" s="21"/>
      <c r="D368" s="21"/>
      <c r="E368" s="21"/>
      <c r="F368" s="21"/>
      <c r="G368" s="21"/>
      <c r="H368" s="24"/>
      <c r="I368" s="10" t="str">
        <f aca="false">IF(A368="","",IFERROR(DATEVALUE(LEFT(A368,10)),A368))</f>
        <v/>
      </c>
      <c r="J368" s="8" t="str">
        <f aca="false">IF(H368="","",IF(COUNTIFS(Transactions!$A:$A,I368,Transactions!$J:$J,"&gt;="&amp;(H368-0.01),Transactions!$J:$J,"&lt;="&amp;(H368+0.01))&gt;0,"Matched","Missing from ledger"))</f>
        <v/>
      </c>
    </row>
    <row r="369" customFormat="false" ht="15" hidden="false" customHeight="false" outlineLevel="0" collapsed="false">
      <c r="A369" s="21"/>
      <c r="B369" s="21"/>
      <c r="C369" s="21"/>
      <c r="D369" s="21"/>
      <c r="E369" s="21"/>
      <c r="F369" s="21"/>
      <c r="G369" s="21"/>
      <c r="H369" s="24"/>
      <c r="I369" s="10" t="str">
        <f aca="false">IF(A369="","",IFERROR(DATEVALUE(LEFT(A369,10)),A369))</f>
        <v/>
      </c>
      <c r="J369" s="8" t="str">
        <f aca="false">IF(H369="","",IF(COUNTIFS(Transactions!$A:$A,I369,Transactions!$J:$J,"&gt;="&amp;(H369-0.01),Transactions!$J:$J,"&lt;="&amp;(H369+0.01))&gt;0,"Matched","Missing from ledger"))</f>
        <v/>
      </c>
    </row>
    <row r="370" customFormat="false" ht="15" hidden="false" customHeight="false" outlineLevel="0" collapsed="false">
      <c r="A370" s="21"/>
      <c r="B370" s="21"/>
      <c r="C370" s="21"/>
      <c r="D370" s="21"/>
      <c r="E370" s="21"/>
      <c r="F370" s="21"/>
      <c r="G370" s="21"/>
      <c r="H370" s="24"/>
      <c r="I370" s="10" t="str">
        <f aca="false">IF(A370="","",IFERROR(DATEVALUE(LEFT(A370,10)),A370))</f>
        <v/>
      </c>
      <c r="J370" s="8" t="str">
        <f aca="false">IF(H370="","",IF(COUNTIFS(Transactions!$A:$A,I370,Transactions!$J:$J,"&gt;="&amp;(H370-0.01),Transactions!$J:$J,"&lt;="&amp;(H370+0.01))&gt;0,"Matched","Missing from ledger"))</f>
        <v/>
      </c>
    </row>
    <row r="371" customFormat="false" ht="15" hidden="false" customHeight="false" outlineLevel="0" collapsed="false">
      <c r="A371" s="21"/>
      <c r="B371" s="21"/>
      <c r="C371" s="21"/>
      <c r="D371" s="21"/>
      <c r="E371" s="21"/>
      <c r="F371" s="21"/>
      <c r="G371" s="21"/>
      <c r="H371" s="24"/>
      <c r="I371" s="10" t="str">
        <f aca="false">IF(A371="","",IFERROR(DATEVALUE(LEFT(A371,10)),A371))</f>
        <v/>
      </c>
      <c r="J371" s="8" t="str">
        <f aca="false">IF(H371="","",IF(COUNTIFS(Transactions!$A:$A,I371,Transactions!$J:$J,"&gt;="&amp;(H371-0.01),Transactions!$J:$J,"&lt;="&amp;(H371+0.01))&gt;0,"Matched","Missing from ledger"))</f>
        <v/>
      </c>
    </row>
    <row r="372" customFormat="false" ht="15" hidden="false" customHeight="false" outlineLevel="0" collapsed="false">
      <c r="A372" s="21"/>
      <c r="B372" s="21"/>
      <c r="C372" s="21"/>
      <c r="D372" s="21"/>
      <c r="E372" s="21"/>
      <c r="F372" s="21"/>
      <c r="G372" s="21"/>
      <c r="H372" s="24"/>
      <c r="I372" s="10" t="str">
        <f aca="false">IF(A372="","",IFERROR(DATEVALUE(LEFT(A372,10)),A372))</f>
        <v/>
      </c>
      <c r="J372" s="8" t="str">
        <f aca="false">IF(H372="","",IF(COUNTIFS(Transactions!$A:$A,I372,Transactions!$J:$J,"&gt;="&amp;(H372-0.01),Transactions!$J:$J,"&lt;="&amp;(H372+0.01))&gt;0,"Matched","Missing from ledger"))</f>
        <v/>
      </c>
    </row>
    <row r="373" customFormat="false" ht="15" hidden="false" customHeight="false" outlineLevel="0" collapsed="false">
      <c r="A373" s="21"/>
      <c r="B373" s="21"/>
      <c r="C373" s="21"/>
      <c r="D373" s="21"/>
      <c r="E373" s="21"/>
      <c r="F373" s="21"/>
      <c r="G373" s="21"/>
      <c r="H373" s="24"/>
      <c r="I373" s="10" t="str">
        <f aca="false">IF(A373="","",IFERROR(DATEVALUE(LEFT(A373,10)),A373))</f>
        <v/>
      </c>
      <c r="J373" s="8" t="str">
        <f aca="false">IF(H373="","",IF(COUNTIFS(Transactions!$A:$A,I373,Transactions!$J:$J,"&gt;="&amp;(H373-0.01),Transactions!$J:$J,"&lt;="&amp;(H373+0.01))&gt;0,"Matched","Missing from ledger"))</f>
        <v/>
      </c>
    </row>
    <row r="374" customFormat="false" ht="15" hidden="false" customHeight="false" outlineLevel="0" collapsed="false">
      <c r="A374" s="21"/>
      <c r="B374" s="21"/>
      <c r="C374" s="21"/>
      <c r="D374" s="21"/>
      <c r="E374" s="21"/>
      <c r="F374" s="21"/>
      <c r="G374" s="21"/>
      <c r="H374" s="24"/>
      <c r="I374" s="10" t="str">
        <f aca="false">IF(A374="","",IFERROR(DATEVALUE(LEFT(A374,10)),A374))</f>
        <v/>
      </c>
      <c r="J374" s="8" t="str">
        <f aca="false">IF(H374="","",IF(COUNTIFS(Transactions!$A:$A,I374,Transactions!$J:$J,"&gt;="&amp;(H374-0.01),Transactions!$J:$J,"&lt;="&amp;(H374+0.01))&gt;0,"Matched","Missing from ledger"))</f>
        <v/>
      </c>
    </row>
    <row r="375" customFormat="false" ht="15" hidden="false" customHeight="false" outlineLevel="0" collapsed="false">
      <c r="A375" s="21"/>
      <c r="B375" s="21"/>
      <c r="C375" s="21"/>
      <c r="D375" s="21"/>
      <c r="E375" s="21"/>
      <c r="F375" s="21"/>
      <c r="G375" s="21"/>
      <c r="H375" s="24"/>
      <c r="I375" s="10" t="str">
        <f aca="false">IF(A375="","",IFERROR(DATEVALUE(LEFT(A375,10)),A375))</f>
        <v/>
      </c>
      <c r="J375" s="8" t="str">
        <f aca="false">IF(H375="","",IF(COUNTIFS(Transactions!$A:$A,I375,Transactions!$J:$J,"&gt;="&amp;(H375-0.01),Transactions!$J:$J,"&lt;="&amp;(H375+0.01))&gt;0,"Matched","Missing from ledger"))</f>
        <v/>
      </c>
    </row>
    <row r="376" customFormat="false" ht="15" hidden="false" customHeight="false" outlineLevel="0" collapsed="false">
      <c r="A376" s="21"/>
      <c r="B376" s="21"/>
      <c r="C376" s="21"/>
      <c r="D376" s="21"/>
      <c r="E376" s="21"/>
      <c r="F376" s="21"/>
      <c r="G376" s="21"/>
      <c r="H376" s="24"/>
      <c r="I376" s="10" t="str">
        <f aca="false">IF(A376="","",IFERROR(DATEVALUE(LEFT(A376,10)),A376))</f>
        <v/>
      </c>
      <c r="J376" s="8" t="str">
        <f aca="false">IF(H376="","",IF(COUNTIFS(Transactions!$A:$A,I376,Transactions!$J:$J,"&gt;="&amp;(H376-0.01),Transactions!$J:$J,"&lt;="&amp;(H376+0.01))&gt;0,"Matched","Missing from ledger"))</f>
        <v/>
      </c>
    </row>
    <row r="377" customFormat="false" ht="15" hidden="false" customHeight="false" outlineLevel="0" collapsed="false">
      <c r="A377" s="21"/>
      <c r="B377" s="21"/>
      <c r="C377" s="21"/>
      <c r="D377" s="21"/>
      <c r="E377" s="21"/>
      <c r="F377" s="21"/>
      <c r="G377" s="21"/>
      <c r="H377" s="24"/>
      <c r="I377" s="10" t="str">
        <f aca="false">IF(A377="","",IFERROR(DATEVALUE(LEFT(A377,10)),A377))</f>
        <v/>
      </c>
      <c r="J377" s="8" t="str">
        <f aca="false">IF(H377="","",IF(COUNTIFS(Transactions!$A:$A,I377,Transactions!$J:$J,"&gt;="&amp;(H377-0.01),Transactions!$J:$J,"&lt;="&amp;(H377+0.01))&gt;0,"Matched","Missing from ledger"))</f>
        <v/>
      </c>
    </row>
    <row r="378" customFormat="false" ht="15" hidden="false" customHeight="false" outlineLevel="0" collapsed="false">
      <c r="A378" s="21"/>
      <c r="B378" s="21"/>
      <c r="C378" s="21"/>
      <c r="D378" s="21"/>
      <c r="E378" s="21"/>
      <c r="F378" s="21"/>
      <c r="G378" s="21"/>
      <c r="H378" s="24"/>
      <c r="I378" s="10" t="str">
        <f aca="false">IF(A378="","",IFERROR(DATEVALUE(LEFT(A378,10)),A378))</f>
        <v/>
      </c>
      <c r="J378" s="8" t="str">
        <f aca="false">IF(H378="","",IF(COUNTIFS(Transactions!$A:$A,I378,Transactions!$J:$J,"&gt;="&amp;(H378-0.01),Transactions!$J:$J,"&lt;="&amp;(H378+0.01))&gt;0,"Matched","Missing from ledger"))</f>
        <v/>
      </c>
    </row>
    <row r="379" customFormat="false" ht="15" hidden="false" customHeight="false" outlineLevel="0" collapsed="false">
      <c r="A379" s="21"/>
      <c r="B379" s="21"/>
      <c r="C379" s="21"/>
      <c r="D379" s="21"/>
      <c r="E379" s="21"/>
      <c r="F379" s="21"/>
      <c r="G379" s="21"/>
      <c r="H379" s="24"/>
      <c r="I379" s="10" t="str">
        <f aca="false">IF(A379="","",IFERROR(DATEVALUE(LEFT(A379,10)),A379))</f>
        <v/>
      </c>
      <c r="J379" s="8" t="str">
        <f aca="false">IF(H379="","",IF(COUNTIFS(Transactions!$A:$A,I379,Transactions!$J:$J,"&gt;="&amp;(H379-0.01),Transactions!$J:$J,"&lt;="&amp;(H379+0.01))&gt;0,"Matched","Missing from ledger"))</f>
        <v/>
      </c>
    </row>
    <row r="380" customFormat="false" ht="15" hidden="false" customHeight="false" outlineLevel="0" collapsed="false">
      <c r="A380" s="21"/>
      <c r="B380" s="21"/>
      <c r="C380" s="21"/>
      <c r="D380" s="21"/>
      <c r="E380" s="21"/>
      <c r="F380" s="21"/>
      <c r="G380" s="21"/>
      <c r="H380" s="24"/>
      <c r="I380" s="10" t="str">
        <f aca="false">IF(A380="","",IFERROR(DATEVALUE(LEFT(A380,10)),A380))</f>
        <v/>
      </c>
      <c r="J380" s="8" t="str">
        <f aca="false">IF(H380="","",IF(COUNTIFS(Transactions!$A:$A,I380,Transactions!$J:$J,"&gt;="&amp;(H380-0.01),Transactions!$J:$J,"&lt;="&amp;(H380+0.01))&gt;0,"Matched","Missing from ledger"))</f>
        <v/>
      </c>
    </row>
    <row r="381" customFormat="false" ht="15" hidden="false" customHeight="false" outlineLevel="0" collapsed="false">
      <c r="A381" s="21"/>
      <c r="B381" s="21"/>
      <c r="C381" s="21"/>
      <c r="D381" s="21"/>
      <c r="E381" s="21"/>
      <c r="F381" s="21"/>
      <c r="G381" s="21"/>
      <c r="H381" s="24"/>
      <c r="I381" s="10" t="str">
        <f aca="false">IF(A381="","",IFERROR(DATEVALUE(LEFT(A381,10)),A381))</f>
        <v/>
      </c>
      <c r="J381" s="8" t="str">
        <f aca="false">IF(H381="","",IF(COUNTIFS(Transactions!$A:$A,I381,Transactions!$J:$J,"&gt;="&amp;(H381-0.01),Transactions!$J:$J,"&lt;="&amp;(H381+0.01))&gt;0,"Matched","Missing from ledger"))</f>
        <v/>
      </c>
    </row>
    <row r="382" customFormat="false" ht="15" hidden="false" customHeight="false" outlineLevel="0" collapsed="false">
      <c r="A382" s="21"/>
      <c r="B382" s="21"/>
      <c r="C382" s="21"/>
      <c r="D382" s="21"/>
      <c r="E382" s="21"/>
      <c r="F382" s="21"/>
      <c r="G382" s="21"/>
      <c r="H382" s="24"/>
      <c r="I382" s="10" t="str">
        <f aca="false">IF(A382="","",IFERROR(DATEVALUE(LEFT(A382,10)),A382))</f>
        <v/>
      </c>
      <c r="J382" s="8" t="str">
        <f aca="false">IF(H382="","",IF(COUNTIFS(Transactions!$A:$A,I382,Transactions!$J:$J,"&gt;="&amp;(H382-0.01),Transactions!$J:$J,"&lt;="&amp;(H382+0.01))&gt;0,"Matched","Missing from ledger"))</f>
        <v/>
      </c>
    </row>
    <row r="383" customFormat="false" ht="15" hidden="false" customHeight="false" outlineLevel="0" collapsed="false">
      <c r="A383" s="21"/>
      <c r="B383" s="21"/>
      <c r="C383" s="21"/>
      <c r="D383" s="21"/>
      <c r="E383" s="21"/>
      <c r="F383" s="21"/>
      <c r="G383" s="21"/>
      <c r="H383" s="24"/>
      <c r="I383" s="10" t="str">
        <f aca="false">IF(A383="","",IFERROR(DATEVALUE(LEFT(A383,10)),A383))</f>
        <v/>
      </c>
      <c r="J383" s="8" t="str">
        <f aca="false">IF(H383="","",IF(COUNTIFS(Transactions!$A:$A,I383,Transactions!$J:$J,"&gt;="&amp;(H383-0.01),Transactions!$J:$J,"&lt;="&amp;(H383+0.01))&gt;0,"Matched","Missing from ledger"))</f>
        <v/>
      </c>
    </row>
    <row r="384" customFormat="false" ht="15" hidden="false" customHeight="false" outlineLevel="0" collapsed="false">
      <c r="A384" s="21"/>
      <c r="B384" s="21"/>
      <c r="C384" s="21"/>
      <c r="D384" s="21"/>
      <c r="E384" s="21"/>
      <c r="F384" s="21"/>
      <c r="G384" s="21"/>
      <c r="H384" s="24"/>
      <c r="I384" s="10" t="str">
        <f aca="false">IF(A384="","",IFERROR(DATEVALUE(LEFT(A384,10)),A384))</f>
        <v/>
      </c>
      <c r="J384" s="8" t="str">
        <f aca="false">IF(H384="","",IF(COUNTIFS(Transactions!$A:$A,I384,Transactions!$J:$J,"&gt;="&amp;(H384-0.01),Transactions!$J:$J,"&lt;="&amp;(H384+0.01))&gt;0,"Matched","Missing from ledger"))</f>
        <v/>
      </c>
    </row>
    <row r="385" customFormat="false" ht="15" hidden="false" customHeight="false" outlineLevel="0" collapsed="false">
      <c r="A385" s="21"/>
      <c r="B385" s="21"/>
      <c r="C385" s="21"/>
      <c r="D385" s="21"/>
      <c r="E385" s="21"/>
      <c r="F385" s="21"/>
      <c r="G385" s="21"/>
      <c r="H385" s="24"/>
      <c r="I385" s="10" t="str">
        <f aca="false">IF(A385="","",IFERROR(DATEVALUE(LEFT(A385,10)),A385))</f>
        <v/>
      </c>
      <c r="J385" s="8" t="str">
        <f aca="false">IF(H385="","",IF(COUNTIFS(Transactions!$A:$A,I385,Transactions!$J:$J,"&gt;="&amp;(H385-0.01),Transactions!$J:$J,"&lt;="&amp;(H385+0.01))&gt;0,"Matched","Missing from ledger"))</f>
        <v/>
      </c>
    </row>
    <row r="386" customFormat="false" ht="15" hidden="false" customHeight="false" outlineLevel="0" collapsed="false">
      <c r="A386" s="21"/>
      <c r="B386" s="21"/>
      <c r="C386" s="21"/>
      <c r="D386" s="21"/>
      <c r="E386" s="21"/>
      <c r="F386" s="21"/>
      <c r="G386" s="21"/>
      <c r="H386" s="24"/>
      <c r="I386" s="10" t="str">
        <f aca="false">IF(A386="","",IFERROR(DATEVALUE(LEFT(A386,10)),A386))</f>
        <v/>
      </c>
      <c r="J386" s="8" t="str">
        <f aca="false">IF(H386="","",IF(COUNTIFS(Transactions!$A:$A,I386,Transactions!$J:$J,"&gt;="&amp;(H386-0.01),Transactions!$J:$J,"&lt;="&amp;(H386+0.01))&gt;0,"Matched","Missing from ledger"))</f>
        <v/>
      </c>
    </row>
    <row r="387" customFormat="false" ht="15" hidden="false" customHeight="false" outlineLevel="0" collapsed="false">
      <c r="A387" s="21"/>
      <c r="B387" s="21"/>
      <c r="C387" s="21"/>
      <c r="D387" s="21"/>
      <c r="E387" s="21"/>
      <c r="F387" s="21"/>
      <c r="G387" s="21"/>
      <c r="H387" s="24"/>
      <c r="I387" s="10" t="str">
        <f aca="false">IF(A387="","",IFERROR(DATEVALUE(LEFT(A387,10)),A387))</f>
        <v/>
      </c>
      <c r="J387" s="8" t="str">
        <f aca="false">IF(H387="","",IF(COUNTIFS(Transactions!$A:$A,I387,Transactions!$J:$J,"&gt;="&amp;(H387-0.01),Transactions!$J:$J,"&lt;="&amp;(H387+0.01))&gt;0,"Matched","Missing from ledger"))</f>
        <v/>
      </c>
    </row>
    <row r="388" customFormat="false" ht="15" hidden="false" customHeight="false" outlineLevel="0" collapsed="false">
      <c r="A388" s="21"/>
      <c r="B388" s="21"/>
      <c r="C388" s="21"/>
      <c r="D388" s="21"/>
      <c r="E388" s="21"/>
      <c r="F388" s="21"/>
      <c r="G388" s="21"/>
      <c r="H388" s="24"/>
      <c r="I388" s="10" t="str">
        <f aca="false">IF(A388="","",IFERROR(DATEVALUE(LEFT(A388,10)),A388))</f>
        <v/>
      </c>
      <c r="J388" s="8" t="str">
        <f aca="false">IF(H388="","",IF(COUNTIFS(Transactions!$A:$A,I388,Transactions!$J:$J,"&gt;="&amp;(H388-0.01),Transactions!$J:$J,"&lt;="&amp;(H388+0.01))&gt;0,"Matched","Missing from ledger"))</f>
        <v/>
      </c>
    </row>
    <row r="389" customFormat="false" ht="15" hidden="false" customHeight="false" outlineLevel="0" collapsed="false">
      <c r="A389" s="21"/>
      <c r="B389" s="21"/>
      <c r="C389" s="21"/>
      <c r="D389" s="21"/>
      <c r="E389" s="21"/>
      <c r="F389" s="21"/>
      <c r="G389" s="21"/>
      <c r="H389" s="24"/>
      <c r="I389" s="10" t="str">
        <f aca="false">IF(A389="","",IFERROR(DATEVALUE(LEFT(A389,10)),A389))</f>
        <v/>
      </c>
      <c r="J389" s="8" t="str">
        <f aca="false">IF(H389="","",IF(COUNTIFS(Transactions!$A:$A,I389,Transactions!$J:$J,"&gt;="&amp;(H389-0.01),Transactions!$J:$J,"&lt;="&amp;(H389+0.01))&gt;0,"Matched","Missing from ledger"))</f>
        <v/>
      </c>
    </row>
    <row r="390" customFormat="false" ht="15" hidden="false" customHeight="false" outlineLevel="0" collapsed="false">
      <c r="A390" s="21"/>
      <c r="B390" s="21"/>
      <c r="C390" s="21"/>
      <c r="D390" s="21"/>
      <c r="E390" s="21"/>
      <c r="F390" s="21"/>
      <c r="G390" s="21"/>
      <c r="H390" s="24"/>
      <c r="I390" s="10" t="str">
        <f aca="false">IF(A390="","",IFERROR(DATEVALUE(LEFT(A390,10)),A390))</f>
        <v/>
      </c>
      <c r="J390" s="8" t="str">
        <f aca="false">IF(H390="","",IF(COUNTIFS(Transactions!$A:$A,I390,Transactions!$J:$J,"&gt;="&amp;(H390-0.01),Transactions!$J:$J,"&lt;="&amp;(H390+0.01))&gt;0,"Matched","Missing from ledger"))</f>
        <v/>
      </c>
    </row>
    <row r="391" customFormat="false" ht="15" hidden="false" customHeight="false" outlineLevel="0" collapsed="false">
      <c r="A391" s="21"/>
      <c r="B391" s="21"/>
      <c r="C391" s="21"/>
      <c r="D391" s="21"/>
      <c r="E391" s="21"/>
      <c r="F391" s="21"/>
      <c r="G391" s="21"/>
      <c r="H391" s="24"/>
      <c r="I391" s="10" t="str">
        <f aca="false">IF(A391="","",IFERROR(DATEVALUE(LEFT(A391,10)),A391))</f>
        <v/>
      </c>
      <c r="J391" s="8" t="str">
        <f aca="false">IF(H391="","",IF(COUNTIFS(Transactions!$A:$A,I391,Transactions!$J:$J,"&gt;="&amp;(H391-0.01),Transactions!$J:$J,"&lt;="&amp;(H391+0.01))&gt;0,"Matched","Missing from ledger"))</f>
        <v/>
      </c>
    </row>
    <row r="392" customFormat="false" ht="15" hidden="false" customHeight="false" outlineLevel="0" collapsed="false">
      <c r="A392" s="21"/>
      <c r="B392" s="21"/>
      <c r="C392" s="21"/>
      <c r="D392" s="21"/>
      <c r="E392" s="21"/>
      <c r="F392" s="21"/>
      <c r="G392" s="21"/>
      <c r="H392" s="24"/>
      <c r="I392" s="10" t="str">
        <f aca="false">IF(A392="","",IFERROR(DATEVALUE(LEFT(A392,10)),A392))</f>
        <v/>
      </c>
      <c r="J392" s="8" t="str">
        <f aca="false">IF(H392="","",IF(COUNTIFS(Transactions!$A:$A,I392,Transactions!$J:$J,"&gt;="&amp;(H392-0.01),Transactions!$J:$J,"&lt;="&amp;(H392+0.01))&gt;0,"Matched","Missing from ledger"))</f>
        <v/>
      </c>
    </row>
    <row r="393" customFormat="false" ht="15" hidden="false" customHeight="false" outlineLevel="0" collapsed="false">
      <c r="A393" s="21"/>
      <c r="B393" s="21"/>
      <c r="C393" s="21"/>
      <c r="D393" s="21"/>
      <c r="E393" s="21"/>
      <c r="F393" s="21"/>
      <c r="G393" s="21"/>
      <c r="H393" s="24"/>
      <c r="I393" s="10" t="str">
        <f aca="false">IF(A393="","",IFERROR(DATEVALUE(LEFT(A393,10)),A393))</f>
        <v/>
      </c>
      <c r="J393" s="8" t="str">
        <f aca="false">IF(H393="","",IF(COUNTIFS(Transactions!$A:$A,I393,Transactions!$J:$J,"&gt;="&amp;(H393-0.01),Transactions!$J:$J,"&lt;="&amp;(H393+0.01))&gt;0,"Matched","Missing from ledger"))</f>
        <v/>
      </c>
    </row>
    <row r="394" customFormat="false" ht="15" hidden="false" customHeight="false" outlineLevel="0" collapsed="false">
      <c r="A394" s="21"/>
      <c r="B394" s="21"/>
      <c r="C394" s="21"/>
      <c r="D394" s="21"/>
      <c r="E394" s="21"/>
      <c r="F394" s="21"/>
      <c r="G394" s="21"/>
      <c r="H394" s="24"/>
      <c r="I394" s="10" t="str">
        <f aca="false">IF(A394="","",IFERROR(DATEVALUE(LEFT(A394,10)),A394))</f>
        <v/>
      </c>
      <c r="J394" s="8" t="str">
        <f aca="false">IF(H394="","",IF(COUNTIFS(Transactions!$A:$A,I394,Transactions!$J:$J,"&gt;="&amp;(H394-0.01),Transactions!$J:$J,"&lt;="&amp;(H394+0.01))&gt;0,"Matched","Missing from ledger"))</f>
        <v/>
      </c>
    </row>
    <row r="395" customFormat="false" ht="15" hidden="false" customHeight="false" outlineLevel="0" collapsed="false">
      <c r="A395" s="21"/>
      <c r="B395" s="21"/>
      <c r="C395" s="21"/>
      <c r="D395" s="21"/>
      <c r="E395" s="21"/>
      <c r="F395" s="21"/>
      <c r="G395" s="21"/>
      <c r="H395" s="24"/>
      <c r="I395" s="10" t="str">
        <f aca="false">IF(A395="","",IFERROR(DATEVALUE(LEFT(A395,10)),A395))</f>
        <v/>
      </c>
      <c r="J395" s="8" t="str">
        <f aca="false">IF(H395="","",IF(COUNTIFS(Transactions!$A:$A,I395,Transactions!$J:$J,"&gt;="&amp;(H395-0.01),Transactions!$J:$J,"&lt;="&amp;(H395+0.01))&gt;0,"Matched","Missing from ledger"))</f>
        <v/>
      </c>
    </row>
    <row r="396" customFormat="false" ht="15" hidden="false" customHeight="false" outlineLevel="0" collapsed="false">
      <c r="A396" s="21"/>
      <c r="B396" s="21"/>
      <c r="C396" s="21"/>
      <c r="D396" s="21"/>
      <c r="E396" s="21"/>
      <c r="F396" s="21"/>
      <c r="G396" s="21"/>
      <c r="H396" s="24"/>
      <c r="I396" s="10" t="str">
        <f aca="false">IF(A396="","",IFERROR(DATEVALUE(LEFT(A396,10)),A396))</f>
        <v/>
      </c>
      <c r="J396" s="8" t="str">
        <f aca="false">IF(H396="","",IF(COUNTIFS(Transactions!$A:$A,I396,Transactions!$J:$J,"&gt;="&amp;(H396-0.01),Transactions!$J:$J,"&lt;="&amp;(H396+0.01))&gt;0,"Matched","Missing from ledger"))</f>
        <v/>
      </c>
    </row>
    <row r="397" customFormat="false" ht="15" hidden="false" customHeight="false" outlineLevel="0" collapsed="false">
      <c r="A397" s="21"/>
      <c r="B397" s="21"/>
      <c r="C397" s="21"/>
      <c r="D397" s="21"/>
      <c r="E397" s="21"/>
      <c r="F397" s="21"/>
      <c r="G397" s="21"/>
      <c r="H397" s="24"/>
      <c r="I397" s="10" t="str">
        <f aca="false">IF(A397="","",IFERROR(DATEVALUE(LEFT(A397,10)),A397))</f>
        <v/>
      </c>
      <c r="J397" s="8" t="str">
        <f aca="false">IF(H397="","",IF(COUNTIFS(Transactions!$A:$A,I397,Transactions!$J:$J,"&gt;="&amp;(H397-0.01),Transactions!$J:$J,"&lt;="&amp;(H397+0.01))&gt;0,"Matched","Missing from ledger"))</f>
        <v/>
      </c>
    </row>
    <row r="398" customFormat="false" ht="15" hidden="false" customHeight="false" outlineLevel="0" collapsed="false">
      <c r="A398" s="21"/>
      <c r="B398" s="21"/>
      <c r="C398" s="21"/>
      <c r="D398" s="21"/>
      <c r="E398" s="21"/>
      <c r="F398" s="21"/>
      <c r="G398" s="21"/>
      <c r="H398" s="24"/>
      <c r="I398" s="10" t="str">
        <f aca="false">IF(A398="","",IFERROR(DATEVALUE(LEFT(A398,10)),A398))</f>
        <v/>
      </c>
      <c r="J398" s="8" t="str">
        <f aca="false">IF(H398="","",IF(COUNTIFS(Transactions!$A:$A,I398,Transactions!$J:$J,"&gt;="&amp;(H398-0.01),Transactions!$J:$J,"&lt;="&amp;(H398+0.01))&gt;0,"Matched","Missing from ledger"))</f>
        <v/>
      </c>
    </row>
    <row r="399" customFormat="false" ht="15" hidden="false" customHeight="false" outlineLevel="0" collapsed="false">
      <c r="A399" s="21"/>
      <c r="B399" s="21"/>
      <c r="C399" s="21"/>
      <c r="D399" s="21"/>
      <c r="E399" s="21"/>
      <c r="F399" s="21"/>
      <c r="G399" s="21"/>
      <c r="H399" s="24"/>
      <c r="I399" s="10" t="str">
        <f aca="false">IF(A399="","",IFERROR(DATEVALUE(LEFT(A399,10)),A399))</f>
        <v/>
      </c>
      <c r="J399" s="8" t="str">
        <f aca="false">IF(H399="","",IF(COUNTIFS(Transactions!$A:$A,I399,Transactions!$J:$J,"&gt;="&amp;(H399-0.01),Transactions!$J:$J,"&lt;="&amp;(H399+0.01))&gt;0,"Matched","Missing from ledger"))</f>
        <v/>
      </c>
    </row>
    <row r="400" customFormat="false" ht="15" hidden="false" customHeight="false" outlineLevel="0" collapsed="false">
      <c r="A400" s="21"/>
      <c r="B400" s="21"/>
      <c r="C400" s="21"/>
      <c r="D400" s="21"/>
      <c r="E400" s="21"/>
      <c r="F400" s="21"/>
      <c r="G400" s="21"/>
      <c r="H400" s="24"/>
      <c r="I400" s="10" t="str">
        <f aca="false">IF(A400="","",IFERROR(DATEVALUE(LEFT(A400,10)),A400))</f>
        <v/>
      </c>
      <c r="J400" s="8" t="str">
        <f aca="false">IF(H400="","",IF(COUNTIFS(Transactions!$A:$A,I400,Transactions!$J:$J,"&gt;="&amp;(H400-0.01),Transactions!$J:$J,"&lt;="&amp;(H400+0.01))&gt;0,"Matched","Missing from ledger"))</f>
        <v/>
      </c>
    </row>
    <row r="401" customFormat="false" ht="15" hidden="false" customHeight="false" outlineLevel="0" collapsed="false">
      <c r="A401" s="21"/>
      <c r="B401" s="21"/>
      <c r="C401" s="21"/>
      <c r="D401" s="21"/>
      <c r="E401" s="21"/>
      <c r="F401" s="21"/>
      <c r="G401" s="21"/>
      <c r="H401" s="24"/>
      <c r="I401" s="10" t="str">
        <f aca="false">IF(A401="","",IFERROR(DATEVALUE(LEFT(A401,10)),A401))</f>
        <v/>
      </c>
      <c r="J401" s="8" t="str">
        <f aca="false">IF(H401="","",IF(COUNTIFS(Transactions!$A:$A,I401,Transactions!$J:$J,"&gt;="&amp;(H401-0.01),Transactions!$J:$J,"&lt;="&amp;(H401+0.01))&gt;0,"Matched","Missing from ledger"))</f>
        <v/>
      </c>
    </row>
    <row r="402" customFormat="false" ht="15" hidden="false" customHeight="false" outlineLevel="0" collapsed="false">
      <c r="A402" s="21"/>
      <c r="B402" s="21"/>
      <c r="C402" s="21"/>
      <c r="D402" s="21"/>
      <c r="E402" s="21"/>
      <c r="F402" s="21"/>
      <c r="G402" s="21"/>
      <c r="H402" s="24"/>
      <c r="I402" s="10" t="str">
        <f aca="false">IF(A402="","",IFERROR(DATEVALUE(LEFT(A402,10)),A402))</f>
        <v/>
      </c>
      <c r="J402" s="8" t="str">
        <f aca="false">IF(H402="","",IF(COUNTIFS(Transactions!$A:$A,I402,Transactions!$J:$J,"&gt;="&amp;(H402-0.01),Transactions!$J:$J,"&lt;="&amp;(H402+0.01))&gt;0,"Matched","Missing from ledger"))</f>
        <v/>
      </c>
    </row>
    <row r="403" customFormat="false" ht="15" hidden="false" customHeight="false" outlineLevel="0" collapsed="false">
      <c r="A403" s="21"/>
      <c r="B403" s="21"/>
      <c r="C403" s="21"/>
      <c r="D403" s="21"/>
      <c r="E403" s="21"/>
      <c r="F403" s="21"/>
      <c r="G403" s="21"/>
      <c r="H403" s="24"/>
      <c r="I403" s="10" t="str">
        <f aca="false">IF(A403="","",IFERROR(DATEVALUE(LEFT(A403,10)),A403))</f>
        <v/>
      </c>
      <c r="J403" s="8" t="str">
        <f aca="false">IF(H403="","",IF(COUNTIFS(Transactions!$A:$A,I403,Transactions!$J:$J,"&gt;="&amp;(H403-0.01),Transactions!$J:$J,"&lt;="&amp;(H403+0.01))&gt;0,"Matched","Missing from ledger"))</f>
        <v/>
      </c>
    </row>
    <row r="404" customFormat="false" ht="15" hidden="false" customHeight="false" outlineLevel="0" collapsed="false">
      <c r="A404" s="21"/>
      <c r="B404" s="21"/>
      <c r="C404" s="21"/>
      <c r="D404" s="21"/>
      <c r="E404" s="21"/>
      <c r="F404" s="21"/>
      <c r="G404" s="21"/>
      <c r="H404" s="24"/>
      <c r="I404" s="10" t="str">
        <f aca="false">IF(A404="","",IFERROR(DATEVALUE(LEFT(A404,10)),A404))</f>
        <v/>
      </c>
      <c r="J404" s="8" t="str">
        <f aca="false">IF(H404="","",IF(COUNTIFS(Transactions!$A:$A,I404,Transactions!$J:$J,"&gt;="&amp;(H404-0.01),Transactions!$J:$J,"&lt;="&amp;(H404+0.01))&gt;0,"Matched","Missing from ledger"))</f>
        <v/>
      </c>
    </row>
    <row r="405" customFormat="false" ht="15" hidden="false" customHeight="false" outlineLevel="0" collapsed="false">
      <c r="A405" s="21"/>
      <c r="B405" s="21"/>
      <c r="C405" s="21"/>
      <c r="D405" s="21"/>
      <c r="E405" s="21"/>
      <c r="F405" s="21"/>
      <c r="G405" s="21"/>
      <c r="H405" s="24"/>
      <c r="I405" s="10" t="str">
        <f aca="false">IF(A405="","",IFERROR(DATEVALUE(LEFT(A405,10)),A405))</f>
        <v/>
      </c>
      <c r="J405" s="8" t="str">
        <f aca="false">IF(H405="","",IF(COUNTIFS(Transactions!$A:$A,I405,Transactions!$J:$J,"&gt;="&amp;(H405-0.01),Transactions!$J:$J,"&lt;="&amp;(H405+0.01))&gt;0,"Matched","Missing from ledger"))</f>
        <v/>
      </c>
    </row>
    <row r="406" customFormat="false" ht="15" hidden="false" customHeight="false" outlineLevel="0" collapsed="false">
      <c r="A406" s="21"/>
      <c r="B406" s="21"/>
      <c r="C406" s="21"/>
      <c r="D406" s="21"/>
      <c r="E406" s="21"/>
      <c r="F406" s="21"/>
      <c r="G406" s="21"/>
      <c r="H406" s="24"/>
      <c r="I406" s="10" t="str">
        <f aca="false">IF(A406="","",IFERROR(DATEVALUE(LEFT(A406,10)),A406))</f>
        <v/>
      </c>
      <c r="J406" s="8" t="str">
        <f aca="false">IF(H406="","",IF(COUNTIFS(Transactions!$A:$A,I406,Transactions!$J:$J,"&gt;="&amp;(H406-0.01),Transactions!$J:$J,"&lt;="&amp;(H406+0.01))&gt;0,"Matched","Missing from ledger"))</f>
        <v/>
      </c>
    </row>
    <row r="407" customFormat="false" ht="15" hidden="false" customHeight="false" outlineLevel="0" collapsed="false">
      <c r="A407" s="21"/>
      <c r="B407" s="21"/>
      <c r="C407" s="21"/>
      <c r="D407" s="21"/>
      <c r="E407" s="21"/>
      <c r="F407" s="21"/>
      <c r="G407" s="21"/>
      <c r="H407" s="24"/>
      <c r="I407" s="10" t="str">
        <f aca="false">IF(A407="","",IFERROR(DATEVALUE(LEFT(A407,10)),A407))</f>
        <v/>
      </c>
      <c r="J407" s="8" t="str">
        <f aca="false">IF(H407="","",IF(COUNTIFS(Transactions!$A:$A,I407,Transactions!$J:$J,"&gt;="&amp;(H407-0.01),Transactions!$J:$J,"&lt;="&amp;(H407+0.01))&gt;0,"Matched","Missing from ledger"))</f>
        <v/>
      </c>
    </row>
    <row r="408" customFormat="false" ht="15" hidden="false" customHeight="false" outlineLevel="0" collapsed="false">
      <c r="A408" s="21"/>
      <c r="B408" s="21"/>
      <c r="C408" s="21"/>
      <c r="D408" s="21"/>
      <c r="E408" s="21"/>
      <c r="F408" s="21"/>
      <c r="G408" s="21"/>
      <c r="H408" s="24"/>
      <c r="I408" s="10" t="str">
        <f aca="false">IF(A408="","",IFERROR(DATEVALUE(LEFT(A408,10)),A408))</f>
        <v/>
      </c>
      <c r="J408" s="8" t="str">
        <f aca="false">IF(H408="","",IF(COUNTIFS(Transactions!$A:$A,I408,Transactions!$J:$J,"&gt;="&amp;(H408-0.01),Transactions!$J:$J,"&lt;="&amp;(H408+0.01))&gt;0,"Matched","Missing from ledger"))</f>
        <v/>
      </c>
    </row>
    <row r="409" customFormat="false" ht="15" hidden="false" customHeight="false" outlineLevel="0" collapsed="false">
      <c r="A409" s="21"/>
      <c r="B409" s="21"/>
      <c r="C409" s="21"/>
      <c r="D409" s="21"/>
      <c r="E409" s="21"/>
      <c r="F409" s="21"/>
      <c r="G409" s="21"/>
      <c r="H409" s="24"/>
      <c r="I409" s="10" t="str">
        <f aca="false">IF(A409="","",IFERROR(DATEVALUE(LEFT(A409,10)),A409))</f>
        <v/>
      </c>
      <c r="J409" s="8" t="str">
        <f aca="false">IF(H409="","",IF(COUNTIFS(Transactions!$A:$A,I409,Transactions!$J:$J,"&gt;="&amp;(H409-0.01),Transactions!$J:$J,"&lt;="&amp;(H409+0.01))&gt;0,"Matched","Missing from ledger"))</f>
        <v/>
      </c>
    </row>
    <row r="410" customFormat="false" ht="15" hidden="false" customHeight="false" outlineLevel="0" collapsed="false">
      <c r="A410" s="21"/>
      <c r="B410" s="21"/>
      <c r="C410" s="21"/>
      <c r="D410" s="21"/>
      <c r="E410" s="21"/>
      <c r="F410" s="21"/>
      <c r="G410" s="21"/>
      <c r="H410" s="24"/>
      <c r="I410" s="10" t="str">
        <f aca="false">IF(A410="","",IFERROR(DATEVALUE(LEFT(A410,10)),A410))</f>
        <v/>
      </c>
      <c r="J410" s="8" t="str">
        <f aca="false">IF(H410="","",IF(COUNTIFS(Transactions!$A:$A,I410,Transactions!$J:$J,"&gt;="&amp;(H410-0.01),Transactions!$J:$J,"&lt;="&amp;(H410+0.01))&gt;0,"Matched","Missing from ledger"))</f>
        <v/>
      </c>
    </row>
    <row r="411" customFormat="false" ht="15" hidden="false" customHeight="false" outlineLevel="0" collapsed="false">
      <c r="A411" s="21"/>
      <c r="B411" s="21"/>
      <c r="C411" s="21"/>
      <c r="D411" s="21"/>
      <c r="E411" s="21"/>
      <c r="F411" s="21"/>
      <c r="G411" s="21"/>
      <c r="H411" s="24"/>
      <c r="I411" s="10" t="str">
        <f aca="false">IF(A411="","",IFERROR(DATEVALUE(LEFT(A411,10)),A411))</f>
        <v/>
      </c>
      <c r="J411" s="8" t="str">
        <f aca="false">IF(H411="","",IF(COUNTIFS(Transactions!$A:$A,I411,Transactions!$J:$J,"&gt;="&amp;(H411-0.01),Transactions!$J:$J,"&lt;="&amp;(H411+0.01))&gt;0,"Matched","Missing from ledger"))</f>
        <v/>
      </c>
    </row>
    <row r="412" customFormat="false" ht="15" hidden="false" customHeight="false" outlineLevel="0" collapsed="false">
      <c r="A412" s="21"/>
      <c r="B412" s="21"/>
      <c r="C412" s="21"/>
      <c r="D412" s="21"/>
      <c r="E412" s="21"/>
      <c r="F412" s="21"/>
      <c r="G412" s="21"/>
      <c r="H412" s="24"/>
      <c r="I412" s="10" t="str">
        <f aca="false">IF(A412="","",IFERROR(DATEVALUE(LEFT(A412,10)),A412))</f>
        <v/>
      </c>
      <c r="J412" s="8" t="str">
        <f aca="false">IF(H412="","",IF(COUNTIFS(Transactions!$A:$A,I412,Transactions!$J:$J,"&gt;="&amp;(H412-0.01),Transactions!$J:$J,"&lt;="&amp;(H412+0.01))&gt;0,"Matched","Missing from ledger"))</f>
        <v/>
      </c>
    </row>
    <row r="413" customFormat="false" ht="15" hidden="false" customHeight="false" outlineLevel="0" collapsed="false">
      <c r="A413" s="21"/>
      <c r="B413" s="21"/>
      <c r="C413" s="21"/>
      <c r="D413" s="21"/>
      <c r="E413" s="21"/>
      <c r="F413" s="21"/>
      <c r="G413" s="21"/>
      <c r="H413" s="24"/>
      <c r="I413" s="10" t="str">
        <f aca="false">IF(A413="","",IFERROR(DATEVALUE(LEFT(A413,10)),A413))</f>
        <v/>
      </c>
      <c r="J413" s="8" t="str">
        <f aca="false">IF(H413="","",IF(COUNTIFS(Transactions!$A:$A,I413,Transactions!$J:$J,"&gt;="&amp;(H413-0.01),Transactions!$J:$J,"&lt;="&amp;(H413+0.01))&gt;0,"Matched","Missing from ledger"))</f>
        <v/>
      </c>
    </row>
    <row r="414" customFormat="false" ht="15" hidden="false" customHeight="false" outlineLevel="0" collapsed="false">
      <c r="A414" s="21"/>
      <c r="B414" s="21"/>
      <c r="C414" s="21"/>
      <c r="D414" s="21"/>
      <c r="E414" s="21"/>
      <c r="F414" s="21"/>
      <c r="G414" s="21"/>
      <c r="H414" s="24"/>
      <c r="I414" s="10" t="str">
        <f aca="false">IF(A414="","",IFERROR(DATEVALUE(LEFT(A414,10)),A414))</f>
        <v/>
      </c>
      <c r="J414" s="8" t="str">
        <f aca="false">IF(H414="","",IF(COUNTIFS(Transactions!$A:$A,I414,Transactions!$J:$J,"&gt;="&amp;(H414-0.01),Transactions!$J:$J,"&lt;="&amp;(H414+0.01))&gt;0,"Matched","Missing from ledger"))</f>
        <v/>
      </c>
    </row>
    <row r="415" customFormat="false" ht="15" hidden="false" customHeight="false" outlineLevel="0" collapsed="false">
      <c r="A415" s="21"/>
      <c r="B415" s="21"/>
      <c r="C415" s="21"/>
      <c r="D415" s="21"/>
      <c r="E415" s="21"/>
      <c r="F415" s="21"/>
      <c r="G415" s="21"/>
      <c r="H415" s="24"/>
      <c r="I415" s="10" t="str">
        <f aca="false">IF(A415="","",IFERROR(DATEVALUE(LEFT(A415,10)),A415))</f>
        <v/>
      </c>
      <c r="J415" s="8" t="str">
        <f aca="false">IF(H415="","",IF(COUNTIFS(Transactions!$A:$A,I415,Transactions!$J:$J,"&gt;="&amp;(H415-0.01),Transactions!$J:$J,"&lt;="&amp;(H415+0.01))&gt;0,"Matched","Missing from ledger"))</f>
        <v/>
      </c>
    </row>
    <row r="416" customFormat="false" ht="15" hidden="false" customHeight="false" outlineLevel="0" collapsed="false">
      <c r="A416" s="21"/>
      <c r="B416" s="21"/>
      <c r="C416" s="21"/>
      <c r="D416" s="21"/>
      <c r="E416" s="21"/>
      <c r="F416" s="21"/>
      <c r="G416" s="21"/>
      <c r="H416" s="24"/>
      <c r="I416" s="10" t="str">
        <f aca="false">IF(A416="","",IFERROR(DATEVALUE(LEFT(A416,10)),A416))</f>
        <v/>
      </c>
      <c r="J416" s="8" t="str">
        <f aca="false">IF(H416="","",IF(COUNTIFS(Transactions!$A:$A,I416,Transactions!$J:$J,"&gt;="&amp;(H416-0.01),Transactions!$J:$J,"&lt;="&amp;(H416+0.01))&gt;0,"Matched","Missing from ledger"))</f>
        <v/>
      </c>
    </row>
    <row r="417" customFormat="false" ht="15" hidden="false" customHeight="false" outlineLevel="0" collapsed="false">
      <c r="A417" s="21"/>
      <c r="B417" s="21"/>
      <c r="C417" s="21"/>
      <c r="D417" s="21"/>
      <c r="E417" s="21"/>
      <c r="F417" s="21"/>
      <c r="G417" s="21"/>
      <c r="H417" s="24"/>
      <c r="I417" s="10" t="str">
        <f aca="false">IF(A417="","",IFERROR(DATEVALUE(LEFT(A417,10)),A417))</f>
        <v/>
      </c>
      <c r="J417" s="8" t="str">
        <f aca="false">IF(H417="","",IF(COUNTIFS(Transactions!$A:$A,I417,Transactions!$J:$J,"&gt;="&amp;(H417-0.01),Transactions!$J:$J,"&lt;="&amp;(H417+0.01))&gt;0,"Matched","Missing from ledger"))</f>
        <v/>
      </c>
    </row>
    <row r="418" customFormat="false" ht="15" hidden="false" customHeight="false" outlineLevel="0" collapsed="false">
      <c r="A418" s="21"/>
      <c r="B418" s="21"/>
      <c r="C418" s="21"/>
      <c r="D418" s="21"/>
      <c r="E418" s="21"/>
      <c r="F418" s="21"/>
      <c r="G418" s="21"/>
      <c r="H418" s="24"/>
      <c r="I418" s="10" t="str">
        <f aca="false">IF(A418="","",IFERROR(DATEVALUE(LEFT(A418,10)),A418))</f>
        <v/>
      </c>
      <c r="J418" s="8" t="str">
        <f aca="false">IF(H418="","",IF(COUNTIFS(Transactions!$A:$A,I418,Transactions!$J:$J,"&gt;="&amp;(H418-0.01),Transactions!$J:$J,"&lt;="&amp;(H418+0.01))&gt;0,"Matched","Missing from ledger"))</f>
        <v/>
      </c>
    </row>
    <row r="419" customFormat="false" ht="15" hidden="false" customHeight="false" outlineLevel="0" collapsed="false">
      <c r="A419" s="21"/>
      <c r="B419" s="21"/>
      <c r="C419" s="21"/>
      <c r="D419" s="21"/>
      <c r="E419" s="21"/>
      <c r="F419" s="21"/>
      <c r="G419" s="21"/>
      <c r="H419" s="24"/>
      <c r="I419" s="10" t="str">
        <f aca="false">IF(A419="","",IFERROR(DATEVALUE(LEFT(A419,10)),A419))</f>
        <v/>
      </c>
      <c r="J419" s="8" t="str">
        <f aca="false">IF(H419="","",IF(COUNTIFS(Transactions!$A:$A,I419,Transactions!$J:$J,"&gt;="&amp;(H419-0.01),Transactions!$J:$J,"&lt;="&amp;(H419+0.01))&gt;0,"Matched","Missing from ledger"))</f>
        <v/>
      </c>
    </row>
    <row r="420" customFormat="false" ht="15" hidden="false" customHeight="false" outlineLevel="0" collapsed="false">
      <c r="A420" s="21"/>
      <c r="B420" s="21"/>
      <c r="C420" s="21"/>
      <c r="D420" s="21"/>
      <c r="E420" s="21"/>
      <c r="F420" s="21"/>
      <c r="G420" s="21"/>
      <c r="H420" s="24"/>
      <c r="I420" s="10" t="str">
        <f aca="false">IF(A420="","",IFERROR(DATEVALUE(LEFT(A420,10)),A420))</f>
        <v/>
      </c>
      <c r="J420" s="8" t="str">
        <f aca="false">IF(H420="","",IF(COUNTIFS(Transactions!$A:$A,I420,Transactions!$J:$J,"&gt;="&amp;(H420-0.01),Transactions!$J:$J,"&lt;="&amp;(H420+0.01))&gt;0,"Matched","Missing from ledger"))</f>
        <v/>
      </c>
    </row>
    <row r="421" customFormat="false" ht="15" hidden="false" customHeight="false" outlineLevel="0" collapsed="false">
      <c r="A421" s="21"/>
      <c r="B421" s="21"/>
      <c r="C421" s="21"/>
      <c r="D421" s="21"/>
      <c r="E421" s="21"/>
      <c r="F421" s="21"/>
      <c r="G421" s="21"/>
      <c r="H421" s="24"/>
      <c r="I421" s="10" t="str">
        <f aca="false">IF(A421="","",IFERROR(DATEVALUE(LEFT(A421,10)),A421))</f>
        <v/>
      </c>
      <c r="J421" s="8" t="str">
        <f aca="false">IF(H421="","",IF(COUNTIFS(Transactions!$A:$A,I421,Transactions!$J:$J,"&gt;="&amp;(H421-0.01),Transactions!$J:$J,"&lt;="&amp;(H421+0.01))&gt;0,"Matched","Missing from ledger"))</f>
        <v/>
      </c>
    </row>
    <row r="422" customFormat="false" ht="15" hidden="false" customHeight="false" outlineLevel="0" collapsed="false">
      <c r="A422" s="21"/>
      <c r="B422" s="21"/>
      <c r="C422" s="21"/>
      <c r="D422" s="21"/>
      <c r="E422" s="21"/>
      <c r="F422" s="21"/>
      <c r="G422" s="21"/>
      <c r="H422" s="24"/>
      <c r="I422" s="10" t="str">
        <f aca="false">IF(A422="","",IFERROR(DATEVALUE(LEFT(A422,10)),A422))</f>
        <v/>
      </c>
      <c r="J422" s="8" t="str">
        <f aca="false">IF(H422="","",IF(COUNTIFS(Transactions!$A:$A,I422,Transactions!$J:$J,"&gt;="&amp;(H422-0.01),Transactions!$J:$J,"&lt;="&amp;(H422+0.01))&gt;0,"Matched","Missing from ledger"))</f>
        <v/>
      </c>
    </row>
    <row r="423" customFormat="false" ht="15" hidden="false" customHeight="false" outlineLevel="0" collapsed="false">
      <c r="A423" s="21"/>
      <c r="B423" s="21"/>
      <c r="C423" s="21"/>
      <c r="D423" s="21"/>
      <c r="E423" s="21"/>
      <c r="F423" s="21"/>
      <c r="G423" s="21"/>
      <c r="H423" s="24"/>
      <c r="I423" s="10" t="str">
        <f aca="false">IF(A423="","",IFERROR(DATEVALUE(LEFT(A423,10)),A423))</f>
        <v/>
      </c>
      <c r="J423" s="8" t="str">
        <f aca="false">IF(H423="","",IF(COUNTIFS(Transactions!$A:$A,I423,Transactions!$J:$J,"&gt;="&amp;(H423-0.01),Transactions!$J:$J,"&lt;="&amp;(H423+0.01))&gt;0,"Matched","Missing from ledger"))</f>
        <v/>
      </c>
    </row>
    <row r="424" customFormat="false" ht="15" hidden="false" customHeight="false" outlineLevel="0" collapsed="false">
      <c r="A424" s="21"/>
      <c r="B424" s="21"/>
      <c r="C424" s="21"/>
      <c r="D424" s="21"/>
      <c r="E424" s="21"/>
      <c r="F424" s="21"/>
      <c r="G424" s="21"/>
      <c r="H424" s="24"/>
      <c r="I424" s="10" t="str">
        <f aca="false">IF(A424="","",IFERROR(DATEVALUE(LEFT(A424,10)),A424))</f>
        <v/>
      </c>
      <c r="J424" s="8" t="str">
        <f aca="false">IF(H424="","",IF(COUNTIFS(Transactions!$A:$A,I424,Transactions!$J:$J,"&gt;="&amp;(H424-0.01),Transactions!$J:$J,"&lt;="&amp;(H424+0.01))&gt;0,"Matched","Missing from ledger"))</f>
        <v/>
      </c>
    </row>
    <row r="425" customFormat="false" ht="15" hidden="false" customHeight="false" outlineLevel="0" collapsed="false">
      <c r="A425" s="21"/>
      <c r="B425" s="21"/>
      <c r="C425" s="21"/>
      <c r="D425" s="21"/>
      <c r="E425" s="21"/>
      <c r="F425" s="21"/>
      <c r="G425" s="21"/>
      <c r="H425" s="24"/>
      <c r="I425" s="10" t="str">
        <f aca="false">IF(A425="","",IFERROR(DATEVALUE(LEFT(A425,10)),A425))</f>
        <v/>
      </c>
      <c r="J425" s="8" t="str">
        <f aca="false">IF(H425="","",IF(COUNTIFS(Transactions!$A:$A,I425,Transactions!$J:$J,"&gt;="&amp;(H425-0.01),Transactions!$J:$J,"&lt;="&amp;(H425+0.01))&gt;0,"Matched","Missing from ledger"))</f>
        <v/>
      </c>
    </row>
    <row r="426" customFormat="false" ht="15" hidden="false" customHeight="false" outlineLevel="0" collapsed="false">
      <c r="A426" s="21"/>
      <c r="B426" s="21"/>
      <c r="C426" s="21"/>
      <c r="D426" s="21"/>
      <c r="E426" s="21"/>
      <c r="F426" s="21"/>
      <c r="G426" s="21"/>
      <c r="H426" s="24"/>
      <c r="I426" s="10" t="str">
        <f aca="false">IF(A426="","",IFERROR(DATEVALUE(LEFT(A426,10)),A426))</f>
        <v/>
      </c>
      <c r="J426" s="8" t="str">
        <f aca="false">IF(H426="","",IF(COUNTIFS(Transactions!$A:$A,I426,Transactions!$J:$J,"&gt;="&amp;(H426-0.01),Transactions!$J:$J,"&lt;="&amp;(H426+0.01))&gt;0,"Matched","Missing from ledger"))</f>
        <v/>
      </c>
    </row>
    <row r="427" customFormat="false" ht="15" hidden="false" customHeight="false" outlineLevel="0" collapsed="false">
      <c r="A427" s="21"/>
      <c r="B427" s="21"/>
      <c r="C427" s="21"/>
      <c r="D427" s="21"/>
      <c r="E427" s="21"/>
      <c r="F427" s="21"/>
      <c r="G427" s="21"/>
      <c r="H427" s="24"/>
      <c r="I427" s="10" t="str">
        <f aca="false">IF(A427="","",IFERROR(DATEVALUE(LEFT(A427,10)),A427))</f>
        <v/>
      </c>
      <c r="J427" s="8" t="str">
        <f aca="false">IF(H427="","",IF(COUNTIFS(Transactions!$A:$A,I427,Transactions!$J:$J,"&gt;="&amp;(H427-0.01),Transactions!$J:$J,"&lt;="&amp;(H427+0.01))&gt;0,"Matched","Missing from ledger"))</f>
        <v/>
      </c>
    </row>
    <row r="428" customFormat="false" ht="15" hidden="false" customHeight="false" outlineLevel="0" collapsed="false">
      <c r="A428" s="21"/>
      <c r="B428" s="21"/>
      <c r="C428" s="21"/>
      <c r="D428" s="21"/>
      <c r="E428" s="21"/>
      <c r="F428" s="21"/>
      <c r="G428" s="21"/>
      <c r="H428" s="24"/>
      <c r="I428" s="10" t="str">
        <f aca="false">IF(A428="","",IFERROR(DATEVALUE(LEFT(A428,10)),A428))</f>
        <v/>
      </c>
      <c r="J428" s="8" t="str">
        <f aca="false">IF(H428="","",IF(COUNTIFS(Transactions!$A:$A,I428,Transactions!$J:$J,"&gt;="&amp;(H428-0.01),Transactions!$J:$J,"&lt;="&amp;(H428+0.01))&gt;0,"Matched","Missing from ledger"))</f>
        <v/>
      </c>
    </row>
    <row r="429" customFormat="false" ht="15" hidden="false" customHeight="false" outlineLevel="0" collapsed="false">
      <c r="A429" s="21"/>
      <c r="B429" s="21"/>
      <c r="C429" s="21"/>
      <c r="D429" s="21"/>
      <c r="E429" s="21"/>
      <c r="F429" s="21"/>
      <c r="G429" s="21"/>
      <c r="H429" s="24"/>
      <c r="I429" s="10" t="str">
        <f aca="false">IF(A429="","",IFERROR(DATEVALUE(LEFT(A429,10)),A429))</f>
        <v/>
      </c>
      <c r="J429" s="8" t="str">
        <f aca="false">IF(H429="","",IF(COUNTIFS(Transactions!$A:$A,I429,Transactions!$J:$J,"&gt;="&amp;(H429-0.01),Transactions!$J:$J,"&lt;="&amp;(H429+0.01))&gt;0,"Matched","Missing from ledger"))</f>
        <v/>
      </c>
    </row>
    <row r="430" customFormat="false" ht="15" hidden="false" customHeight="false" outlineLevel="0" collapsed="false">
      <c r="A430" s="21"/>
      <c r="B430" s="21"/>
      <c r="C430" s="21"/>
      <c r="D430" s="21"/>
      <c r="E430" s="21"/>
      <c r="F430" s="21"/>
      <c r="G430" s="21"/>
      <c r="H430" s="24"/>
      <c r="I430" s="10" t="str">
        <f aca="false">IF(A430="","",IFERROR(DATEVALUE(LEFT(A430,10)),A430))</f>
        <v/>
      </c>
      <c r="J430" s="8" t="str">
        <f aca="false">IF(H430="","",IF(COUNTIFS(Transactions!$A:$A,I430,Transactions!$J:$J,"&gt;="&amp;(H430-0.01),Transactions!$J:$J,"&lt;="&amp;(H430+0.01))&gt;0,"Matched","Missing from ledger"))</f>
        <v/>
      </c>
    </row>
    <row r="431" customFormat="false" ht="15" hidden="false" customHeight="false" outlineLevel="0" collapsed="false">
      <c r="A431" s="21"/>
      <c r="B431" s="21"/>
      <c r="C431" s="21"/>
      <c r="D431" s="21"/>
      <c r="E431" s="21"/>
      <c r="F431" s="21"/>
      <c r="G431" s="21"/>
      <c r="H431" s="24"/>
      <c r="I431" s="10" t="str">
        <f aca="false">IF(A431="","",IFERROR(DATEVALUE(LEFT(A431,10)),A431))</f>
        <v/>
      </c>
      <c r="J431" s="8" t="str">
        <f aca="false">IF(H431="","",IF(COUNTIFS(Transactions!$A:$A,I431,Transactions!$J:$J,"&gt;="&amp;(H431-0.01),Transactions!$J:$J,"&lt;="&amp;(H431+0.01))&gt;0,"Matched","Missing from ledger"))</f>
        <v/>
      </c>
    </row>
    <row r="432" customFormat="false" ht="15" hidden="false" customHeight="false" outlineLevel="0" collapsed="false">
      <c r="A432" s="21"/>
      <c r="B432" s="21"/>
      <c r="C432" s="21"/>
      <c r="D432" s="21"/>
      <c r="E432" s="21"/>
      <c r="F432" s="21"/>
      <c r="G432" s="21"/>
      <c r="H432" s="24"/>
      <c r="I432" s="10" t="str">
        <f aca="false">IF(A432="","",IFERROR(DATEVALUE(LEFT(A432,10)),A432))</f>
        <v/>
      </c>
      <c r="J432" s="8" t="str">
        <f aca="false">IF(H432="","",IF(COUNTIFS(Transactions!$A:$A,I432,Transactions!$J:$J,"&gt;="&amp;(H432-0.01),Transactions!$J:$J,"&lt;="&amp;(H432+0.01))&gt;0,"Matched","Missing from ledger"))</f>
        <v/>
      </c>
    </row>
    <row r="433" customFormat="false" ht="15" hidden="false" customHeight="false" outlineLevel="0" collapsed="false">
      <c r="A433" s="21"/>
      <c r="B433" s="21"/>
      <c r="C433" s="21"/>
      <c r="D433" s="21"/>
      <c r="E433" s="21"/>
      <c r="F433" s="21"/>
      <c r="G433" s="21"/>
      <c r="H433" s="24"/>
      <c r="I433" s="10" t="str">
        <f aca="false">IF(A433="","",IFERROR(DATEVALUE(LEFT(A433,10)),A433))</f>
        <v/>
      </c>
      <c r="J433" s="8" t="str">
        <f aca="false">IF(H433="","",IF(COUNTIFS(Transactions!$A:$A,I433,Transactions!$J:$J,"&gt;="&amp;(H433-0.01),Transactions!$J:$J,"&lt;="&amp;(H433+0.01))&gt;0,"Matched","Missing from ledger"))</f>
        <v/>
      </c>
    </row>
    <row r="434" customFormat="false" ht="15" hidden="false" customHeight="false" outlineLevel="0" collapsed="false">
      <c r="A434" s="21"/>
      <c r="B434" s="21"/>
      <c r="C434" s="21"/>
      <c r="D434" s="21"/>
      <c r="E434" s="21"/>
      <c r="F434" s="21"/>
      <c r="G434" s="21"/>
      <c r="H434" s="24"/>
      <c r="I434" s="10" t="str">
        <f aca="false">IF(A434="","",IFERROR(DATEVALUE(LEFT(A434,10)),A434))</f>
        <v/>
      </c>
      <c r="J434" s="8" t="str">
        <f aca="false">IF(H434="","",IF(COUNTIFS(Transactions!$A:$A,I434,Transactions!$J:$J,"&gt;="&amp;(H434-0.01),Transactions!$J:$J,"&lt;="&amp;(H434+0.01))&gt;0,"Matched","Missing from ledger"))</f>
        <v/>
      </c>
    </row>
    <row r="435" customFormat="false" ht="15" hidden="false" customHeight="false" outlineLevel="0" collapsed="false">
      <c r="A435" s="21"/>
      <c r="B435" s="21"/>
      <c r="C435" s="21"/>
      <c r="D435" s="21"/>
      <c r="E435" s="21"/>
      <c r="F435" s="21"/>
      <c r="G435" s="21"/>
      <c r="H435" s="24"/>
      <c r="I435" s="10" t="str">
        <f aca="false">IF(A435="","",IFERROR(DATEVALUE(LEFT(A435,10)),A435))</f>
        <v/>
      </c>
      <c r="J435" s="8" t="str">
        <f aca="false">IF(H435="","",IF(COUNTIFS(Transactions!$A:$A,I435,Transactions!$J:$J,"&gt;="&amp;(H435-0.01),Transactions!$J:$J,"&lt;="&amp;(H435+0.01))&gt;0,"Matched","Missing from ledger"))</f>
        <v/>
      </c>
    </row>
    <row r="436" customFormat="false" ht="15" hidden="false" customHeight="false" outlineLevel="0" collapsed="false">
      <c r="A436" s="21"/>
      <c r="B436" s="21"/>
      <c r="C436" s="21"/>
      <c r="D436" s="21"/>
      <c r="E436" s="21"/>
      <c r="F436" s="21"/>
      <c r="G436" s="21"/>
      <c r="H436" s="24"/>
      <c r="I436" s="10" t="str">
        <f aca="false">IF(A436="","",IFERROR(DATEVALUE(LEFT(A436,10)),A436))</f>
        <v/>
      </c>
      <c r="J436" s="8" t="str">
        <f aca="false">IF(H436="","",IF(COUNTIFS(Transactions!$A:$A,I436,Transactions!$J:$J,"&gt;="&amp;(H436-0.01),Transactions!$J:$J,"&lt;="&amp;(H436+0.01))&gt;0,"Matched","Missing from ledger"))</f>
        <v/>
      </c>
    </row>
    <row r="437" customFormat="false" ht="15" hidden="false" customHeight="false" outlineLevel="0" collapsed="false">
      <c r="A437" s="21"/>
      <c r="B437" s="21"/>
      <c r="C437" s="21"/>
      <c r="D437" s="21"/>
      <c r="E437" s="21"/>
      <c r="F437" s="21"/>
      <c r="G437" s="21"/>
      <c r="H437" s="24"/>
      <c r="I437" s="10" t="str">
        <f aca="false">IF(A437="","",IFERROR(DATEVALUE(LEFT(A437,10)),A437))</f>
        <v/>
      </c>
      <c r="J437" s="8" t="str">
        <f aca="false">IF(H437="","",IF(COUNTIFS(Transactions!$A:$A,I437,Transactions!$J:$J,"&gt;="&amp;(H437-0.01),Transactions!$J:$J,"&lt;="&amp;(H437+0.01))&gt;0,"Matched","Missing from ledger"))</f>
        <v/>
      </c>
    </row>
    <row r="438" customFormat="false" ht="15" hidden="false" customHeight="false" outlineLevel="0" collapsed="false">
      <c r="A438" s="21"/>
      <c r="B438" s="21"/>
      <c r="C438" s="21"/>
      <c r="D438" s="21"/>
      <c r="E438" s="21"/>
      <c r="F438" s="21"/>
      <c r="G438" s="21"/>
      <c r="H438" s="24"/>
      <c r="I438" s="10" t="str">
        <f aca="false">IF(A438="","",IFERROR(DATEVALUE(LEFT(A438,10)),A438))</f>
        <v/>
      </c>
      <c r="J438" s="8" t="str">
        <f aca="false">IF(H438="","",IF(COUNTIFS(Transactions!$A:$A,I438,Transactions!$J:$J,"&gt;="&amp;(H438-0.01),Transactions!$J:$J,"&lt;="&amp;(H438+0.01))&gt;0,"Matched","Missing from ledger"))</f>
        <v/>
      </c>
    </row>
    <row r="439" customFormat="false" ht="15" hidden="false" customHeight="false" outlineLevel="0" collapsed="false">
      <c r="A439" s="21"/>
      <c r="B439" s="21"/>
      <c r="C439" s="21"/>
      <c r="D439" s="21"/>
      <c r="E439" s="21"/>
      <c r="F439" s="21"/>
      <c r="G439" s="21"/>
      <c r="H439" s="24"/>
      <c r="I439" s="10" t="str">
        <f aca="false">IF(A439="","",IFERROR(DATEVALUE(LEFT(A439,10)),A439))</f>
        <v/>
      </c>
      <c r="J439" s="8" t="str">
        <f aca="false">IF(H439="","",IF(COUNTIFS(Transactions!$A:$A,I439,Transactions!$J:$J,"&gt;="&amp;(H439-0.01),Transactions!$J:$J,"&lt;="&amp;(H439+0.01))&gt;0,"Matched","Missing from ledger"))</f>
        <v/>
      </c>
    </row>
    <row r="440" customFormat="false" ht="15" hidden="false" customHeight="false" outlineLevel="0" collapsed="false">
      <c r="A440" s="21"/>
      <c r="B440" s="21"/>
      <c r="C440" s="21"/>
      <c r="D440" s="21"/>
      <c r="E440" s="21"/>
      <c r="F440" s="21"/>
      <c r="G440" s="21"/>
      <c r="H440" s="24"/>
      <c r="I440" s="10" t="str">
        <f aca="false">IF(A440="","",IFERROR(DATEVALUE(LEFT(A440,10)),A440))</f>
        <v/>
      </c>
      <c r="J440" s="8" t="str">
        <f aca="false">IF(H440="","",IF(COUNTIFS(Transactions!$A:$A,I440,Transactions!$J:$J,"&gt;="&amp;(H440-0.01),Transactions!$J:$J,"&lt;="&amp;(H440+0.01))&gt;0,"Matched","Missing from ledger"))</f>
        <v/>
      </c>
    </row>
    <row r="441" customFormat="false" ht="15" hidden="false" customHeight="false" outlineLevel="0" collapsed="false">
      <c r="A441" s="21"/>
      <c r="B441" s="21"/>
      <c r="C441" s="21"/>
      <c r="D441" s="21"/>
      <c r="E441" s="21"/>
      <c r="F441" s="21"/>
      <c r="G441" s="21"/>
      <c r="H441" s="24"/>
      <c r="I441" s="10" t="str">
        <f aca="false">IF(A441="","",IFERROR(DATEVALUE(LEFT(A441,10)),A441))</f>
        <v/>
      </c>
      <c r="J441" s="8" t="str">
        <f aca="false">IF(H441="","",IF(COUNTIFS(Transactions!$A:$A,I441,Transactions!$J:$J,"&gt;="&amp;(H441-0.01),Transactions!$J:$J,"&lt;="&amp;(H441+0.01))&gt;0,"Matched","Missing from ledger"))</f>
        <v/>
      </c>
    </row>
    <row r="442" customFormat="false" ht="15" hidden="false" customHeight="false" outlineLevel="0" collapsed="false">
      <c r="A442" s="21"/>
      <c r="B442" s="21"/>
      <c r="C442" s="21"/>
      <c r="D442" s="21"/>
      <c r="E442" s="21"/>
      <c r="F442" s="21"/>
      <c r="G442" s="21"/>
      <c r="H442" s="24"/>
      <c r="I442" s="10" t="str">
        <f aca="false">IF(A442="","",IFERROR(DATEVALUE(LEFT(A442,10)),A442))</f>
        <v/>
      </c>
      <c r="J442" s="8" t="str">
        <f aca="false">IF(H442="","",IF(COUNTIFS(Transactions!$A:$A,I442,Transactions!$J:$J,"&gt;="&amp;(H442-0.01),Transactions!$J:$J,"&lt;="&amp;(H442+0.01))&gt;0,"Matched","Missing from ledger"))</f>
        <v/>
      </c>
    </row>
    <row r="443" customFormat="false" ht="15" hidden="false" customHeight="false" outlineLevel="0" collapsed="false">
      <c r="A443" s="21"/>
      <c r="B443" s="21"/>
      <c r="C443" s="21"/>
      <c r="D443" s="21"/>
      <c r="E443" s="21"/>
      <c r="F443" s="21"/>
      <c r="G443" s="21"/>
      <c r="H443" s="24"/>
      <c r="I443" s="10" t="str">
        <f aca="false">IF(A443="","",IFERROR(DATEVALUE(LEFT(A443,10)),A443))</f>
        <v/>
      </c>
      <c r="J443" s="8" t="str">
        <f aca="false">IF(H443="","",IF(COUNTIFS(Transactions!$A:$A,I443,Transactions!$J:$J,"&gt;="&amp;(H443-0.01),Transactions!$J:$J,"&lt;="&amp;(H443+0.01))&gt;0,"Matched","Missing from ledger"))</f>
        <v/>
      </c>
    </row>
    <row r="444" customFormat="false" ht="15" hidden="false" customHeight="false" outlineLevel="0" collapsed="false">
      <c r="A444" s="21"/>
      <c r="B444" s="21"/>
      <c r="C444" s="21"/>
      <c r="D444" s="21"/>
      <c r="E444" s="21"/>
      <c r="F444" s="21"/>
      <c r="G444" s="21"/>
      <c r="H444" s="24"/>
      <c r="I444" s="10" t="str">
        <f aca="false">IF(A444="","",IFERROR(DATEVALUE(LEFT(A444,10)),A444))</f>
        <v/>
      </c>
      <c r="J444" s="8" t="str">
        <f aca="false">IF(H444="","",IF(COUNTIFS(Transactions!$A:$A,I444,Transactions!$J:$J,"&gt;="&amp;(H444-0.01),Transactions!$J:$J,"&lt;="&amp;(H444+0.01))&gt;0,"Matched","Missing from ledger"))</f>
        <v/>
      </c>
    </row>
    <row r="445" customFormat="false" ht="15" hidden="false" customHeight="false" outlineLevel="0" collapsed="false">
      <c r="A445" s="21"/>
      <c r="B445" s="21"/>
      <c r="C445" s="21"/>
      <c r="D445" s="21"/>
      <c r="E445" s="21"/>
      <c r="F445" s="21"/>
      <c r="G445" s="21"/>
      <c r="H445" s="24"/>
      <c r="I445" s="10" t="str">
        <f aca="false">IF(A445="","",IFERROR(DATEVALUE(LEFT(A445,10)),A445))</f>
        <v/>
      </c>
      <c r="J445" s="8" t="str">
        <f aca="false">IF(H445="","",IF(COUNTIFS(Transactions!$A:$A,I445,Transactions!$J:$J,"&gt;="&amp;(H445-0.01),Transactions!$J:$J,"&lt;="&amp;(H445+0.01))&gt;0,"Matched","Missing from ledger"))</f>
        <v/>
      </c>
    </row>
    <row r="446" customFormat="false" ht="15" hidden="false" customHeight="false" outlineLevel="0" collapsed="false">
      <c r="A446" s="21"/>
      <c r="B446" s="21"/>
      <c r="C446" s="21"/>
      <c r="D446" s="21"/>
      <c r="E446" s="21"/>
      <c r="F446" s="21"/>
      <c r="G446" s="21"/>
      <c r="H446" s="24"/>
      <c r="I446" s="10" t="str">
        <f aca="false">IF(A446="","",IFERROR(DATEVALUE(LEFT(A446,10)),A446))</f>
        <v/>
      </c>
      <c r="J446" s="8" t="str">
        <f aca="false">IF(H446="","",IF(COUNTIFS(Transactions!$A:$A,I446,Transactions!$J:$J,"&gt;="&amp;(H446-0.01),Transactions!$J:$J,"&lt;="&amp;(H446+0.01))&gt;0,"Matched","Missing from ledger"))</f>
        <v/>
      </c>
    </row>
    <row r="447" customFormat="false" ht="15" hidden="false" customHeight="false" outlineLevel="0" collapsed="false">
      <c r="A447" s="21"/>
      <c r="B447" s="21"/>
      <c r="C447" s="21"/>
      <c r="D447" s="21"/>
      <c r="E447" s="21"/>
      <c r="F447" s="21"/>
      <c r="G447" s="21"/>
      <c r="H447" s="24"/>
      <c r="I447" s="10" t="str">
        <f aca="false">IF(A447="","",IFERROR(DATEVALUE(LEFT(A447,10)),A447))</f>
        <v/>
      </c>
      <c r="J447" s="8" t="str">
        <f aca="false">IF(H447="","",IF(COUNTIFS(Transactions!$A:$A,I447,Transactions!$J:$J,"&gt;="&amp;(H447-0.01),Transactions!$J:$J,"&lt;="&amp;(H447+0.01))&gt;0,"Matched","Missing from ledger"))</f>
        <v/>
      </c>
    </row>
    <row r="448" customFormat="false" ht="15" hidden="false" customHeight="false" outlineLevel="0" collapsed="false">
      <c r="A448" s="21"/>
      <c r="B448" s="21"/>
      <c r="C448" s="21"/>
      <c r="D448" s="21"/>
      <c r="E448" s="21"/>
      <c r="F448" s="21"/>
      <c r="G448" s="21"/>
      <c r="H448" s="24"/>
      <c r="I448" s="10" t="str">
        <f aca="false">IF(A448="","",IFERROR(DATEVALUE(LEFT(A448,10)),A448))</f>
        <v/>
      </c>
      <c r="J448" s="8" t="str">
        <f aca="false">IF(H448="","",IF(COUNTIFS(Transactions!$A:$A,I448,Transactions!$J:$J,"&gt;="&amp;(H448-0.01),Transactions!$J:$J,"&lt;="&amp;(H448+0.01))&gt;0,"Matched","Missing from ledger"))</f>
        <v/>
      </c>
    </row>
    <row r="449" customFormat="false" ht="15" hidden="false" customHeight="false" outlineLevel="0" collapsed="false">
      <c r="A449" s="21"/>
      <c r="B449" s="21"/>
      <c r="C449" s="21"/>
      <c r="D449" s="21"/>
      <c r="E449" s="21"/>
      <c r="F449" s="21"/>
      <c r="G449" s="21"/>
      <c r="H449" s="24"/>
      <c r="I449" s="10" t="str">
        <f aca="false">IF(A449="","",IFERROR(DATEVALUE(LEFT(A449,10)),A449))</f>
        <v/>
      </c>
      <c r="J449" s="8" t="str">
        <f aca="false">IF(H449="","",IF(COUNTIFS(Transactions!$A:$A,I449,Transactions!$J:$J,"&gt;="&amp;(H449-0.01),Transactions!$J:$J,"&lt;="&amp;(H449+0.01))&gt;0,"Matched","Missing from ledger"))</f>
        <v/>
      </c>
    </row>
    <row r="450" customFormat="false" ht="15" hidden="false" customHeight="false" outlineLevel="0" collapsed="false">
      <c r="A450" s="21"/>
      <c r="B450" s="21"/>
      <c r="C450" s="21"/>
      <c r="D450" s="21"/>
      <c r="E450" s="21"/>
      <c r="F450" s="21"/>
      <c r="G450" s="21"/>
      <c r="H450" s="24"/>
      <c r="I450" s="10" t="str">
        <f aca="false">IF(A450="","",IFERROR(DATEVALUE(LEFT(A450,10)),A450))</f>
        <v/>
      </c>
      <c r="J450" s="8" t="str">
        <f aca="false">IF(H450="","",IF(COUNTIFS(Transactions!$A:$A,I450,Transactions!$J:$J,"&gt;="&amp;(H450-0.01),Transactions!$J:$J,"&lt;="&amp;(H450+0.01))&gt;0,"Matched","Missing from ledger"))</f>
        <v/>
      </c>
    </row>
    <row r="451" customFormat="false" ht="15" hidden="false" customHeight="false" outlineLevel="0" collapsed="false">
      <c r="A451" s="21"/>
      <c r="B451" s="21"/>
      <c r="C451" s="21"/>
      <c r="D451" s="21"/>
      <c r="E451" s="21"/>
      <c r="F451" s="21"/>
      <c r="G451" s="21"/>
      <c r="H451" s="24"/>
      <c r="I451" s="10" t="str">
        <f aca="false">IF(A451="","",IFERROR(DATEVALUE(LEFT(A451,10)),A451))</f>
        <v/>
      </c>
      <c r="J451" s="8" t="str">
        <f aca="false">IF(H451="","",IF(COUNTIFS(Transactions!$A:$A,I451,Transactions!$J:$J,"&gt;="&amp;(H451-0.01),Transactions!$J:$J,"&lt;="&amp;(H451+0.01))&gt;0,"Matched","Missing from ledger"))</f>
        <v/>
      </c>
    </row>
    <row r="452" customFormat="false" ht="15" hidden="false" customHeight="false" outlineLevel="0" collapsed="false">
      <c r="A452" s="21"/>
      <c r="B452" s="21"/>
      <c r="C452" s="21"/>
      <c r="D452" s="21"/>
      <c r="E452" s="21"/>
      <c r="F452" s="21"/>
      <c r="G452" s="21"/>
      <c r="H452" s="24"/>
      <c r="I452" s="10" t="str">
        <f aca="false">IF(A452="","",IFERROR(DATEVALUE(LEFT(A452,10)),A452))</f>
        <v/>
      </c>
      <c r="J452" s="8" t="str">
        <f aca="false">IF(H452="","",IF(COUNTIFS(Transactions!$A:$A,I452,Transactions!$J:$J,"&gt;="&amp;(H452-0.01),Transactions!$J:$J,"&lt;="&amp;(H452+0.01))&gt;0,"Matched","Missing from ledger"))</f>
        <v/>
      </c>
    </row>
    <row r="453" customFormat="false" ht="15" hidden="false" customHeight="false" outlineLevel="0" collapsed="false">
      <c r="A453" s="21"/>
      <c r="B453" s="21"/>
      <c r="C453" s="21"/>
      <c r="D453" s="21"/>
      <c r="E453" s="21"/>
      <c r="F453" s="21"/>
      <c r="G453" s="21"/>
      <c r="H453" s="24"/>
      <c r="I453" s="10" t="str">
        <f aca="false">IF(A453="","",IFERROR(DATEVALUE(LEFT(A453,10)),A453))</f>
        <v/>
      </c>
      <c r="J453" s="8" t="str">
        <f aca="false">IF(H453="","",IF(COUNTIFS(Transactions!$A:$A,I453,Transactions!$J:$J,"&gt;="&amp;(H453-0.01),Transactions!$J:$J,"&lt;="&amp;(H453+0.01))&gt;0,"Matched","Missing from ledger"))</f>
        <v/>
      </c>
    </row>
    <row r="454" customFormat="false" ht="15" hidden="false" customHeight="false" outlineLevel="0" collapsed="false">
      <c r="A454" s="21"/>
      <c r="B454" s="21"/>
      <c r="C454" s="21"/>
      <c r="D454" s="21"/>
      <c r="E454" s="21"/>
      <c r="F454" s="21"/>
      <c r="G454" s="21"/>
      <c r="H454" s="24"/>
      <c r="I454" s="10" t="str">
        <f aca="false">IF(A454="","",IFERROR(DATEVALUE(LEFT(A454,10)),A454))</f>
        <v/>
      </c>
      <c r="J454" s="8" t="str">
        <f aca="false">IF(H454="","",IF(COUNTIFS(Transactions!$A:$A,I454,Transactions!$J:$J,"&gt;="&amp;(H454-0.01),Transactions!$J:$J,"&lt;="&amp;(H454+0.01))&gt;0,"Matched","Missing from ledger"))</f>
        <v/>
      </c>
    </row>
    <row r="455" customFormat="false" ht="15" hidden="false" customHeight="false" outlineLevel="0" collapsed="false">
      <c r="A455" s="21"/>
      <c r="B455" s="21"/>
      <c r="C455" s="21"/>
      <c r="D455" s="21"/>
      <c r="E455" s="21"/>
      <c r="F455" s="21"/>
      <c r="G455" s="21"/>
      <c r="H455" s="24"/>
      <c r="I455" s="10" t="str">
        <f aca="false">IF(A455="","",IFERROR(DATEVALUE(LEFT(A455,10)),A455))</f>
        <v/>
      </c>
      <c r="J455" s="8" t="str">
        <f aca="false">IF(H455="","",IF(COUNTIFS(Transactions!$A:$A,I455,Transactions!$J:$J,"&gt;="&amp;(H455-0.01),Transactions!$J:$J,"&lt;="&amp;(H455+0.01))&gt;0,"Matched","Missing from ledger"))</f>
        <v/>
      </c>
    </row>
    <row r="456" customFormat="false" ht="15" hidden="false" customHeight="false" outlineLevel="0" collapsed="false">
      <c r="A456" s="21"/>
      <c r="B456" s="21"/>
      <c r="C456" s="21"/>
      <c r="D456" s="21"/>
      <c r="E456" s="21"/>
      <c r="F456" s="21"/>
      <c r="G456" s="21"/>
      <c r="H456" s="24"/>
      <c r="I456" s="10" t="str">
        <f aca="false">IF(A456="","",IFERROR(DATEVALUE(LEFT(A456,10)),A456))</f>
        <v/>
      </c>
      <c r="J456" s="8" t="str">
        <f aca="false">IF(H456="","",IF(COUNTIFS(Transactions!$A:$A,I456,Transactions!$J:$J,"&gt;="&amp;(H456-0.01),Transactions!$J:$J,"&lt;="&amp;(H456+0.01))&gt;0,"Matched","Missing from ledger"))</f>
        <v/>
      </c>
    </row>
    <row r="457" customFormat="false" ht="15" hidden="false" customHeight="false" outlineLevel="0" collapsed="false">
      <c r="A457" s="21"/>
      <c r="B457" s="21"/>
      <c r="C457" s="21"/>
      <c r="D457" s="21"/>
      <c r="E457" s="21"/>
      <c r="F457" s="21"/>
      <c r="G457" s="21"/>
      <c r="H457" s="24"/>
      <c r="I457" s="10" t="str">
        <f aca="false">IF(A457="","",IFERROR(DATEVALUE(LEFT(A457,10)),A457))</f>
        <v/>
      </c>
      <c r="J457" s="8" t="str">
        <f aca="false">IF(H457="","",IF(COUNTIFS(Transactions!$A:$A,I457,Transactions!$J:$J,"&gt;="&amp;(H457-0.01),Transactions!$J:$J,"&lt;="&amp;(H457+0.01))&gt;0,"Matched","Missing from ledger"))</f>
        <v/>
      </c>
    </row>
    <row r="458" customFormat="false" ht="15" hidden="false" customHeight="false" outlineLevel="0" collapsed="false">
      <c r="A458" s="21"/>
      <c r="B458" s="21"/>
      <c r="C458" s="21"/>
      <c r="D458" s="21"/>
      <c r="E458" s="21"/>
      <c r="F458" s="21"/>
      <c r="G458" s="21"/>
      <c r="H458" s="24"/>
      <c r="I458" s="10" t="str">
        <f aca="false">IF(A458="","",IFERROR(DATEVALUE(LEFT(A458,10)),A458))</f>
        <v/>
      </c>
      <c r="J458" s="8" t="str">
        <f aca="false">IF(H458="","",IF(COUNTIFS(Transactions!$A:$A,I458,Transactions!$J:$J,"&gt;="&amp;(H458-0.01),Transactions!$J:$J,"&lt;="&amp;(H458+0.01))&gt;0,"Matched","Missing from ledger"))</f>
        <v/>
      </c>
    </row>
    <row r="459" customFormat="false" ht="15" hidden="false" customHeight="false" outlineLevel="0" collapsed="false">
      <c r="A459" s="21"/>
      <c r="B459" s="21"/>
      <c r="C459" s="21"/>
      <c r="D459" s="21"/>
      <c r="E459" s="21"/>
      <c r="F459" s="21"/>
      <c r="G459" s="21"/>
      <c r="H459" s="24"/>
      <c r="I459" s="10" t="str">
        <f aca="false">IF(A459="","",IFERROR(DATEVALUE(LEFT(A459,10)),A459))</f>
        <v/>
      </c>
      <c r="J459" s="8" t="str">
        <f aca="false">IF(H459="","",IF(COUNTIFS(Transactions!$A:$A,I459,Transactions!$J:$J,"&gt;="&amp;(H459-0.01),Transactions!$J:$J,"&lt;="&amp;(H459+0.01))&gt;0,"Matched","Missing from ledger"))</f>
        <v/>
      </c>
    </row>
    <row r="460" customFormat="false" ht="15" hidden="false" customHeight="false" outlineLevel="0" collapsed="false">
      <c r="A460" s="21"/>
      <c r="B460" s="21"/>
      <c r="C460" s="21"/>
      <c r="D460" s="21"/>
      <c r="E460" s="21"/>
      <c r="F460" s="21"/>
      <c r="G460" s="21"/>
      <c r="H460" s="24"/>
      <c r="I460" s="10" t="str">
        <f aca="false">IF(A460="","",IFERROR(DATEVALUE(LEFT(A460,10)),A460))</f>
        <v/>
      </c>
      <c r="J460" s="8" t="str">
        <f aca="false">IF(H460="","",IF(COUNTIFS(Transactions!$A:$A,I460,Transactions!$J:$J,"&gt;="&amp;(H460-0.01),Transactions!$J:$J,"&lt;="&amp;(H460+0.01))&gt;0,"Matched","Missing from ledger"))</f>
        <v/>
      </c>
    </row>
    <row r="461" customFormat="false" ht="15" hidden="false" customHeight="false" outlineLevel="0" collapsed="false">
      <c r="A461" s="21"/>
      <c r="B461" s="21"/>
      <c r="C461" s="21"/>
      <c r="D461" s="21"/>
      <c r="E461" s="21"/>
      <c r="F461" s="21"/>
      <c r="G461" s="21"/>
      <c r="H461" s="24"/>
      <c r="I461" s="10" t="str">
        <f aca="false">IF(A461="","",IFERROR(DATEVALUE(LEFT(A461,10)),A461))</f>
        <v/>
      </c>
      <c r="J461" s="8" t="str">
        <f aca="false">IF(H461="","",IF(COUNTIFS(Transactions!$A:$A,I461,Transactions!$J:$J,"&gt;="&amp;(H461-0.01),Transactions!$J:$J,"&lt;="&amp;(H461+0.01))&gt;0,"Matched","Missing from ledger"))</f>
        <v/>
      </c>
    </row>
    <row r="462" customFormat="false" ht="15" hidden="false" customHeight="false" outlineLevel="0" collapsed="false">
      <c r="A462" s="21"/>
      <c r="B462" s="21"/>
      <c r="C462" s="21"/>
      <c r="D462" s="21"/>
      <c r="E462" s="21"/>
      <c r="F462" s="21"/>
      <c r="G462" s="21"/>
      <c r="H462" s="24"/>
      <c r="I462" s="10" t="str">
        <f aca="false">IF(A462="","",IFERROR(DATEVALUE(LEFT(A462,10)),A462))</f>
        <v/>
      </c>
      <c r="J462" s="8" t="str">
        <f aca="false">IF(H462="","",IF(COUNTIFS(Transactions!$A:$A,I462,Transactions!$J:$J,"&gt;="&amp;(H462-0.01),Transactions!$J:$J,"&lt;="&amp;(H462+0.01))&gt;0,"Matched","Missing from ledger"))</f>
        <v/>
      </c>
    </row>
    <row r="463" customFormat="false" ht="15" hidden="false" customHeight="false" outlineLevel="0" collapsed="false">
      <c r="A463" s="21"/>
      <c r="B463" s="21"/>
      <c r="C463" s="21"/>
      <c r="D463" s="21"/>
      <c r="E463" s="21"/>
      <c r="F463" s="21"/>
      <c r="G463" s="21"/>
      <c r="H463" s="24"/>
      <c r="I463" s="10" t="str">
        <f aca="false">IF(A463="","",IFERROR(DATEVALUE(LEFT(A463,10)),A463))</f>
        <v/>
      </c>
      <c r="J463" s="8" t="str">
        <f aca="false">IF(H463="","",IF(COUNTIFS(Transactions!$A:$A,I463,Transactions!$J:$J,"&gt;="&amp;(H463-0.01),Transactions!$J:$J,"&lt;="&amp;(H463+0.01))&gt;0,"Matched","Missing from ledger"))</f>
        <v/>
      </c>
    </row>
    <row r="464" customFormat="false" ht="15" hidden="false" customHeight="false" outlineLevel="0" collapsed="false">
      <c r="A464" s="21"/>
      <c r="B464" s="21"/>
      <c r="C464" s="21"/>
      <c r="D464" s="21"/>
      <c r="E464" s="21"/>
      <c r="F464" s="21"/>
      <c r="G464" s="21"/>
      <c r="H464" s="24"/>
      <c r="I464" s="10" t="str">
        <f aca="false">IF(A464="","",IFERROR(DATEVALUE(LEFT(A464,10)),A464))</f>
        <v/>
      </c>
      <c r="J464" s="8" t="str">
        <f aca="false">IF(H464="","",IF(COUNTIFS(Transactions!$A:$A,I464,Transactions!$J:$J,"&gt;="&amp;(H464-0.01),Transactions!$J:$J,"&lt;="&amp;(H464+0.01))&gt;0,"Matched","Missing from ledger"))</f>
        <v/>
      </c>
    </row>
    <row r="465" customFormat="false" ht="15" hidden="false" customHeight="false" outlineLevel="0" collapsed="false">
      <c r="A465" s="21"/>
      <c r="B465" s="21"/>
      <c r="C465" s="21"/>
      <c r="D465" s="21"/>
      <c r="E465" s="21"/>
      <c r="F465" s="21"/>
      <c r="G465" s="21"/>
      <c r="H465" s="24"/>
      <c r="I465" s="10" t="str">
        <f aca="false">IF(A465="","",IFERROR(DATEVALUE(LEFT(A465,10)),A465))</f>
        <v/>
      </c>
      <c r="J465" s="8" t="str">
        <f aca="false">IF(H465="","",IF(COUNTIFS(Transactions!$A:$A,I465,Transactions!$J:$J,"&gt;="&amp;(H465-0.01),Transactions!$J:$J,"&lt;="&amp;(H465+0.01))&gt;0,"Matched","Missing from ledger"))</f>
        <v/>
      </c>
    </row>
    <row r="466" customFormat="false" ht="15" hidden="false" customHeight="false" outlineLevel="0" collapsed="false">
      <c r="A466" s="21"/>
      <c r="B466" s="21"/>
      <c r="C466" s="21"/>
      <c r="D466" s="21"/>
      <c r="E466" s="21"/>
      <c r="F466" s="21"/>
      <c r="G466" s="21"/>
      <c r="H466" s="24"/>
      <c r="I466" s="10" t="str">
        <f aca="false">IF(A466="","",IFERROR(DATEVALUE(LEFT(A466,10)),A466))</f>
        <v/>
      </c>
      <c r="J466" s="8" t="str">
        <f aca="false">IF(H466="","",IF(COUNTIFS(Transactions!$A:$A,I466,Transactions!$J:$J,"&gt;="&amp;(H466-0.01),Transactions!$J:$J,"&lt;="&amp;(H466+0.01))&gt;0,"Matched","Missing from ledger"))</f>
        <v/>
      </c>
    </row>
    <row r="467" customFormat="false" ht="15" hidden="false" customHeight="false" outlineLevel="0" collapsed="false">
      <c r="A467" s="21"/>
      <c r="B467" s="21"/>
      <c r="C467" s="21"/>
      <c r="D467" s="21"/>
      <c r="E467" s="21"/>
      <c r="F467" s="21"/>
      <c r="G467" s="21"/>
      <c r="H467" s="24"/>
      <c r="I467" s="10" t="str">
        <f aca="false">IF(A467="","",IFERROR(DATEVALUE(LEFT(A467,10)),A467))</f>
        <v/>
      </c>
      <c r="J467" s="8" t="str">
        <f aca="false">IF(H467="","",IF(COUNTIFS(Transactions!$A:$A,I467,Transactions!$J:$J,"&gt;="&amp;(H467-0.01),Transactions!$J:$J,"&lt;="&amp;(H467+0.01))&gt;0,"Matched","Missing from ledger"))</f>
        <v/>
      </c>
    </row>
    <row r="468" customFormat="false" ht="15" hidden="false" customHeight="false" outlineLevel="0" collapsed="false">
      <c r="A468" s="21"/>
      <c r="B468" s="21"/>
      <c r="C468" s="21"/>
      <c r="D468" s="21"/>
      <c r="E468" s="21"/>
      <c r="F468" s="21"/>
      <c r="G468" s="21"/>
      <c r="H468" s="24"/>
      <c r="I468" s="10" t="str">
        <f aca="false">IF(A468="","",IFERROR(DATEVALUE(LEFT(A468,10)),A468))</f>
        <v/>
      </c>
      <c r="J468" s="8" t="str">
        <f aca="false">IF(H468="","",IF(COUNTIFS(Transactions!$A:$A,I468,Transactions!$J:$J,"&gt;="&amp;(H468-0.01),Transactions!$J:$J,"&lt;="&amp;(H468+0.01))&gt;0,"Matched","Missing from ledger"))</f>
        <v/>
      </c>
    </row>
    <row r="469" customFormat="false" ht="15" hidden="false" customHeight="false" outlineLevel="0" collapsed="false">
      <c r="A469" s="21"/>
      <c r="B469" s="21"/>
      <c r="C469" s="21"/>
      <c r="D469" s="21"/>
      <c r="E469" s="21"/>
      <c r="F469" s="21"/>
      <c r="G469" s="21"/>
      <c r="H469" s="24"/>
      <c r="I469" s="10" t="str">
        <f aca="false">IF(A469="","",IFERROR(DATEVALUE(LEFT(A469,10)),A469))</f>
        <v/>
      </c>
      <c r="J469" s="8" t="str">
        <f aca="false">IF(H469="","",IF(COUNTIFS(Transactions!$A:$A,I469,Transactions!$J:$J,"&gt;="&amp;(H469-0.01),Transactions!$J:$J,"&lt;="&amp;(H469+0.01))&gt;0,"Matched","Missing from ledger"))</f>
        <v/>
      </c>
    </row>
    <row r="470" customFormat="false" ht="15" hidden="false" customHeight="false" outlineLevel="0" collapsed="false">
      <c r="A470" s="21"/>
      <c r="B470" s="21"/>
      <c r="C470" s="21"/>
      <c r="D470" s="21"/>
      <c r="E470" s="21"/>
      <c r="F470" s="21"/>
      <c r="G470" s="21"/>
      <c r="H470" s="24"/>
      <c r="I470" s="10" t="str">
        <f aca="false">IF(A470="","",IFERROR(DATEVALUE(LEFT(A470,10)),A470))</f>
        <v/>
      </c>
      <c r="J470" s="8" t="str">
        <f aca="false">IF(H470="","",IF(COUNTIFS(Transactions!$A:$A,I470,Transactions!$J:$J,"&gt;="&amp;(H470-0.01),Transactions!$J:$J,"&lt;="&amp;(H470+0.01))&gt;0,"Matched","Missing from ledger"))</f>
        <v/>
      </c>
    </row>
    <row r="471" customFormat="false" ht="15" hidden="false" customHeight="false" outlineLevel="0" collapsed="false">
      <c r="A471" s="21"/>
      <c r="B471" s="21"/>
      <c r="C471" s="21"/>
      <c r="D471" s="21"/>
      <c r="E471" s="21"/>
      <c r="F471" s="21"/>
      <c r="G471" s="21"/>
      <c r="H471" s="24"/>
      <c r="I471" s="10" t="str">
        <f aca="false">IF(A471="","",IFERROR(DATEVALUE(LEFT(A471,10)),A471))</f>
        <v/>
      </c>
      <c r="J471" s="8" t="str">
        <f aca="false">IF(H471="","",IF(COUNTIFS(Transactions!$A:$A,I471,Transactions!$J:$J,"&gt;="&amp;(H471-0.01),Transactions!$J:$J,"&lt;="&amp;(H471+0.01))&gt;0,"Matched","Missing from ledger"))</f>
        <v/>
      </c>
    </row>
    <row r="472" customFormat="false" ht="15" hidden="false" customHeight="false" outlineLevel="0" collapsed="false">
      <c r="A472" s="21"/>
      <c r="B472" s="21"/>
      <c r="C472" s="21"/>
      <c r="D472" s="21"/>
      <c r="E472" s="21"/>
      <c r="F472" s="21"/>
      <c r="G472" s="21"/>
      <c r="H472" s="24"/>
      <c r="I472" s="10" t="str">
        <f aca="false">IF(A472="","",IFERROR(DATEVALUE(LEFT(A472,10)),A472))</f>
        <v/>
      </c>
      <c r="J472" s="8" t="str">
        <f aca="false">IF(H472="","",IF(COUNTIFS(Transactions!$A:$A,I472,Transactions!$J:$J,"&gt;="&amp;(H472-0.01),Transactions!$J:$J,"&lt;="&amp;(H472+0.01))&gt;0,"Matched","Missing from ledger"))</f>
        <v/>
      </c>
    </row>
    <row r="473" customFormat="false" ht="15" hidden="false" customHeight="false" outlineLevel="0" collapsed="false">
      <c r="A473" s="21"/>
      <c r="B473" s="21"/>
      <c r="C473" s="21"/>
      <c r="D473" s="21"/>
      <c r="E473" s="21"/>
      <c r="F473" s="21"/>
      <c r="G473" s="21"/>
      <c r="H473" s="24"/>
      <c r="I473" s="10" t="str">
        <f aca="false">IF(A473="","",IFERROR(DATEVALUE(LEFT(A473,10)),A473))</f>
        <v/>
      </c>
      <c r="J473" s="8" t="str">
        <f aca="false">IF(H473="","",IF(COUNTIFS(Transactions!$A:$A,I473,Transactions!$J:$J,"&gt;="&amp;(H473-0.01),Transactions!$J:$J,"&lt;="&amp;(H473+0.01))&gt;0,"Matched","Missing from ledger"))</f>
        <v/>
      </c>
    </row>
    <row r="474" customFormat="false" ht="15" hidden="false" customHeight="false" outlineLevel="0" collapsed="false">
      <c r="A474" s="21"/>
      <c r="B474" s="21"/>
      <c r="C474" s="21"/>
      <c r="D474" s="21"/>
      <c r="E474" s="21"/>
      <c r="F474" s="21"/>
      <c r="G474" s="21"/>
      <c r="H474" s="24"/>
      <c r="I474" s="10" t="str">
        <f aca="false">IF(A474="","",IFERROR(DATEVALUE(LEFT(A474,10)),A474))</f>
        <v/>
      </c>
      <c r="J474" s="8" t="str">
        <f aca="false">IF(H474="","",IF(COUNTIFS(Transactions!$A:$A,I474,Transactions!$J:$J,"&gt;="&amp;(H474-0.01),Transactions!$J:$J,"&lt;="&amp;(H474+0.01))&gt;0,"Matched","Missing from ledger"))</f>
        <v/>
      </c>
    </row>
    <row r="475" customFormat="false" ht="15" hidden="false" customHeight="false" outlineLevel="0" collapsed="false">
      <c r="A475" s="21"/>
      <c r="B475" s="21"/>
      <c r="C475" s="21"/>
      <c r="D475" s="21"/>
      <c r="E475" s="21"/>
      <c r="F475" s="21"/>
      <c r="G475" s="21"/>
      <c r="H475" s="24"/>
      <c r="I475" s="10" t="str">
        <f aca="false">IF(A475="","",IFERROR(DATEVALUE(LEFT(A475,10)),A475))</f>
        <v/>
      </c>
      <c r="J475" s="8" t="str">
        <f aca="false">IF(H475="","",IF(COUNTIFS(Transactions!$A:$A,I475,Transactions!$J:$J,"&gt;="&amp;(H475-0.01),Transactions!$J:$J,"&lt;="&amp;(H475+0.01))&gt;0,"Matched","Missing from ledger"))</f>
        <v/>
      </c>
    </row>
    <row r="476" customFormat="false" ht="15" hidden="false" customHeight="false" outlineLevel="0" collapsed="false">
      <c r="A476" s="21"/>
      <c r="B476" s="21"/>
      <c r="C476" s="21"/>
      <c r="D476" s="21"/>
      <c r="E476" s="21"/>
      <c r="F476" s="21"/>
      <c r="G476" s="21"/>
      <c r="H476" s="24"/>
      <c r="I476" s="10" t="str">
        <f aca="false">IF(A476="","",IFERROR(DATEVALUE(LEFT(A476,10)),A476))</f>
        <v/>
      </c>
      <c r="J476" s="8" t="str">
        <f aca="false">IF(H476="","",IF(COUNTIFS(Transactions!$A:$A,I476,Transactions!$J:$J,"&gt;="&amp;(H476-0.01),Transactions!$J:$J,"&lt;="&amp;(H476+0.01))&gt;0,"Matched","Missing from ledger"))</f>
        <v/>
      </c>
    </row>
    <row r="477" customFormat="false" ht="15" hidden="false" customHeight="false" outlineLevel="0" collapsed="false">
      <c r="A477" s="21"/>
      <c r="B477" s="21"/>
      <c r="C477" s="21"/>
      <c r="D477" s="21"/>
      <c r="E477" s="21"/>
      <c r="F477" s="21"/>
      <c r="G477" s="21"/>
      <c r="H477" s="24"/>
      <c r="I477" s="10" t="str">
        <f aca="false">IF(A477="","",IFERROR(DATEVALUE(LEFT(A477,10)),A477))</f>
        <v/>
      </c>
      <c r="J477" s="8" t="str">
        <f aca="false">IF(H477="","",IF(COUNTIFS(Transactions!$A:$A,I477,Transactions!$J:$J,"&gt;="&amp;(H477-0.01),Transactions!$J:$J,"&lt;="&amp;(H477+0.01))&gt;0,"Matched","Missing from ledger"))</f>
        <v/>
      </c>
    </row>
    <row r="478" customFormat="false" ht="15" hidden="false" customHeight="false" outlineLevel="0" collapsed="false">
      <c r="A478" s="21"/>
      <c r="B478" s="21"/>
      <c r="C478" s="21"/>
      <c r="D478" s="21"/>
      <c r="E478" s="21"/>
      <c r="F478" s="21"/>
      <c r="G478" s="21"/>
      <c r="H478" s="24"/>
      <c r="I478" s="10" t="str">
        <f aca="false">IF(A478="","",IFERROR(DATEVALUE(LEFT(A478,10)),A478))</f>
        <v/>
      </c>
      <c r="J478" s="8" t="str">
        <f aca="false">IF(H478="","",IF(COUNTIFS(Transactions!$A:$A,I478,Transactions!$J:$J,"&gt;="&amp;(H478-0.01),Transactions!$J:$J,"&lt;="&amp;(H478+0.01))&gt;0,"Matched","Missing from ledger"))</f>
        <v/>
      </c>
    </row>
    <row r="479" customFormat="false" ht="15" hidden="false" customHeight="false" outlineLevel="0" collapsed="false">
      <c r="A479" s="21"/>
      <c r="B479" s="21"/>
      <c r="C479" s="21"/>
      <c r="D479" s="21"/>
      <c r="E479" s="21"/>
      <c r="F479" s="21"/>
      <c r="G479" s="21"/>
      <c r="H479" s="24"/>
      <c r="I479" s="10" t="str">
        <f aca="false">IF(A479="","",IFERROR(DATEVALUE(LEFT(A479,10)),A479))</f>
        <v/>
      </c>
      <c r="J479" s="8" t="str">
        <f aca="false">IF(H479="","",IF(COUNTIFS(Transactions!$A:$A,I479,Transactions!$J:$J,"&gt;="&amp;(H479-0.01),Transactions!$J:$J,"&lt;="&amp;(H479+0.01))&gt;0,"Matched","Missing from ledger"))</f>
        <v/>
      </c>
    </row>
    <row r="480" customFormat="false" ht="15" hidden="false" customHeight="false" outlineLevel="0" collapsed="false">
      <c r="A480" s="21"/>
      <c r="B480" s="21"/>
      <c r="C480" s="21"/>
      <c r="D480" s="21"/>
      <c r="E480" s="21"/>
      <c r="F480" s="21"/>
      <c r="G480" s="21"/>
      <c r="H480" s="24"/>
      <c r="I480" s="10" t="str">
        <f aca="false">IF(A480="","",IFERROR(DATEVALUE(LEFT(A480,10)),A480))</f>
        <v/>
      </c>
      <c r="J480" s="8" t="str">
        <f aca="false">IF(H480="","",IF(COUNTIFS(Transactions!$A:$A,I480,Transactions!$J:$J,"&gt;="&amp;(H480-0.01),Transactions!$J:$J,"&lt;="&amp;(H480+0.01))&gt;0,"Matched","Missing from ledger"))</f>
        <v/>
      </c>
    </row>
    <row r="481" customFormat="false" ht="15" hidden="false" customHeight="false" outlineLevel="0" collapsed="false">
      <c r="A481" s="21"/>
      <c r="B481" s="21"/>
      <c r="C481" s="21"/>
      <c r="D481" s="21"/>
      <c r="E481" s="21"/>
      <c r="F481" s="21"/>
      <c r="G481" s="21"/>
      <c r="H481" s="24"/>
      <c r="I481" s="10" t="str">
        <f aca="false">IF(A481="","",IFERROR(DATEVALUE(LEFT(A481,10)),A481))</f>
        <v/>
      </c>
      <c r="J481" s="8" t="str">
        <f aca="false">IF(H481="","",IF(COUNTIFS(Transactions!$A:$A,I481,Transactions!$J:$J,"&gt;="&amp;(H481-0.01),Transactions!$J:$J,"&lt;="&amp;(H481+0.01))&gt;0,"Matched","Missing from ledger"))</f>
        <v/>
      </c>
    </row>
    <row r="482" customFormat="false" ht="15" hidden="false" customHeight="false" outlineLevel="0" collapsed="false">
      <c r="A482" s="21"/>
      <c r="B482" s="21"/>
      <c r="C482" s="21"/>
      <c r="D482" s="21"/>
      <c r="E482" s="21"/>
      <c r="F482" s="21"/>
      <c r="G482" s="21"/>
      <c r="H482" s="24"/>
      <c r="I482" s="10" t="str">
        <f aca="false">IF(A482="","",IFERROR(DATEVALUE(LEFT(A482,10)),A482))</f>
        <v/>
      </c>
      <c r="J482" s="8" t="str">
        <f aca="false">IF(H482="","",IF(COUNTIFS(Transactions!$A:$A,I482,Transactions!$J:$J,"&gt;="&amp;(H482-0.01),Transactions!$J:$J,"&lt;="&amp;(H482+0.01))&gt;0,"Matched","Missing from ledger"))</f>
        <v/>
      </c>
    </row>
    <row r="483" customFormat="false" ht="15" hidden="false" customHeight="false" outlineLevel="0" collapsed="false">
      <c r="A483" s="21"/>
      <c r="B483" s="21"/>
      <c r="C483" s="21"/>
      <c r="D483" s="21"/>
      <c r="E483" s="21"/>
      <c r="F483" s="21"/>
      <c r="G483" s="21"/>
      <c r="H483" s="24"/>
      <c r="I483" s="10" t="str">
        <f aca="false">IF(A483="","",IFERROR(DATEVALUE(LEFT(A483,10)),A483))</f>
        <v/>
      </c>
      <c r="J483" s="8" t="str">
        <f aca="false">IF(H483="","",IF(COUNTIFS(Transactions!$A:$A,I483,Transactions!$J:$J,"&gt;="&amp;(H483-0.01),Transactions!$J:$J,"&lt;="&amp;(H483+0.01))&gt;0,"Matched","Missing from ledger"))</f>
        <v/>
      </c>
    </row>
    <row r="484" customFormat="false" ht="15" hidden="false" customHeight="false" outlineLevel="0" collapsed="false">
      <c r="A484" s="21"/>
      <c r="B484" s="21"/>
      <c r="C484" s="21"/>
      <c r="D484" s="21"/>
      <c r="E484" s="21"/>
      <c r="F484" s="21"/>
      <c r="G484" s="21"/>
      <c r="H484" s="24"/>
      <c r="I484" s="10" t="str">
        <f aca="false">IF(A484="","",IFERROR(DATEVALUE(LEFT(A484,10)),A484))</f>
        <v/>
      </c>
      <c r="J484" s="8" t="str">
        <f aca="false">IF(H484="","",IF(COUNTIFS(Transactions!$A:$A,I484,Transactions!$J:$J,"&gt;="&amp;(H484-0.01),Transactions!$J:$J,"&lt;="&amp;(H484+0.01))&gt;0,"Matched","Missing from ledger"))</f>
        <v/>
      </c>
    </row>
    <row r="485" customFormat="false" ht="15" hidden="false" customHeight="false" outlineLevel="0" collapsed="false">
      <c r="A485" s="21"/>
      <c r="B485" s="21"/>
      <c r="C485" s="21"/>
      <c r="D485" s="21"/>
      <c r="E485" s="21"/>
      <c r="F485" s="21"/>
      <c r="G485" s="21"/>
      <c r="H485" s="24"/>
      <c r="I485" s="10" t="str">
        <f aca="false">IF(A485="","",IFERROR(DATEVALUE(LEFT(A485,10)),A485))</f>
        <v/>
      </c>
      <c r="J485" s="8" t="str">
        <f aca="false">IF(H485="","",IF(COUNTIFS(Transactions!$A:$A,I485,Transactions!$J:$J,"&gt;="&amp;(H485-0.01),Transactions!$J:$J,"&lt;="&amp;(H485+0.01))&gt;0,"Matched","Missing from ledger"))</f>
        <v/>
      </c>
    </row>
    <row r="486" customFormat="false" ht="15" hidden="false" customHeight="false" outlineLevel="0" collapsed="false">
      <c r="A486" s="21"/>
      <c r="B486" s="21"/>
      <c r="C486" s="21"/>
      <c r="D486" s="21"/>
      <c r="E486" s="21"/>
      <c r="F486" s="21"/>
      <c r="G486" s="21"/>
      <c r="H486" s="24"/>
      <c r="I486" s="10" t="str">
        <f aca="false">IF(A486="","",IFERROR(DATEVALUE(LEFT(A486,10)),A486))</f>
        <v/>
      </c>
      <c r="J486" s="8" t="str">
        <f aca="false">IF(H486="","",IF(COUNTIFS(Transactions!$A:$A,I486,Transactions!$J:$J,"&gt;="&amp;(H486-0.01),Transactions!$J:$J,"&lt;="&amp;(H486+0.01))&gt;0,"Matched","Missing from ledger"))</f>
        <v/>
      </c>
    </row>
    <row r="487" customFormat="false" ht="15" hidden="false" customHeight="false" outlineLevel="0" collapsed="false">
      <c r="A487" s="21"/>
      <c r="B487" s="21"/>
      <c r="C487" s="21"/>
      <c r="D487" s="21"/>
      <c r="E487" s="21"/>
      <c r="F487" s="21"/>
      <c r="G487" s="21"/>
      <c r="H487" s="24"/>
      <c r="I487" s="10" t="str">
        <f aca="false">IF(A487="","",IFERROR(DATEVALUE(LEFT(A487,10)),A487))</f>
        <v/>
      </c>
      <c r="J487" s="8" t="str">
        <f aca="false">IF(H487="","",IF(COUNTIFS(Transactions!$A:$A,I487,Transactions!$J:$J,"&gt;="&amp;(H487-0.01),Transactions!$J:$J,"&lt;="&amp;(H487+0.01))&gt;0,"Matched","Missing from ledger"))</f>
        <v/>
      </c>
    </row>
    <row r="488" customFormat="false" ht="15" hidden="false" customHeight="false" outlineLevel="0" collapsed="false">
      <c r="A488" s="21"/>
      <c r="B488" s="21"/>
      <c r="C488" s="21"/>
      <c r="D488" s="21"/>
      <c r="E488" s="21"/>
      <c r="F488" s="21"/>
      <c r="G488" s="21"/>
      <c r="H488" s="24"/>
      <c r="I488" s="10" t="str">
        <f aca="false">IF(A488="","",IFERROR(DATEVALUE(LEFT(A488,10)),A488))</f>
        <v/>
      </c>
      <c r="J488" s="8" t="str">
        <f aca="false">IF(H488="","",IF(COUNTIFS(Transactions!$A:$A,I488,Transactions!$J:$J,"&gt;="&amp;(H488-0.01),Transactions!$J:$J,"&lt;="&amp;(H488+0.01))&gt;0,"Matched","Missing from ledger"))</f>
        <v/>
      </c>
    </row>
    <row r="489" customFormat="false" ht="15" hidden="false" customHeight="false" outlineLevel="0" collapsed="false">
      <c r="A489" s="21"/>
      <c r="B489" s="21"/>
      <c r="C489" s="21"/>
      <c r="D489" s="21"/>
      <c r="E489" s="21"/>
      <c r="F489" s="21"/>
      <c r="G489" s="21"/>
      <c r="H489" s="24"/>
      <c r="I489" s="10" t="str">
        <f aca="false">IF(A489="","",IFERROR(DATEVALUE(LEFT(A489,10)),A489))</f>
        <v/>
      </c>
      <c r="J489" s="8" t="str">
        <f aca="false">IF(H489="","",IF(COUNTIFS(Transactions!$A:$A,I489,Transactions!$J:$J,"&gt;="&amp;(H489-0.01),Transactions!$J:$J,"&lt;="&amp;(H489+0.01))&gt;0,"Matched","Missing from ledger"))</f>
        <v/>
      </c>
    </row>
    <row r="490" customFormat="false" ht="15" hidden="false" customHeight="false" outlineLevel="0" collapsed="false">
      <c r="A490" s="21"/>
      <c r="B490" s="21"/>
      <c r="C490" s="21"/>
      <c r="D490" s="21"/>
      <c r="E490" s="21"/>
      <c r="F490" s="21"/>
      <c r="G490" s="21"/>
      <c r="H490" s="24"/>
      <c r="I490" s="10" t="str">
        <f aca="false">IF(A490="","",IFERROR(DATEVALUE(LEFT(A490,10)),A490))</f>
        <v/>
      </c>
      <c r="J490" s="8" t="str">
        <f aca="false">IF(H490="","",IF(COUNTIFS(Transactions!$A:$A,I490,Transactions!$J:$J,"&gt;="&amp;(H490-0.01),Transactions!$J:$J,"&lt;="&amp;(H490+0.01))&gt;0,"Matched","Missing from ledger"))</f>
        <v/>
      </c>
    </row>
    <row r="491" customFormat="false" ht="15" hidden="false" customHeight="false" outlineLevel="0" collapsed="false">
      <c r="A491" s="21"/>
      <c r="B491" s="21"/>
      <c r="C491" s="21"/>
      <c r="D491" s="21"/>
      <c r="E491" s="21"/>
      <c r="F491" s="21"/>
      <c r="G491" s="21"/>
      <c r="H491" s="24"/>
      <c r="I491" s="10" t="str">
        <f aca="false">IF(A491="","",IFERROR(DATEVALUE(LEFT(A491,10)),A491))</f>
        <v/>
      </c>
      <c r="J491" s="8" t="str">
        <f aca="false">IF(H491="","",IF(COUNTIFS(Transactions!$A:$A,I491,Transactions!$J:$J,"&gt;="&amp;(H491-0.01),Transactions!$J:$J,"&lt;="&amp;(H491+0.01))&gt;0,"Matched","Missing from ledger"))</f>
        <v/>
      </c>
    </row>
    <row r="492" customFormat="false" ht="15" hidden="false" customHeight="false" outlineLevel="0" collapsed="false">
      <c r="A492" s="21"/>
      <c r="B492" s="21"/>
      <c r="C492" s="21"/>
      <c r="D492" s="21"/>
      <c r="E492" s="21"/>
      <c r="F492" s="21"/>
      <c r="G492" s="21"/>
      <c r="H492" s="24"/>
      <c r="I492" s="10" t="str">
        <f aca="false">IF(A492="","",IFERROR(DATEVALUE(LEFT(A492,10)),A492))</f>
        <v/>
      </c>
      <c r="J492" s="8" t="str">
        <f aca="false">IF(H492="","",IF(COUNTIFS(Transactions!$A:$A,I492,Transactions!$J:$J,"&gt;="&amp;(H492-0.01),Transactions!$J:$J,"&lt;="&amp;(H492+0.01))&gt;0,"Matched","Missing from ledger"))</f>
        <v/>
      </c>
    </row>
    <row r="493" customFormat="false" ht="15" hidden="false" customHeight="false" outlineLevel="0" collapsed="false">
      <c r="A493" s="21"/>
      <c r="B493" s="21"/>
      <c r="C493" s="21"/>
      <c r="D493" s="21"/>
      <c r="E493" s="21"/>
      <c r="F493" s="21"/>
      <c r="G493" s="21"/>
      <c r="H493" s="24"/>
      <c r="I493" s="10" t="str">
        <f aca="false">IF(A493="","",IFERROR(DATEVALUE(LEFT(A493,10)),A493))</f>
        <v/>
      </c>
      <c r="J493" s="8" t="str">
        <f aca="false">IF(H493="","",IF(COUNTIFS(Transactions!$A:$A,I493,Transactions!$J:$J,"&gt;="&amp;(H493-0.01),Transactions!$J:$J,"&lt;="&amp;(H493+0.01))&gt;0,"Matched","Missing from ledger"))</f>
        <v/>
      </c>
    </row>
    <row r="494" customFormat="false" ht="15" hidden="false" customHeight="false" outlineLevel="0" collapsed="false">
      <c r="A494" s="21"/>
      <c r="B494" s="21"/>
      <c r="C494" s="21"/>
      <c r="D494" s="21"/>
      <c r="E494" s="21"/>
      <c r="F494" s="21"/>
      <c r="G494" s="21"/>
      <c r="H494" s="24"/>
      <c r="I494" s="10" t="str">
        <f aca="false">IF(A494="","",IFERROR(DATEVALUE(LEFT(A494,10)),A494))</f>
        <v/>
      </c>
      <c r="J494" s="8" t="str">
        <f aca="false">IF(H494="","",IF(COUNTIFS(Transactions!$A:$A,I494,Transactions!$J:$J,"&gt;="&amp;(H494-0.01),Transactions!$J:$J,"&lt;="&amp;(H494+0.01))&gt;0,"Matched","Missing from ledger"))</f>
        <v/>
      </c>
    </row>
    <row r="495" customFormat="false" ht="15" hidden="false" customHeight="false" outlineLevel="0" collapsed="false">
      <c r="A495" s="21"/>
      <c r="B495" s="21"/>
      <c r="C495" s="21"/>
      <c r="D495" s="21"/>
      <c r="E495" s="21"/>
      <c r="F495" s="21"/>
      <c r="G495" s="21"/>
      <c r="H495" s="24"/>
      <c r="I495" s="10" t="str">
        <f aca="false">IF(A495="","",IFERROR(DATEVALUE(LEFT(A495,10)),A495))</f>
        <v/>
      </c>
      <c r="J495" s="8" t="str">
        <f aca="false">IF(H495="","",IF(COUNTIFS(Transactions!$A:$A,I495,Transactions!$J:$J,"&gt;="&amp;(H495-0.01),Transactions!$J:$J,"&lt;="&amp;(H495+0.01))&gt;0,"Matched","Missing from ledger"))</f>
        <v/>
      </c>
    </row>
    <row r="496" customFormat="false" ht="15" hidden="false" customHeight="false" outlineLevel="0" collapsed="false">
      <c r="A496" s="21"/>
      <c r="B496" s="21"/>
      <c r="C496" s="21"/>
      <c r="D496" s="21"/>
      <c r="E496" s="21"/>
      <c r="F496" s="21"/>
      <c r="G496" s="21"/>
      <c r="H496" s="24"/>
      <c r="I496" s="10" t="str">
        <f aca="false">IF(A496="","",IFERROR(DATEVALUE(LEFT(A496,10)),A496))</f>
        <v/>
      </c>
      <c r="J496" s="8" t="str">
        <f aca="false">IF(H496="","",IF(COUNTIFS(Transactions!$A:$A,I496,Transactions!$J:$J,"&gt;="&amp;(H496-0.01),Transactions!$J:$J,"&lt;="&amp;(H496+0.01))&gt;0,"Matched","Missing from ledger"))</f>
        <v/>
      </c>
    </row>
    <row r="497" customFormat="false" ht="15" hidden="false" customHeight="false" outlineLevel="0" collapsed="false">
      <c r="A497" s="21"/>
      <c r="B497" s="21"/>
      <c r="C497" s="21"/>
      <c r="D497" s="21"/>
      <c r="E497" s="21"/>
      <c r="F497" s="21"/>
      <c r="G497" s="21"/>
      <c r="H497" s="24"/>
      <c r="I497" s="10" t="str">
        <f aca="false">IF(A497="","",IFERROR(DATEVALUE(LEFT(A497,10)),A497))</f>
        <v/>
      </c>
      <c r="J497" s="8" t="str">
        <f aca="false">IF(H497="","",IF(COUNTIFS(Transactions!$A:$A,I497,Transactions!$J:$J,"&gt;="&amp;(H497-0.01),Transactions!$J:$J,"&lt;="&amp;(H497+0.01))&gt;0,"Matched","Missing from ledger"))</f>
        <v/>
      </c>
    </row>
    <row r="498" customFormat="false" ht="15" hidden="false" customHeight="false" outlineLevel="0" collapsed="false">
      <c r="A498" s="21"/>
      <c r="B498" s="21"/>
      <c r="C498" s="21"/>
      <c r="D498" s="21"/>
      <c r="E498" s="21"/>
      <c r="F498" s="21"/>
      <c r="G498" s="21"/>
      <c r="H498" s="24"/>
      <c r="I498" s="10" t="str">
        <f aca="false">IF(A498="","",IFERROR(DATEVALUE(LEFT(A498,10)),A498))</f>
        <v/>
      </c>
      <c r="J498" s="8" t="str">
        <f aca="false">IF(H498="","",IF(COUNTIFS(Transactions!$A:$A,I498,Transactions!$J:$J,"&gt;="&amp;(H498-0.01),Transactions!$J:$J,"&lt;="&amp;(H498+0.01))&gt;0,"Matched","Missing from ledger"))</f>
        <v/>
      </c>
    </row>
    <row r="499" customFormat="false" ht="15" hidden="false" customHeight="false" outlineLevel="0" collapsed="false">
      <c r="A499" s="21"/>
      <c r="B499" s="21"/>
      <c r="C499" s="21"/>
      <c r="D499" s="21"/>
      <c r="E499" s="21"/>
      <c r="F499" s="21"/>
      <c r="G499" s="21"/>
      <c r="H499" s="24"/>
      <c r="I499" s="10" t="str">
        <f aca="false">IF(A499="","",IFERROR(DATEVALUE(LEFT(A499,10)),A499))</f>
        <v/>
      </c>
      <c r="J499" s="8" t="str">
        <f aca="false">IF(H499="","",IF(COUNTIFS(Transactions!$A:$A,I499,Transactions!$J:$J,"&gt;="&amp;(H499-0.01),Transactions!$J:$J,"&lt;="&amp;(H499+0.01))&gt;0,"Matched","Missing from ledger"))</f>
        <v/>
      </c>
    </row>
    <row r="500" customFormat="false" ht="15" hidden="false" customHeight="false" outlineLevel="0" collapsed="false">
      <c r="A500" s="21"/>
      <c r="B500" s="21"/>
      <c r="C500" s="21"/>
      <c r="D500" s="21"/>
      <c r="E500" s="21"/>
      <c r="F500" s="21"/>
      <c r="G500" s="21"/>
      <c r="H500" s="24"/>
      <c r="I500" s="10" t="str">
        <f aca="false">IF(A500="","",IFERROR(DATEVALUE(LEFT(A500,10)),A500))</f>
        <v/>
      </c>
      <c r="J500" s="8" t="str">
        <f aca="false">IF(H500="","",IF(COUNTIFS(Transactions!$A:$A,I500,Transactions!$J:$J,"&gt;="&amp;(H500-0.01),Transactions!$J:$J,"&lt;="&amp;(H500+0.01))&gt;0,"Matched","Missing from ledger"))</f>
        <v/>
      </c>
    </row>
  </sheetData>
  <conditionalFormatting sqref="J2:J500">
    <cfRule type="expression" priority="2" aboveAverage="0" equalAverage="0" bottom="0" percent="0" rank="0" text="" dxfId="3">
      <formula>$J2="Missing from ledger"</formula>
    </cfRule>
    <cfRule type="expression" priority="3" aboveAverage="0" equalAverage="0" bottom="0" percent="0" rank="0" text="" dxfId="5">
      <formula>$J2="Matched"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2026-09-24T05:45:00Z</dcterms:created>
  <dc:creator>openpyxl</dc:creator>
  <dc:description/>
  <dc:language>en-US</dc:language>
  <cp:lastModifiedBy/>
  <dcterms:modified xsi:type="dcterms:W3CDTF">2026-09-24T05:45:00Z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